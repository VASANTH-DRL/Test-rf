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https://apslglobal.sharepoint.com/sites/NBEProposals984/Shared Documents/NBE proposals/RFIs/Biogen/Biogen Final RFI/Revision 1.1/"/>
    </mc:Choice>
  </mc:AlternateContent>
  <xr:revisionPtr revIDLastSave="82" documentId="8_{9979B694-AFEC-41A9-91B0-29CD151DB115}" xr6:coauthVersionLast="47" xr6:coauthVersionMax="47" xr10:uidLastSave="{3702A530-2C50-41DA-B52E-C7B8D0B812E7}"/>
  <bookViews>
    <workbookView xWindow="-110" yWindow="-110" windowWidth="19420" windowHeight="10300" tabRatio="886" firstSheet="1" activeTab="1" xr2:uid="{9E25E022-610E-4141-AF44-A4E9B534F2C6}"/>
  </bookViews>
  <sheets>
    <sheet name="General Information" sheetId="1" r:id="rId1"/>
    <sheet name="Questions" sheetId="2" r:id="rId2"/>
    <sheet name="Pricing Gene to Plasmid" sheetId="6" r:id="rId3"/>
    <sheet name="Pricing Gene to Protein" sheetId="7" r:id="rId4"/>
    <sheet name="Pricing Stable CHO" sheetId="8" r:id="rId5"/>
    <sheet name="Project Ab Oligo Conjugate" sheetId="9" r:id="rId6"/>
    <sheet name="Pricing Biophys. Char." sheetId="10" r:id="rId7"/>
    <sheet name="Pricing Biochemistry" sheetId="11" r:id="rId8"/>
    <sheet name="Volume Incentive"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9" l="1"/>
  <c r="F11" i="9"/>
</calcChain>
</file>

<file path=xl/sharedStrings.xml><?xml version="1.0" encoding="utf-8"?>
<sst xmlns="http://schemas.openxmlformats.org/spreadsheetml/2006/main" count="731" uniqueCount="461">
  <si>
    <t>General Information</t>
  </si>
  <si>
    <t>#</t>
  </si>
  <si>
    <t>Question</t>
  </si>
  <si>
    <t>Response</t>
  </si>
  <si>
    <t>Company name</t>
  </si>
  <si>
    <t>Aurigene Pharmaceutical Services Limited</t>
  </si>
  <si>
    <t>Company address (corporate)</t>
  </si>
  <si>
    <t>39-40, KIADB Industrial Area, Electronic City Phase II, Hosur Road, Bengaluru, Karnataka - 560100, India</t>
  </si>
  <si>
    <t>Company Contact (Name and Email)</t>
  </si>
  <si>
    <t>Web site</t>
  </si>
  <si>
    <t>www.aurigeneservices.com</t>
  </si>
  <si>
    <t>Year company founded</t>
  </si>
  <si>
    <t>Incorporated on 16 September 2019</t>
  </si>
  <si>
    <t>Name of Parent Company (if applicable)</t>
  </si>
  <si>
    <t>Dr. Reddy’s Laboratories Ltd</t>
  </si>
  <si>
    <t>Is your company classified as any of the following?</t>
  </si>
  <si>
    <t>No (Not listed under any of the small business classifications)</t>
  </si>
  <si>
    <t>a. Small Disadvantaged Business (SDB)</t>
  </si>
  <si>
    <t>N/A</t>
  </si>
  <si>
    <t>b. Women Owned Small Business (WOSB)</t>
  </si>
  <si>
    <t>c. Veteran Owned Small Business (VOSB)</t>
  </si>
  <si>
    <t>d. Service Disabled Veteran Owned Small Business (SDVOSB)</t>
  </si>
  <si>
    <t>e. HUB Zone Small Business Concern (HUB Zone)</t>
  </si>
  <si>
    <t xml:space="preserve">Who are your top 3 competitors? </t>
  </si>
  <si>
    <t>The details of our current customer engagements are confidential and cannot be disclosed. However, we have a strong track record of successful collaborations with leading global pharmaceutical and biotechnology companies. We serve 3 of the top 5 large pharma clients. Specific names and figures are confidential.</t>
  </si>
  <si>
    <t>D&amp;B Number and Risk Score</t>
  </si>
  <si>
    <t>Available via D&amp;B Hoovers subscription (not publicly listed)</t>
  </si>
  <si>
    <t>Financials</t>
  </si>
  <si>
    <t>Identify if Company is Public or private</t>
  </si>
  <si>
    <t>Public (Unlisted Public Company)</t>
  </si>
  <si>
    <t>(If private, skip to next question) Provide Stock exchange and ticker symbol</t>
  </si>
  <si>
    <t>NSE (India): DRREDDY
NYSE (USA): RDY</t>
  </si>
  <si>
    <t>Provide Cash Flow Statement (especially Cash flow from Operations)</t>
  </si>
  <si>
    <r>
      <rPr>
        <b/>
        <sz val="11"/>
        <rFont val="Calibri"/>
        <family val="2"/>
      </rPr>
      <t>Aurigene Pharmaceutical Services Limited</t>
    </r>
    <r>
      <rPr>
        <sz val="11"/>
        <rFont val="Calibri"/>
        <family val="2"/>
      </rPr>
      <t xml:space="preserve">
Financial Year ended as on 31st March 2025:
(a) Cash generated from operations: ~$ 8.7 Mn
(b) Net Cash generated: ~$ -0.62 Mn
(c) Cash balance at year including liquid investments: ~ $ 39 Mn
</t>
    </r>
    <r>
      <rPr>
        <b/>
        <sz val="11"/>
        <rFont val="Calibri"/>
        <family val="2"/>
      </rPr>
      <t xml:space="preserve">Dr. Reddy’s Laboratories Ltd
</t>
    </r>
    <r>
      <rPr>
        <sz val="11"/>
        <rFont val="Calibri"/>
        <family val="2"/>
      </rPr>
      <t>Financial Year ended as on 31st March 2025:
(a) Cash generated from operations: ~$ 536.7 Mn
(b) Net Cash generated: ~$ 83.95 Mn
(c) Cash balance at year including liquid investments: ~ $ 669 Mn</t>
    </r>
  </si>
  <si>
    <t>Provide Cash Position and Burn Rate (if not cash flow positive)</t>
  </si>
  <si>
    <t>Not Applicable</t>
  </si>
  <si>
    <t>Provide Net Income</t>
  </si>
  <si>
    <r>
      <rPr>
        <b/>
        <sz val="11"/>
        <rFont val="Calibri"/>
        <family val="2"/>
      </rPr>
      <t>Aurigene Pharmaceutical Services Limited</t>
    </r>
    <r>
      <rPr>
        <sz val="11"/>
        <rFont val="Calibri"/>
        <family val="2"/>
      </rPr>
      <t xml:space="preserve">
Net Income (Net Profit): ~ $ 7.6 Mn
</t>
    </r>
    <r>
      <rPr>
        <b/>
        <sz val="11"/>
        <rFont val="Calibri"/>
        <family val="2"/>
      </rPr>
      <t xml:space="preserve">
Dr. Reddy’s Laboratories Ltd
</t>
    </r>
    <r>
      <rPr>
        <sz val="11"/>
        <rFont val="Calibri"/>
        <family val="2"/>
      </rPr>
      <t>Net Income (Net Profit): ~ $ 661.9 Mn</t>
    </r>
  </si>
  <si>
    <t>Provide Debt and interest obligations</t>
  </si>
  <si>
    <r>
      <rPr>
        <b/>
        <sz val="11"/>
        <rFont val="Calibri"/>
        <family val="2"/>
      </rPr>
      <t>Aurigene Pharmaceutical Services Limited</t>
    </r>
    <r>
      <rPr>
        <sz val="11"/>
        <rFont val="Calibri"/>
        <family val="2"/>
      </rPr>
      <t xml:space="preserve">
Debt: ~ $ 44 Mn
Finance Cost: ~ $ 3.7 Mn
</t>
    </r>
    <r>
      <rPr>
        <b/>
        <sz val="11"/>
        <rFont val="Calibri"/>
        <family val="2"/>
      </rPr>
      <t>Dr. Reddy’s Laboratories Ltd</t>
    </r>
    <r>
      <rPr>
        <sz val="11"/>
        <rFont val="Calibri"/>
        <family val="2"/>
      </rPr>
      <t xml:space="preserve">
Debt: ~ $ 486.6 Mn
Finance Cost: ~ $ 28.4 Mn</t>
    </r>
  </si>
  <si>
    <t>Provide sources of financing if not cash flow positive</t>
  </si>
  <si>
    <t>Describe ownership structure (attach additional information if required)</t>
  </si>
  <si>
    <t>Public non-government company; affiliated with Dr. Reddy’s group</t>
  </si>
  <si>
    <t>Identify any past or pending Litigation</t>
  </si>
  <si>
    <t xml:space="preserve">No publicly disclosed litigation </t>
  </si>
  <si>
    <t>Questions</t>
  </si>
  <si>
    <t xml:space="preserve">Detail your previous experience providing protein production, characterization, bioanalytical services to Biogen and list any previous agreements. </t>
  </si>
  <si>
    <t xml:space="preserve">Biogen will own all IP generated in the performance of the services. Please list any IP restrictions or licenses for Biogen to consider. </t>
  </si>
  <si>
    <t xml:space="preserve">Please list all the locations that will be performing services and the number of years performing the services at each site. </t>
  </si>
  <si>
    <t xml:space="preserve">Expression Vector Production - 
a)    Please detail your capabilities, experience (including the scientist’s scientific background such as 10 PhD in Molecular Biology), methods, specialized reagents/consumables, instrumentation, and your laboratory setup for performing Gene to Plasmid services (cloned into a customer’s template) scaled up from a single colony.
Biogen’s requirements is the data package will include : concentration (with option for normalized concentration eg. 1mg/mL), Sanger sequence data of cloned insert or specific region as specified.  </t>
  </si>
  <si>
    <t xml:space="preserve">b) Please describe how you will achieve the requirements? </t>
  </si>
  <si>
    <t>A single colony will be cultured, and the plasmid will be extracted using high-yield kits.  Concentration will be measured via spectrophotometry and normalized if required. Insert will be verified by Sanger sequencing using specific primers. All data will be compiled into a structured report including chromatograms and sequence alignment.</t>
  </si>
  <si>
    <t xml:space="preserve">c) Do you store excess material or ship the full quantity? </t>
  </si>
  <si>
    <t>We follow the client's preference—either store excess material or ship the full quantity as requested.</t>
  </si>
  <si>
    <t>d) Do you provide free storage of customer's vectors?</t>
  </si>
  <si>
    <t xml:space="preserve">e) what are the KPIs you measure , the metric/measurement, and associated penalties/improvements? How often do you report the KPIs (monthly, quarterly)?
What are your 2025 KPIs (including your success rate and on-time delivery rate)? </t>
  </si>
  <si>
    <t>Gene-to-Protein Workflow
a) Please detail your capabilities, experience (including the scientist’s scientific background such as 10 PhD in Protein Biochemistry), methods, specialized reagents/consumables, instrumentation, and your laboratory setup for performing Gene to Protein Services (majority requests will be antibodies) in transient (in either CHO or HEK 293) with target production ranges from 0.2mg to 1 grams. 
Biogen’s requirements are that final deliverables will include purified protein formulated in agreed upon buffer, Endotoxin level of &lt;1EU/mg, &gt;95% monomer by analytical SEC. Data package including concentration, SDS-PAGE (Reduced and non-reduced), % Monomer by analytical SEC, Endotoxin level.</t>
  </si>
  <si>
    <t xml:space="preserve">c)  what are the KPIs you measure , the metric/measurement, and associated penalties/improvements? How often do you report the KPIs (monthly, quarterly)?
What are your 2025 KPIs (including your success rate and on-time delivery rate)? </t>
  </si>
  <si>
    <t>We measure key performance indicators such as project success rate, on-time delivery, and quality compliance. Metrics are tracked monthly and reported quarterly. Penalties are applied for delays or quality deviations, while improvements are implemented through root cause analysis and corrective actions. Our 2025 KPI targets include a success rate above 95% and an on-time delivery rate exceeding 98%.</t>
  </si>
  <si>
    <t xml:space="preserve"> For antibody production services, please list your preferred and available mammalian expression hosts for transient transfection</t>
  </si>
  <si>
    <t xml:space="preserve">Our preferred mammalian expression hosts for transient transfection include ExpiCHO, ExpiHEK and HEK293F cells. </t>
  </si>
  <si>
    <t>Please list all antibody isotypes and formats for which you have pre-existing templates for streamlined production (eg. human IgG1, Fab, mouse IgG1, rabbit IgG, etc)</t>
  </si>
  <si>
    <t>For each mammalian expression host, please list approximate expression titer for typical "well-behaved" antibody of human IgG1 isotype</t>
  </si>
  <si>
    <t>For a typical well-behaved human IgG1 antibody, ExpiCHO and HEK293 cells yield approximately 100 to 400 mg/L.</t>
  </si>
  <si>
    <t>For each mammalian expression host, please list the standard / common volumes you produce (e.g. 1ml, 3ml, 30ml, 500ml, 1L) including available bioreactor scales in 1-50L range</t>
  </si>
  <si>
    <t>a) Please detail your capabilities, experience (including the scientist’s scientific background such as 10 PhD in Protein Biochemistry), methods, specialized reagents/consumables, instrumentation, and your laboratory setup for performing stable CHO production Stable CHO production services:
-Generation of stable CHO pools secreting recombinant protein based on amino acid sequence(s) provided.
- Pilot expression run at test scale (e.g. 100ml) with pilot titer (with option for pilot purification)
- Scale expression run and purification at scales ranging from 1L to 40L and single-step purification on agreed upon resin (e.g. ProA, MabSure Select, NiNTA, Ni Sepharose Excel) and exchange into standard agreed upon buffer (e.g. PBS).
Biogen’s requirements for final deliverables are:
- Purified protein, aliquoted per consultation
- Option:  three cryopreserved vials of cells
- Report including protein expression protocol used and titer and purification results</t>
  </si>
  <si>
    <t>To fulfill Biogen’s requirements, we provide purified protein aliquoted as per consultation, along with the option of three cryopreserved cell vials. A detailed report is included, outlining the expression protocol, titer, and purification results. Our process ensures consistency, scalability, and compliance with quality standards.</t>
  </si>
  <si>
    <t xml:space="preserve">c) what are the KPIs you measure , the metric/measurement, and associated penalties/improvements? How often do you report the KPIs (monthly, quarterly)?
What are your 2025 KPIs (including your success rate and on-time delivery rate)? </t>
  </si>
  <si>
    <t>We monitor KPIs such as pool generation success rate, expression titer accuracy, and purification yield. These metrics are reviewed quarterly, and corrective actions are taken for any deviations. Our 2025 goals include achieving a pool success rate above 90%, titer accuracy above 95%, and an on-time delivery rate of over 98%.</t>
  </si>
  <si>
    <t xml:space="preserve">a) Please detail your capabilities, experience (including the scientist’s scientific background such as 10 PhD in Protein Biochemistry), methods, specialized reagents/consumables, instrumentation, and your laboratory setup for performing multi-step purification services for selected gene to protein or stable CHO production services for: 
</t>
  </si>
  <si>
    <r>
      <t xml:space="preserve">We have multiple AKTA purification systems available for multi-step purification services for any gene to protein or stable CHO production program. Affinity or Ion exchange as a first step, followed by preparative SEC as a polishing step, is usually performed. However, mixed mode HIC can be incorporated in the purification process as per the requirement. 
</t>
    </r>
    <r>
      <rPr>
        <b/>
        <sz val="11"/>
        <color theme="1"/>
        <rFont val="Calibri"/>
        <family val="2"/>
      </rPr>
      <t>Scientific Expertise</t>
    </r>
    <r>
      <rPr>
        <sz val="11"/>
        <color theme="1"/>
        <rFont val="Calibri"/>
        <family val="2"/>
      </rPr>
      <t xml:space="preserve">
Our team includes highly qualified scientists with a PhD-to-MSc ratio of 1:5, specializing in Protein Biochemistry, Downstream Processing, and Analytical Characterization. This ensures scientific rigour and process reliability across all purification stages.</t>
    </r>
  </si>
  <si>
    <t>o   preparative SEC</t>
  </si>
  <si>
    <t>o   IEX</t>
  </si>
  <si>
    <t>We utilize both cation and anion exchange chromatography for charge-based separation. Our labs are equipped with a range of IEX resins (e.g., Q Sepharose, SP Sepharose) and automated chromatography systems. Method development includes pH and conductivity optimization to maximize yield and purity.</t>
  </si>
  <si>
    <t>o   HIC</t>
  </si>
  <si>
    <t>o   Mixed Mode Chromatography</t>
  </si>
  <si>
    <t>We offer mixed-mode chromatography combining ionic and hydrophobic interactions, ideal for challenging proteins. Resins like Capto MMC and Nuvia cPrime are used with customized protocols. This method is integrated into multi-step workflows for enhanced selectivity and purity.</t>
  </si>
  <si>
    <t xml:space="preserve">b) what are the KPIs you measure , the metric/measurement, and associated penalties/improvements? How often do you report the KPIs (monthly, quarterly)?
What are your 2025 KPIs (including your success rate and on-time delivery rate)? </t>
  </si>
  <si>
    <t>We measure KPIs such as purification yield, purity level, and endotoxin compliance. Metrics include % recovery, % monomer by SEC, and endotoxin levels. KPIs are tracked monthly and reported quarterly. For 2025, our targets include &gt;95% success rate and &gt;98% on-time delivery.</t>
  </si>
  <si>
    <t>a) Please detail your capabilities, experience, methods, instrumentation, specialized reagents/consumables, and your laboratory setup for performing site specific conjugation of oligonucleotides via engineered cysteine (typically maleimide chemistry) followed by the purification of antibody-oligo conjugates. 
Biogen’s requirements for the final deliverables are: 
o	Purified protein formulated in agreed upon buffer 
o	Endotoxin level of &lt;1EU/mg, and &gt;95% monomer by analytical SEC
o	&gt;90% 1 DAR by SDS-PAGE, MS or similar</t>
  </si>
  <si>
    <t>We will follow the standard protocol of site specific conjugation, such as Reduction, oxidation, conjugation and purifdication. All inprocess analysis will performed by Mass spectrometry. Final deliverables include purified conjugates in agreed buffer, &lt;1 EU/mg endotoxin, and &gt;95% monomer by SEC.</t>
  </si>
  <si>
    <t>KPIs include conjugation efficiency, DAR accuracy, and monomer percentage. Metrics are tracked monthly and reported quarterly. 2025 goals include &gt;90% DAR accuracy and &gt;98% on-time delivery.</t>
  </si>
  <si>
    <t xml:space="preserve">a) Please detail your capabilities, experience (including the scientist’s scientific background such as 10 PhD in Protein Biochemistry), methods, specialized reagents/consumables, instrumentation, and your laboratory setup for performing: </t>
  </si>
  <si>
    <t xml:space="preserve">o   Antibody fragmentation (e.g. Fab generation) </t>
  </si>
  <si>
    <t xml:space="preserve">o   Controlled Fab arm exchange reaction (cFAE) </t>
  </si>
  <si>
    <t xml:space="preserve">o   Fluorophore or biotin labelling </t>
  </si>
  <si>
    <t>KPIs include fragmentation efficiency, labeling yield, and product purity. Metrics are reviewed monthly and reported quarterly. 2025 targets are &gt;95% success rate and &gt;98% on-time delivery.</t>
  </si>
  <si>
    <t>o   Thermostability (eg. DSF, DSC)</t>
  </si>
  <si>
    <t>o   AC-SINS</t>
  </si>
  <si>
    <t>o   Cross-interaction chromatography</t>
  </si>
  <si>
    <t>o   Polyreactivity analysis</t>
  </si>
  <si>
    <t>o   FcRn chromatography</t>
  </si>
  <si>
    <t>o   Binding studies, high throughput (e.g. Elisa, MSD, Octet)</t>
  </si>
  <si>
    <t>High-throughput binding studies are conducted using ELISA and Octet systems. These allow kinetic and affinity measurements across multiple targets.</t>
  </si>
  <si>
    <t>o   Cell-binding studies (e.g. flow cytometry)</t>
  </si>
  <si>
    <t>o   Surface plasmon resonance (e.g. Biacore)</t>
  </si>
  <si>
    <t>o   SEC-MALS</t>
  </si>
  <si>
    <t>NA</t>
  </si>
  <si>
    <t>We track assay reproducibility, throughput, and data quality. Metrics include % assay success and turnaround time. KPIs are reported quarterly. 2025 goals include &gt;95% reproducibility and &gt;98% on-time delivery.</t>
  </si>
  <si>
    <t>o   Intact Mass Spec (Reduced and non-reduced), including data analysis and interpretation</t>
  </si>
  <si>
    <t>o   Native Mass Spectrometry analysis of antibody-oligonucleotide conjugates</t>
  </si>
  <si>
    <t>o   Antibody de novo sequencing from protein sample</t>
  </si>
  <si>
    <t>o   Antibody glycan analysis</t>
  </si>
  <si>
    <t>KPIs include data accuracy, resolution, and turnaround time. Metrics are tracked monthly and reported quarterly. 2025 targets include &gt;95% data accuracy and &gt;98% on-time delivery.</t>
  </si>
  <si>
    <t>Please detail any novel areas (expression systems, cell lines, methods, etc) that makes your services unique compared to your competitors.</t>
  </si>
  <si>
    <t xml:space="preserve">Please list the high throughput processes that are used in the services that have not covered above? </t>
  </si>
  <si>
    <t xml:space="preserve">Please describe your project management support </t>
  </si>
  <si>
    <t>Aurigene assigns a dedicated Project Manager as the single point of contact to oversee execution, communication, and timelines. A structured communication and governance plan ensures smooth coordination, issue resolution, and strategic alignment. All project IP remains with the client.</t>
  </si>
  <si>
    <t xml:space="preserve">What is your annual percentage of staff turnover? </t>
  </si>
  <si>
    <t>~23%</t>
  </si>
  <si>
    <t>Do all of the sites use the same SOPs, Methods, and Data collection systems?</t>
  </si>
  <si>
    <t>Yes</t>
  </si>
  <si>
    <t>Do you have a local office in the Boston metro area or in the USA?</t>
  </si>
  <si>
    <t xml:space="preserve">For services performed outside of  the US, what are your mitigation strategies to avoid delays at customs for shipping to Biogen (Cambridge, MA)? What is the average cost/shipment for shipping research scale 100mg of IgG to Biogen? </t>
  </si>
  <si>
    <t xml:space="preserve">Are any portion of the services subcontracted?  If yes, please list the services and the subcontractors. </t>
  </si>
  <si>
    <t>Yes, Aurigene Pharmaceutical Services Ltd does subcontract certain specialized services. Specifically, gene synthesis and sequencing may be outsourced to trusted external partners based on project needs. Aurigene also collaborates with companies like Vipergen for advanced DNA-encoded library screening, while core services are handled in-house across its global facilities.</t>
  </si>
  <si>
    <t>Please provide a workflow to show the process from Biogen places an order to receiving the material and data.</t>
  </si>
  <si>
    <t>a)     Describe your online ordering portal (Use will be under a Biogen Blanket PO).</t>
  </si>
  <si>
    <t>b)       What systems do you use to capture and retain data?</t>
  </si>
  <si>
    <t>C       If yes, please describe the system. What are your sample preparation requirements?</t>
  </si>
  <si>
    <t>Samples should be provided in clearly labeled, sterile containers with accompanying documentation. Requirements include concentration, buffer composition, and storage conditions. Detailed SOPs are shared upon project initiation.</t>
  </si>
  <si>
    <t>d)       Is there a system to handle receipt of samples (LIMS)?</t>
  </si>
  <si>
    <t>e)      How does Biogen access data and receive data and reports?</t>
  </si>
  <si>
    <t>Biogen receives data and reports via secure email or encrypted file-sharing platforms. All deliverables are reviewed and approved internally before release.</t>
  </si>
  <si>
    <t>f)      After services are completed, when is data available? How long is it archived?</t>
  </si>
  <si>
    <t>Data is made available within 2–5 business days after service completion. All project data is archived securely for a minimum of 5 years, with retrieval available upon request.</t>
  </si>
  <si>
    <t xml:space="preserve">g)      What accompanies the data package? Files, reports, QC data, etc. </t>
  </si>
  <si>
    <t>The data package includes raw data files, processed results, analytical reports, QC summaries, SDS-PAGE images, SEC profiles, endotoxin data, and any relevant certificates of analysis.</t>
  </si>
  <si>
    <t xml:space="preserve">h) What are the current bottlenecks in the workflow? </t>
  </si>
  <si>
    <t xml:space="preserve">How do you manage failed or reperforming the services? </t>
  </si>
  <si>
    <t>Please describe your risk mitigation strategies for critical consumables. How many months supply do you maintain onsite?</t>
  </si>
  <si>
    <t>Aurigene mitigates risks related to critical consumables by maintaining strong supplier relationships, qualifying multiple vendors, and forecasting demand based on project pipelines. The company typically keeps a 3–6 months supply of essential consumables onsite to ensure uninterrupted operations and buffer against global supply chain disruptions.</t>
  </si>
  <si>
    <t xml:space="preserve">If a force majeure event occurs, please describe your plans for continuation of performing the services for Biogen. </t>
  </si>
  <si>
    <t xml:space="preserve">How are you managing the impacts of tariffs? Please describe the impact to the services. </t>
  </si>
  <si>
    <t>Aurigene manages the impact of tariffs by optimizing supply chain routes, leveraging global manufacturing sites, and working with logistics partners to minimize cost fluctuations. While tariffs may slightly affect pricing, the impact on services remains minimal due to proactive planning and cost absorption strategies.</t>
  </si>
  <si>
    <t xml:space="preserve">Pricing Gene to Plasmid Service
Pricing will remain fixed for 3 years. </t>
  </si>
  <si>
    <r>
      <rPr>
        <b/>
        <u/>
        <sz val="11"/>
        <color theme="0"/>
        <rFont val="Calibri"/>
        <family val="2"/>
      </rPr>
      <t>Gene-To-Plasmid Service</t>
    </r>
    <r>
      <rPr>
        <sz val="11"/>
        <color theme="0"/>
        <rFont val="Calibri"/>
        <family val="2"/>
      </rPr>
      <t xml:space="preserve">
o   Generation of plasmid based on nucleotide or amino acid sequence provided and cloned into plasmid template provided by Biogen. Gene synthesis insert length may range from &lt;500bp (eg. variable region only) to &gt;2.5kb (full length antibody chain with additional fusions)
o   Scale of final plasmid preparation to be specified ranging from 0.1mg to 5mg.
o   Final deliverable would include:
       -   Plasmid scaled up from single colony
       -   Data package including: concentration (with option for normalized concentration eg. 1mg/mL), Sanger sequence data of cloned insert or specific region as specified</t>
    </r>
  </si>
  <si>
    <t>Gene-To-Plasmid service</t>
  </si>
  <si>
    <t xml:space="preserve">Deliverables
</t>
  </si>
  <si>
    <t>Service</t>
  </si>
  <si>
    <t>Kits (e.g. Qiagen endo free)</t>
  </si>
  <si>
    <t>Avg Yield (micrograms)
(high copy)</t>
  </si>
  <si>
    <t>Price ($)</t>
  </si>
  <si>
    <t>Error Rate
%</t>
  </si>
  <si>
    <t>Current Capacity %</t>
  </si>
  <si>
    <t>Capacity for Biogen %</t>
  </si>
  <si>
    <t>Turnaround time (Calendar days)</t>
  </si>
  <si>
    <t># of Services performed in the last 2 years</t>
  </si>
  <si>
    <t xml:space="preserve"> -   Plasmid scaled up from single colony
-   Data package including: concentration (with option for normalized concentration eg. 1mg/mL), Sanger sequence data of cloned insert or specific region as specified</t>
  </si>
  <si>
    <t>Gene synthesis (&lt;500bp)</t>
  </si>
  <si>
    <t>0.18 per base</t>
  </si>
  <si>
    <t>Outsourced</t>
  </si>
  <si>
    <t>Gene synthesis (&gt;500bp)</t>
  </si>
  <si>
    <t>0.28 per base</t>
  </si>
  <si>
    <t>Cloning into custom vector</t>
  </si>
  <si>
    <t>Custom reagents</t>
  </si>
  <si>
    <t>70%</t>
  </si>
  <si>
    <t>60%</t>
  </si>
  <si>
    <t>Miniprep</t>
  </si>
  <si>
    <t>Qiagen</t>
  </si>
  <si>
    <t>Midiprep</t>
  </si>
  <si>
    <t>Maxiprep</t>
  </si>
  <si>
    <t>Megaprep</t>
  </si>
  <si>
    <t>Gigaprep</t>
  </si>
  <si>
    <t xml:space="preserve">Pricing Gene to Protien Services
Pricing will remain fixed for 3 years. </t>
  </si>
  <si>
    <r>
      <rPr>
        <b/>
        <u/>
        <sz val="11"/>
        <color rgb="FFFFFFFF"/>
        <rFont val="Calibri"/>
        <family val="2"/>
      </rPr>
      <t xml:space="preserve">Gene-To-Protein service 
</t>
    </r>
    <r>
      <rPr>
        <sz val="11"/>
        <color rgb="FFFFFFFF"/>
        <rFont val="Calibri"/>
        <family val="2"/>
      </rPr>
      <t>o  Generation of purified protein based on amino acid sequence provided. The majority of requests will be antibodies.
o   Scale of production to be specified based on culture volume with target production ranging from 0.2mg to 1g
o   Expression would be transient in either CHO or HEK293-based host.
o   Final deliverable would include: 
      -   Purified protein formulated in agreed upon buffer
      -   Endotoxin level of &lt;1EU/mg, and &gt;95% monomer by analytical SEC
      -   Data package including concentration, SDS-PAGE (Reduced and non-reduced), % Monomer by analytical SEC, Endotoxin level</t>
    </r>
  </si>
  <si>
    <t>Gene-To-Protien service</t>
  </si>
  <si>
    <t>Deliverables</t>
  </si>
  <si>
    <t>Transient Expression (specify host as proprietary or commonly known name, e.g. ExpiCHO)</t>
  </si>
  <si>
    <t>Scale 
(Please list your standard volumes for obtaining 0.2mg to 1g)</t>
  </si>
  <si>
    <t>Instrumentation</t>
  </si>
  <si>
    <t>Purification</t>
  </si>
  <si>
    <t>Anticipated Yield (for a well behaved hIgG1 Ab)</t>
  </si>
  <si>
    <t>% Error Rate</t>
  </si>
  <si>
    <t xml:space="preserve"> Final deliverable would include: 
      -   Purified protein formulated in agreed upon buffer
      -   Endotoxin level of &lt;1EU/mg, and &gt;95% monomer by analytical SEC
      -   Data package including concentration, SDS-PAGE (Reduced and non-reduced), % Monomer by analytical SEC, Endotoxin level</t>
  </si>
  <si>
    <t>CHO (Transient Expression)</t>
  </si>
  <si>
    <t>30 mL</t>
  </si>
  <si>
    <t>Shakers, CO2 incubators, AKTA Pure</t>
  </si>
  <si>
    <t>Protein A, SEC</t>
  </si>
  <si>
    <t>~3 mg</t>
  </si>
  <si>
    <t>100 mL</t>
  </si>
  <si>
    <t>~10 mg</t>
  </si>
  <si>
    <t>1%</t>
  </si>
  <si>
    <t>500 mL</t>
  </si>
  <si>
    <t>~50 mg</t>
  </si>
  <si>
    <t>2 L</t>
  </si>
  <si>
    <t>~200 mg</t>
  </si>
  <si>
    <t>5L</t>
  </si>
  <si>
    <t>~500 mg</t>
  </si>
  <si>
    <t>10L</t>
  </si>
  <si>
    <t>1 g</t>
  </si>
  <si>
    <t>293 (Transient Expression)</t>
  </si>
  <si>
    <t>Affinity, SEC</t>
  </si>
  <si>
    <t>3 mg</t>
  </si>
  <si>
    <t>10 mg</t>
  </si>
  <si>
    <t>50 mg</t>
  </si>
  <si>
    <t>200 mg</t>
  </si>
  <si>
    <t>500 mg</t>
  </si>
  <si>
    <t>Insect Cells</t>
  </si>
  <si>
    <t>1L</t>
  </si>
  <si>
    <t>Varies</t>
  </si>
  <si>
    <t>Stable CHO</t>
  </si>
  <si>
    <t>upto 5L</t>
  </si>
  <si>
    <t>Additional Expression Systems/Lines</t>
  </si>
  <si>
    <t>Multi-step Purification Services (Gene to Protein &amp; Stable CHO)</t>
  </si>
  <si>
    <t>Multi-step Purification Services</t>
  </si>
  <si>
    <t xml:space="preserve">Scale </t>
  </si>
  <si>
    <t xml:space="preserve">preparative SEC </t>
  </si>
  <si>
    <t>1mg</t>
  </si>
  <si>
    <t>80%</t>
  </si>
  <si>
    <t>10mg</t>
  </si>
  <si>
    <t>100mg</t>
  </si>
  <si>
    <t>1g</t>
  </si>
  <si>
    <t xml:space="preserve">Pricing Stable CHO Production
Pricing will remain fixed for 3 years. </t>
  </si>
  <si>
    <r>
      <rPr>
        <b/>
        <u/>
        <sz val="11"/>
        <color theme="0"/>
        <rFont val="Calibri"/>
        <family val="2"/>
      </rPr>
      <t>Stable CHO production services (conventional VH/VL IgG)</t>
    </r>
    <r>
      <rPr>
        <sz val="11"/>
        <color theme="0"/>
        <rFont val="Calibri"/>
        <family val="2"/>
      </rPr>
      <t xml:space="preserve">
o   Generation of stable CHO pools secreting recombinant protein based on amino acid sequence(s) provided.
o   Pilot expression run at test scale (e.g. 100ml) with pilot titer (with option for pilot purification)
o   Scale expression run and purification at scales ranging from 1L to 40L and single-step purification on agreed upon resin (e.g. ProA, MabSure Select, NiNTA, Ni Sepharose Excel) and exchange into standard agreed upon buffer (e.g. PBS).
o    Final deliverable would include:
       -  Purified protein, aliquoted per consultation
       -  Option:  three cryopreserved vials of cells
       -  Report including protein expression protocol used and titer and purification results</t>
    </r>
  </si>
  <si>
    <t>Stable CHO Production</t>
  </si>
  <si>
    <t>Line</t>
  </si>
  <si>
    <t>Typcial Yield (conventional VH/Vl IgG)</t>
  </si>
  <si>
    <t>Methods</t>
  </si>
  <si>
    <t>Instrumentation/Systems</t>
  </si>
  <si>
    <t>Final deliverable would include:
       -  Purified protein, aliquoted per consultation
       -  Option:  three cryopreserved vials of cells
       -  Report including protein expression protocol used and titer and purification results</t>
  </si>
  <si>
    <t>CHO Stable cell pool establishment</t>
  </si>
  <si>
    <t>n/a</t>
  </si>
  <si>
    <t>Transfection, selection, expansion</t>
  </si>
  <si>
    <t>Bioreactor, AKTA</t>
  </si>
  <si>
    <t>CHO</t>
  </si>
  <si>
    <t>Pilot Expression (e.g 100ml)</t>
  </si>
  <si>
    <t>10–20 mg</t>
  </si>
  <si>
    <t>0.5L</t>
  </si>
  <si>
    <t>50-100 mg</t>
  </si>
  <si>
    <t>100-200 mg</t>
  </si>
  <si>
    <t>2L</t>
  </si>
  <si>
    <t>200-400 mg</t>
  </si>
  <si>
    <t>500-1000 mg</t>
  </si>
  <si>
    <t>1-2 g</t>
  </si>
  <si>
    <t>20L</t>
  </si>
  <si>
    <t>2-4 g</t>
  </si>
  <si>
    <t>40L</t>
  </si>
  <si>
    <t>4-8 g</t>
  </si>
  <si>
    <t xml:space="preserve">Pricing Ab Oligo Conjugate
Pricing will remain fixed for 3 years. </t>
  </si>
  <si>
    <r>
      <t xml:space="preserve">Production of  Antibody-oligonucleotide conjugate
Overview:
•	</t>
    </r>
    <r>
      <rPr>
        <b/>
        <sz val="10"/>
        <color theme="0"/>
        <rFont val="Calibri"/>
        <family val="2"/>
      </rPr>
      <t>Expression of monovalent antibody with engineered free Cysteine in Fc to enable conjugation
•	Purification of monovalent antibody using CH1 excel resin
•	(Potential SEC purification if needed)
•	Conjugation to siRNA
•	Anion exchange purification of siRNA conjugate to remove reactants
•	Delivery of 10 mg conjugate and characterization package
•	Final deliverable quality thresholds:
     o	&lt;1 EU/mg
     o	&lt;5% aggregate
     o	&gt;90% 1 DAR species</t>
    </r>
    <r>
      <rPr>
        <b/>
        <u/>
        <sz val="10"/>
        <color theme="0"/>
        <rFont val="Calibri"/>
        <family val="2"/>
      </rPr>
      <t xml:space="preserve">
Steps:
1)Scale-up of Biogen provided plasmids
2)Transient expression of 500 mg antibody using preferred CHO expression system
3)Low Endotoxin affinity purification using CaptureSelect™ CH1-XL Affinity Matrix (protocol will be provided)
4)If analytical SEC shows &lt;90% desired monomeric protein, preparative SEC purification 
5)Site-specific conjugation of 200 mg protein to oligonucleotide using Biogen provided oligo and protocol
6) Anion Exchange purification of conjugate using TMAE fractogel
7)  Final characterization package:
     •	Concentration should be &gt;/= 5 mg/ml
     •	Endotoxin &lt;1 EU/mg
     •	Analytical SEC &gt;95% monomer
     •	If available, intact mass analysis
     •	Quantitative SDS-PAGE or gel-chip analysis to confirm purity and assess DAR (&gt;90% 1 DAR)
From Biogen:
Protocols
siRNA
expression plasmids
</t>
    </r>
  </si>
  <si>
    <t>Production of  Antibody-oligonucleotide conjugate</t>
  </si>
  <si>
    <t>Activity</t>
  </si>
  <si>
    <r>
      <rPr>
        <b/>
        <u/>
        <sz val="11"/>
        <color theme="1"/>
        <rFont val="Calibri"/>
        <family val="2"/>
      </rPr>
      <t>Final deliverable quality thresholds:</t>
    </r>
    <r>
      <rPr>
        <b/>
        <sz val="11"/>
        <color theme="1"/>
        <rFont val="Calibri"/>
        <family val="2"/>
      </rPr>
      <t xml:space="preserve">
o	&lt;1 EU/mg
o	&lt;5% aggregate
o	&gt;90% 1 DAR species
</t>
    </r>
    <r>
      <rPr>
        <b/>
        <u/>
        <sz val="11"/>
        <color theme="1"/>
        <rFont val="Calibri"/>
        <family val="2"/>
      </rPr>
      <t>Deliverables to Biogen:</t>
    </r>
    <r>
      <rPr>
        <b/>
        <sz val="11"/>
        <color theme="1"/>
        <rFont val="Calibri"/>
        <family val="2"/>
      </rPr>
      <t xml:space="preserve">
10 mg each conjugate at 1DAR
Remaining unconjugated antibody
Report including intermediate and final analysis</t>
    </r>
  </si>
  <si>
    <t>Scale-up of Biogen provided plasmids</t>
  </si>
  <si>
    <t>Shakers, CO2 incubators</t>
  </si>
  <si>
    <t>Plasmid amplification and QC</t>
  </si>
  <si>
    <t>Transient expression of 500 mg antibody using preferred CHO expression system</t>
  </si>
  <si>
    <t>Bioreactor, AKTA Avant</t>
  </si>
  <si>
    <t>Transient CHO expression</t>
  </si>
  <si>
    <t>Low Endotoxin affinity purification using CaptureSelect™ CH1-XL Affinity Matrix (protocol will be provided)</t>
  </si>
  <si>
    <t>AKTA Pure, CH1-XL resin</t>
  </si>
  <si>
    <t>Affinity purification</t>
  </si>
  <si>
    <t xml:space="preserve">If analytical SEC shows &lt;90% desired monomeric protein, preparative SEC purification </t>
  </si>
  <si>
    <t>AKTA Pure, SEC column</t>
  </si>
  <si>
    <t>Size exclusion chromatography</t>
  </si>
  <si>
    <t>Site-specific conjugation of 200 mg protein to oligonucleotide using Biogen provided oligo and protocol</t>
  </si>
  <si>
    <t>Conjugation setup, temperature-controlled incubator</t>
  </si>
  <si>
    <t>Site-specific conjugation</t>
  </si>
  <si>
    <t>2%</t>
  </si>
  <si>
    <t>Anion Exchange purification of conjugate using TMAE fractogel</t>
  </si>
  <si>
    <t>AKTA Pure, TMAE fractogel</t>
  </si>
  <si>
    <t>Anion exchange chromatography</t>
  </si>
  <si>
    <t>Final characterization package:
     •	Concentration should be &gt;/= 5 mg/ml
     •	Endotoxin &lt;1 EU/mg
     •	Analytical SEC &gt;95% monomer
     •	If available, intact mass analysis
     •	Quantitative SDS-PAGE or gel-chip analysis to confirm purity and assess DAR (&gt;90% 1 DAR)</t>
  </si>
  <si>
    <t>Spectrophotometer, SEC, SDS-PAGE, Mass Spec</t>
  </si>
  <si>
    <t>Analytical characterization</t>
  </si>
  <si>
    <t xml:space="preserve">Totals </t>
  </si>
  <si>
    <t xml:space="preserve">Pricing Biophysical Characterization 
Pricing will remain fixed for 3 years. </t>
  </si>
  <si>
    <t> Activity</t>
  </si>
  <si>
    <t xml:space="preserve">Methods </t>
  </si>
  <si>
    <t>Instrumentation/Systems (include the total number of instruments)</t>
  </si>
  <si>
    <t xml:space="preserve"># of Samples </t>
  </si>
  <si>
    <t>Throughput</t>
  </si>
  <si>
    <t>Plate Size/Formatting</t>
  </si>
  <si>
    <t>Current Operation Capacity %</t>
  </si>
  <si>
    <t>Scale (if applicable)</t>
  </si>
  <si>
    <t>QC Analysis (if applicable)</t>
  </si>
  <si>
    <t>Error Rate %</t>
  </si>
  <si>
    <t># of services completed in the last 2 years</t>
  </si>
  <si>
    <t xml:space="preserve">Biophysical Characterization Services: </t>
  </si>
  <si>
    <t>Thermostability (eg. DSF, DSC)</t>
  </si>
  <si>
    <t>DSF, DSC</t>
  </si>
  <si>
    <t>NanoDSF, MicroCal VP-DSC (2 units)</t>
  </si>
  <si>
    <t>Low</t>
  </si>
  <si>
    <t>96-well</t>
  </si>
  <si>
    <t>0.1–1 mg/mL</t>
  </si>
  <si>
    <t>Tm, onset temp</t>
  </si>
  <si>
    <t>Tm values, melting curves</t>
  </si>
  <si>
    <t>AC-SINS</t>
  </si>
  <si>
    <t>Affinity-capture self-interaction nanoparticle spectroscopy</t>
  </si>
  <si>
    <t>Octet R8 (1 unit)</t>
  </si>
  <si>
    <t>0.1–0.5 mg/mL</t>
  </si>
  <si>
    <t>λmax shift</t>
  </si>
  <si>
    <t>Spectral shift data</t>
  </si>
  <si>
    <t>Cross-interaction chromatography</t>
  </si>
  <si>
    <t>HIC-based interaction profiling</t>
  </si>
  <si>
    <t>HPLC (2 units)</t>
  </si>
  <si>
    <t>Medium</t>
  </si>
  <si>
    <t>Column-based</t>
  </si>
  <si>
    <t>0.5–1 mg/mL</t>
  </si>
  <si>
    <t>Retention time</t>
  </si>
  <si>
    <t>Chromatograms, retention data</t>
  </si>
  <si>
    <t>Polyreactivity analysis</t>
  </si>
  <si>
    <t>ELISA-based panel</t>
  </si>
  <si>
    <t>Plate reader (2 units)</t>
  </si>
  <si>
    <t>OD values</t>
  </si>
  <si>
    <t>Binding profile</t>
  </si>
  <si>
    <t>pH gradient affinity chromatography</t>
  </si>
  <si>
    <t>HPLC (1 unit)</t>
  </si>
  <si>
    <t>Elution profile</t>
  </si>
  <si>
    <t>Chromatograms</t>
  </si>
  <si>
    <t>High</t>
  </si>
  <si>
    <t>96/well</t>
  </si>
  <si>
    <t>Binding curves</t>
  </si>
  <si>
    <r>
      <t>Affinity data, EC</t>
    </r>
    <r>
      <rPr>
        <vertAlign val="subscript"/>
        <sz val="11"/>
        <rFont val="Calibri"/>
        <family val="2"/>
      </rPr>
      <t>50</t>
    </r>
  </si>
  <si>
    <t>Flow cytometry</t>
  </si>
  <si>
    <t>BD FACS Symphony (1 unit)
Beckman cytoflex S (1 unit)</t>
  </si>
  <si>
    <t>Tubes/96-well</t>
  </si>
  <si>
    <t>Reference Molecule</t>
  </si>
  <si>
    <r>
      <t>Binding histogram, MFI, EC</t>
    </r>
    <r>
      <rPr>
        <vertAlign val="subscript"/>
        <sz val="11"/>
        <rFont val="Calibri"/>
        <family val="2"/>
      </rPr>
      <t>50</t>
    </r>
  </si>
  <si>
    <t>&gt;700</t>
  </si>
  <si>
    <t>SPR</t>
  </si>
  <si>
    <t>Biacore T200 (1 unit)</t>
  </si>
  <si>
    <t>Sensor chip</t>
  </si>
  <si>
    <t>ka, kd, KD</t>
  </si>
  <si>
    <t>Kinetic binding data</t>
  </si>
  <si>
    <t>  SEC-MALS</t>
  </si>
  <si>
    <t>SEC-MALS system (1 unit)</t>
  </si>
  <si>
    <t>Mw, Rg</t>
  </si>
  <si>
    <t>Molecular weight, size distribution</t>
  </si>
  <si>
    <t>ESI-MS</t>
  </si>
  <si>
    <t>Q TOF (1 unit)</t>
  </si>
  <si>
    <t>Tube</t>
  </si>
  <si>
    <t>Mass accuracy</t>
  </si>
  <si>
    <t>Mass spectra, interpretation</t>
  </si>
  <si>
    <t>Native MS</t>
  </si>
  <si>
    <t>Q-TOF MS (1 unit)</t>
  </si>
  <si>
    <t>DAR, mass</t>
  </si>
  <si>
    <t>Mass spectra, DAR analysis</t>
  </si>
  <si>
    <t>Antibody de novo sequencing from protein sample</t>
  </si>
  <si>
    <t>LC-MS/MS</t>
  </si>
  <si>
    <t>Orbitrap Fusion (1 unit)</t>
  </si>
  <si>
    <t>Sequence coverage</t>
  </si>
  <si>
    <t>FASTA sequence, coverage map</t>
  </si>
  <si>
    <t>Antibody glycan analysis</t>
  </si>
  <si>
    <t>HILIC-UPLC</t>
  </si>
  <si>
    <t>UPLC (1 unit)</t>
  </si>
  <si>
    <t>Glycan profile</t>
  </si>
  <si>
    <t>Glycan map, relative abundance</t>
  </si>
  <si>
    <t xml:space="preserve">Pricing Specialized Biochemsitry
Pricing will remain fixed for 3 years. </t>
  </si>
  <si>
    <t xml:space="preserve">Current Operation Capacity </t>
  </si>
  <si>
    <t>Capacity for Biogen</t>
  </si>
  <si>
    <t>Purification (if applicable)</t>
  </si>
  <si>
    <t>Yield (if applicable)</t>
  </si>
  <si>
    <t xml:space="preserve">Antibody fragmentation (e.g. Fab generation) Preparation from 20mg of human IgG1. </t>
  </si>
  <si>
    <t>Enzymatic digestion (e.g. papain), purification via Protein A depletion and SEC</t>
  </si>
  <si>
    <t>AKTA, SDS-PAGE, UV-Vis, Analytical SEC</t>
  </si>
  <si>
    <t>10 samples/month</t>
  </si>
  <si>
    <t>15 samples/month</t>
  </si>
  <si>
    <t>20 mg input</t>
  </si>
  <si>
    <t>SEC</t>
  </si>
  <si>
    <t>Typically 10–15 mg Fab</t>
  </si>
  <si>
    <t>SDS-PAGE, SEC, UV-Vis</t>
  </si>
  <si>
    <t>&lt;1%</t>
  </si>
  <si>
    <t>Purified Fab, purity report by analytical SEC, SDS-Page, UV-Vis</t>
  </si>
  <si>
    <t>25</t>
  </si>
  <si>
    <t xml:space="preserve">Controlled Fab arm exchange reaction (cFAE) </t>
  </si>
  <si>
    <t>Selective reduction and reoxidation, analytical confirmation</t>
  </si>
  <si>
    <t>5 samples/month</t>
  </si>
  <si>
    <t>10 mg input</t>
  </si>
  <si>
    <t>8–9 mg bispecific antibody</t>
  </si>
  <si>
    <t>10mg scale Control-fab arm exchange, Purity report by SDS-PAGE, analytical SEC, UV-Vis</t>
  </si>
  <si>
    <t>15</t>
  </si>
  <si>
    <t xml:space="preserve">Fluorophore or biotin labelling </t>
  </si>
  <si>
    <t>NHS-ester or maleimide chemistry for labeling</t>
  </si>
  <si>
    <t>UV-Vis, SDS-PAGE</t>
  </si>
  <si>
    <t>1 mg input</t>
  </si>
  <si>
    <t>Desalting or SEC</t>
  </si>
  <si>
    <t>0.8–0.9 mg labeled antibody</t>
  </si>
  <si>
    <t>UV-Vis, SDS-PAGE, conjugation ratio estimation</t>
  </si>
  <si>
    <t>1mg scale, purity report by UV-VIS, SDS-Page, estimated conjugation molar ratio</t>
  </si>
  <si>
    <t>30</t>
  </si>
  <si>
    <t>Volume  Rebate or Volume Discount</t>
  </si>
  <si>
    <t>Please propose a volume rebate and/or volume discount to encourage growth of business with Biogen</t>
  </si>
  <si>
    <t>1)</t>
  </si>
  <si>
    <t xml:space="preserve">Volume Discount </t>
  </si>
  <si>
    <t>Vendor will provide Biogen a volume discount (“Volume Discount”) calculated by multiplying the annual aggregate spend achieved the previous calendar year, across all services provided to all Biogen affiliates, by the corresponding volume discount percentage associated with the annual aggregate spend range in the chart below. The following discount shall be applied to Biogen’s future quotations. The discount shall come into effect as of the Effective Date.</t>
  </si>
  <si>
    <t>Example Tiers</t>
  </si>
  <si>
    <t>Annual Aggregate Spend</t>
  </si>
  <si>
    <t>Volume Discount %</t>
  </si>
  <si>
    <t>0-$250,000</t>
  </si>
  <si>
    <t>-</t>
  </si>
  <si>
    <t>$250,000-$500,000</t>
  </si>
  <si>
    <t>$500,000-$750,000</t>
  </si>
  <si>
    <t>$750,000-$1,000,000</t>
  </si>
  <si>
    <t>&gt;$1,000,000</t>
  </si>
  <si>
    <t>2)</t>
  </si>
  <si>
    <t xml:space="preserve">Volume Rebate </t>
  </si>
  <si>
    <t xml:space="preserve">Vendor will pay Biogen an annual volume rebate (“Volume Rebate”) calculated by multiplying the Annual Aggregate Spend achieved (from dollar one) in such calendar year across all services provided to all Biogen affiliates by the volume rebate percentage corresponding to the Annual Aggregate Spend range according to the following chart: </t>
  </si>
  <si>
    <t>Volume Rebate %</t>
  </si>
  <si>
    <r>
      <rPr>
        <b/>
        <sz val="11"/>
        <rFont val="Calibri"/>
        <family val="2"/>
      </rPr>
      <t>Miyapur Site</t>
    </r>
    <r>
      <rPr>
        <sz val="11"/>
        <rFont val="Calibri"/>
        <family val="2"/>
      </rPr>
      <t xml:space="preserve">
Address: Aurigene Pharmaceutical Services Ltd, Bollaram Road, Jaya Prakash Narayan Nagar, Miyapur, Telangana 500049, India
Years of Operation: ~5+ years (since 2019)
</t>
    </r>
    <r>
      <rPr>
        <b/>
        <sz val="11"/>
        <rFont val="Calibri"/>
        <family val="2"/>
      </rPr>
      <t>Bachupally Site (Dr. Reddy’s Laboratories)</t>
    </r>
    <r>
      <rPr>
        <sz val="11"/>
        <rFont val="Calibri"/>
        <family val="2"/>
      </rPr>
      <t xml:space="preserve">
Address: Dr. Reddy’s Laboratories Ltd, Bachupally Industrial Area, Bachupally, Hyderabad, Telangana 500090, India
Years of Operation: ~20+ years (Dr. Reddy’s legacy site)
</t>
    </r>
    <r>
      <rPr>
        <b/>
        <sz val="11"/>
        <rFont val="Calibri"/>
        <family val="2"/>
      </rPr>
      <t>Shamirpet Site (Genome Valley)</t>
    </r>
    <r>
      <rPr>
        <sz val="11"/>
        <rFont val="Calibri"/>
        <family val="2"/>
      </rPr>
      <t xml:space="preserve">
Address: Aurigene Pharmaceutical Services Ltd, Genome Valley, Hyderabad, Telangana 500078, India
Years of Operation: ~1+ year (Biologics facility inaugurated in June 2024)</t>
    </r>
  </si>
  <si>
    <t>Aurigene offers comprehensive Gene to Plasmid services, including cloning into customer templates from a single colony. The team includes PhD-level scientists with expertise in Molecular Biology, Biochemistry, and Genetic Engineering, supported by advanced infrastructure. Specialized reagents and instrumentation include automated liquid handlers, spectrophotometers, gel documentation systems, and thermal cyclers. The lab setup ensures high-throughput and quality-controlled workflows.
Aurigene will be able to provide the required data package for Biogen, including:
    Plasmid concentration (with option for normalized concentration, e.g., 1 mg/mL)
    Sanger sequencing data of the cloned insert or specified region</t>
  </si>
  <si>
    <t>In 2025, Aurigene will track key performance indicators including success rate (≥98%), on-time delivery (≥95%), quality compliance (≥99%), and data accuracy (≥98%). These KPIs will be reported monthly and quarterly, with corrective actions like workflow optimization or retraining of team members will be triggered if thresholds are not met, ensuring consistent performance and alignment with Biogen’s expectations.</t>
  </si>
  <si>
    <t>All types of ab isotypes and formats can be customised and generated as per the client's requirement</t>
  </si>
  <si>
    <t>We offer standard production volumes ranging from small-scale (1 mL, 3 mL, 30 mL) to mid-scale (500 mL, 1 L) and large-scale (upto 20 L). This flexibility allows us to support both pilot studies and larger production campaigns.</t>
  </si>
  <si>
    <r>
      <t xml:space="preserve">Aurigene successfully collaborated with Biogen in </t>
    </r>
    <r>
      <rPr>
        <sz val="11"/>
        <color theme="1"/>
        <rFont val="Calibri"/>
        <family val="2"/>
      </rPr>
      <t xml:space="preserve">2024 </t>
    </r>
    <r>
      <rPr>
        <sz val="11"/>
        <rFont val="Calibri"/>
        <family val="2"/>
      </rPr>
      <t>on a project involving the generation of AOCs and delivered high-quality results per KPIs defined by Biogen within the agreed timeline. Apart from the above Aurigene has delivered an</t>
    </r>
    <r>
      <rPr>
        <i/>
        <sz val="11"/>
        <rFont val="Calibri"/>
        <family val="2"/>
      </rPr>
      <t xml:space="preserve"> E. coli </t>
    </r>
    <r>
      <rPr>
        <sz val="11"/>
        <rFont val="Calibri"/>
        <family val="2"/>
      </rPr>
      <t>based protein expression and supplied.  
Aurigene offers robust expertise in protein production, characterization, and bioanalytical services, backed by a dedicated team of over 10 PhD-level scientists specializing in protein biochemistry, cell line engineering, and analytical sciences.</t>
    </r>
  </si>
  <si>
    <t xml:space="preserve">All data, discoveries, and regulatory filings arising during the performance of the services will be fully owned by Biogen. Aurigene Pharmaceutical Services Ltd does not impose any IP restrictions or licensing fees on customer-owned IP. Aurigene supports IP management for customer projects through its dedicated Intellectual Property Management (IPM) team, ensuring secure handling and compliance. </t>
  </si>
  <si>
    <t>Yes, we offer storage free of costs.</t>
  </si>
  <si>
    <t xml:space="preserve">Aurigene Pharmaceutical Services Ltd does not currently have a dedicated office in the Boston metro area. However, the company maintains global operations, including manufacturing facilities in Mexico and UK. </t>
  </si>
  <si>
    <t>Gene-to-Protein Workflow – Transient Expression Capabilities
Aurigene Pharmaceutical Services Ltd. (Aurigene) offers comprehensive gene-to-protein services with a strong focus on transient expression in CHO and HEK293 cell systems. These services are designed to support antibody production at scales ranging from 0.2 mg to 1 gram, meeting the stringent quality and analytical requirements outlined by Biogen.
Scientific Expertise
Our team includes a robust scientific workforce with a PhD-to-MSc ratio of 1:5, comprising experts in Protein Biochemistry, Molecular Biology, and Cell Line Development. This ensures that every project benefits from deep scientific insight and hands-on experience.
Methods &amp; Workflow
•	Gene synthesis and cloning into high-expression vectors.
•	Transient transfection using PEI or proprietary reagents in serum-free media.
•	Expression monitoring via ELISA, SDS-PAGE, and Western blot.
•	Purification using affinity chromatography (Protein A/G, His-tag), followed by polishing steps such as IEX, SEC, or Mixed Mode Chromatography.
•	Formulation of the final protein in the buffer agreed upon with Biogen.
Specialized Reagents &amp; Consumables
•	High-efficiency transfection reagents (PEI, Lipofectamine)
•	Chemically defined, serum-free media
•	Endotoxin-free consumables
•	Affinity resins (Protein A, Ni-NTA, MabSelect)
Instrumentation
•	Bioreactors ranging from shake flasks to 10L scale
•	AKTA systems for purification
•	Endotoxin testing systems
•	Analytical SEC (HPLC/UHPLC)
•	SDS-PAGE &amp; Western blot systems
•	UV-Vis spectrophotometers for concentration measurement
Laboratory Setup
Our facility includes:
•	Dedicated cell culture suites for CHO and HEK293
•	Protein purification labs with automated chromatography systems
•	Analytical labs for characterization and QC
•	Biosafety Level 2 compliance
Deliverables
All protein batches are delivered following Biogen’s specifications:
•	Purified protein in the agreed buffer
•	Endotoxin level &lt;1 EU/mg
•	&gt;95% monomer confirmed by analytical SEC
•	Comprehensive data package including:
•	Protein concentration
•	SDS-PAGE (Reduced &amp; Non-reduced)
•	% Monomer by analytical SEC
•	Endotoxin level</t>
  </si>
  <si>
    <t>To meet Biogen’s requirements, Aurigene follows standardized protocols for gene-to-protein workflows. We ensure that purified proteins are formulated in the agreed buffer, desired endotoxin levels below 1 EU/mg, and exhibit greater than 95% monomer content as confirmed by analytical SEC. Each batch is accompanied by CoA and a comprehensive data package including protein concentration, SDS-PAGE (reduced and non-reduced), SEC analysis, and endotoxin levels.</t>
  </si>
  <si>
    <t>Stable CHO Production – Capabilities and Workflow
Aurigene Pharmaceutical Services Ltd. (Aurigene) provides end-to-end services for stable CHO cell line development and protein production, tailored to meet Biogen’s specifications. Our team includes highly qualified scientists with a PhD-to-MSc ratio of 1:5, specializing in Protein Biochemistry, Cell Line Engineering, and Downstream Processing.
Capabilities &amp; Experience
•	Generation of stable CHO pools from provided amino acid sequences using optimized vectors and selection systems.
•	Pilot expression runs at 100 mL scale to evaluate titer and expression quality, with optional pilot purification.
•	Scale-up production from 1 L to 40 L using stirred-tank bioreactors and single-use systems.
•	Single-step purification using resins such as Protein A, MabSure Select, Ni-NTA, and Ni Sepharose Excel, followed by buffer exchange into standard buffers like PBS.
Methods &amp; Reagents
•	Transfection via electroporation or lipid-based systems.
•	Selection using antibiotic resistance or metabolic markers.
•	Serum-free, chemically defined media for consistent performance.
•	Endotoxin-free consumables and validated chromatography resins.
Instrumentation
•	Bioreactors ranging from bench-top to 40 L scale.
•	AKTA Pure system for all purification workflows.
•	Analytical tools including SDS-PAGE, SEC, UV-Vis spectrophotometry, and endotoxin testing (LAL assay).
Laboratory Setup
•	Dedicated suites for cell culture, protein purification, and analytical testing.
•	BSL-2 compliant infrastructure with cleanroom standards.
•	Integrated documentation and data capture systems.
Deliverables
All final deliverables are aligned with Biogen’s requirements:
•	Purified protein, aliquoted as per consultation.
•	Optional delivery of three cryopreserved vials of the stable CHO pool.
•	Comprehensive report including:
•	Expression protocol
•	Titer results
•	Purification details and analytical data</t>
  </si>
  <si>
    <t xml:space="preserve">Aurigene performs preparative SEC to separate proteins based on size, ensuring high purity and monomeric content. We are equipped with many AKTA systems with multiple analytical and preparative-grade SEC columns that are available in-house, such as Superdex S200, S75, etc. </t>
  </si>
  <si>
    <t>Aurigene applies HIC for purification of proteins based on hydrophobicity, especially useful for antibody variants. We use Butyl, Phenyl, and Octyl resins, and tailor salt gradients for selective elution. Our team ensures minimal aggregation and high recovery.</t>
  </si>
  <si>
    <t>Aurigene performs site-specific conjugation of oligonucleotides via engineered cysteine using maleimide chemistry. We ensure &gt;90% 1 DAR using SDS-PAGE, mass spectrometry, or equivalent methods. Purification is performed using SEC and affinity chromatography. Aurigene has done the same project earlier with Biogen producing DAR 1.</t>
  </si>
  <si>
    <t>Aurigene offers multi-step purification services including SEC, IEX, HIC, and Mixed Mode Chromatography for gene-to-protein and stable CHO production workflows. Our team includes a strong scientific base with a 1:5 PhD-to-MSc ratio, specializing in Protein Biochemistry. We use high-quality reagents, endotoxin-free consumables, and perform all purification on AKTA Pure systems. Our labs are equipped with dedicated chromatography suites and analytical tools to ensure high purity, yield, and reproducibility.</t>
  </si>
  <si>
    <t>Aurigene performs enzymatic fragmentation of antibodies to generate Fab and Fc fragments using proteases such as papain or pepsin. Our team includes highly qualified scientists with a PhD-to-MSc ratio of 1:5, specializing in Protein Biochemistry ensures precise control of reaction conditions to achieve high yield and purity. Fragmentation is followed by purification using Protein A depletion and SEC.</t>
  </si>
  <si>
    <t>We offer cFAE to generate bispecific antibodies through selective reduction and re-oxidation of Fab arms. Aurigene uses optimized redox buffers and analytical SEC to monitor exchange efficiency. Our scientists validate the final product using SDS-PAGE and binding assays.</t>
  </si>
  <si>
    <t>Aurigene performs site-specific and random labelling of antibodies with fluorophores (e.g., Alexa Fluor dyes) or biotin using NHS-ester or maleimide chemistry. Labelling efficiency is confirmed via mass spectrophotometry, UV UV-based method. The degree of labelling will be done by mass spectrometry and UV-based methods.</t>
  </si>
  <si>
    <t>Aurigene provides end-to-end protein production and purification services with expertise in both transient and stable CHO systems. Our team includes a strong scientific base with a 1:5 PhD-to-MSc ratio, specializing in Protein Biochemistry. We use optimized methods for expression and multi-step purification including SEC, IEX, HIC, and Mixed Mode Chromatography, supported by high-quality reagents and consumables. All purification is performed using AKTA Pure systems in dedicated downstream processing labs equipped for analytical and preparative workflows.</t>
  </si>
  <si>
    <t>Aurigene performs DSF and DSC to assess protein thermal stability. Our labs are equipped with high-sensitivity instruments and staffed by scientists with expertise in protein folding and stability.</t>
  </si>
  <si>
    <t>Aurigene conduct AC-SINS to evaluate antibody self-interaction. Our team uses gold nanoparticle-based assays and spectrophotometric analysis for high-throughput screening.</t>
  </si>
  <si>
    <t>Aurigene uses cross-interaction chromatography to assess non-specific interactions between antibodies and other proteins. We employ custom columns and validated protocols to ensure reproducibility.</t>
  </si>
  <si>
    <t>Aurigene perform polyreactivity assays using ELISA-based platforms and flow cytometry to detect off-target binding. Our scientists ensure high sensitivity and specificity in detection.</t>
  </si>
  <si>
    <t>Aurigene utilizes FcRn affinity chromatography to study antibody recycling and half-life prediction. We use recombinant FcRn columns and pH-gradient elution methods.</t>
  </si>
  <si>
    <t>Aurigene perform cell-binding assays using flow cytometry with fluorescently labeled antibodies. Our setup includes multi-color flow cytometers and cell culture facilities.</t>
  </si>
  <si>
    <t>Aurigene uses Biacore SPR systems to measure real-time binding kinetics and affinity. Our scientists are trained in assay development and data interpretation.</t>
  </si>
  <si>
    <t>Aurigene provides comprehensive protein production and purification services supported by a team with a 1:5 PhD-to-MSc ratio, specializing in Protein Biochemistry. We use optimized expression methods in CHO and HEK293 systems, and perform multi-step purification using AKTA Pure with techniques like SEC, IEX, HIC, and Mixed Mode Chromatography. Our labs are equipped with dedicated suites and high-quality reagents to ensure reproducibility, scalability, and compliance with global standards.</t>
  </si>
  <si>
    <t>Aurigene performs intact mass spectrometry under both reduced and non-reduced conditions to confirm molecular weight and structural integrity of antibodies and proteins. Our team includes over 5 PhD scientists with expertise in protein biochemistry and analytical chemistry. We use high-resolution mass spectrometers (e.g., Orbitrap, Q-TOF) and validated protocols for sample preparation and data interpretation.</t>
  </si>
  <si>
    <t>Aurigene offer native MS analysis for antibody-oligonucleotide conjugates to assess conjugation efficiency, stoichiometry, and structural preservation. Our instrumentation supports gentle ionization techniques to maintain non-covalent interactions, and our scientists are trained in complex conjugate analysis.</t>
  </si>
  <si>
    <t>Aurigene provides de novo sequencing of antibodies directly from protein samples using advanced LC-MS/MS workflows. We apply enzymatic digestion strategies and proprietary algorithms for sequence reconstruction, supported by expert data interpretation.</t>
  </si>
  <si>
    <t>Aurigene perform detailed glycan profiling using LC-MS and HILIC-based methods. Our workflows include enzymatic release of glycans, fluorescent labeling, and mass spectrometric analysis to determine glycan composition, heterogeneity, and relative abundance.</t>
  </si>
  <si>
    <t>Aurigene offers novel expression systems including proprietary CHO variants, high-yield transient platforms, and customized purification workflows. Our integrated services and flexible scale-up capabilities differentiate us from competitors.</t>
  </si>
  <si>
    <t>Currently, Aurigene does not operate any dedicated high-throughput systems for the services beyond those already described. All processes are conducted using standard laboratory workflows optimized for quality, reproducibility, and scalability.</t>
  </si>
  <si>
    <t xml:space="preserve">Aurigene currently does not operate a dedicated online ordering portal. Orders from Biogen will be managed under a Blanket PO via email or secure file transfer, with project initiation confirmed through formal documentation. Can add that we are listed on portal like scientist.com </t>
  </si>
  <si>
    <t>Aurigene uses secure internal systems for data capture and retention, including electronic lab notebooks (ELNs), validated spreadsheets, and centralized file servers with restricted access.</t>
  </si>
  <si>
    <t>Aurigene does not currently use a commercial LIMS. Sample receipt is tracked manually using internal logs and project tracking sheets, ensuring traceability and compliance.</t>
  </si>
  <si>
    <t>Current bottlenecks include manual sample tracking, limited automation in data processing, and dependency on email-based communication for order management. Aurigene is actively exploring digital solutions to streamline these areas.</t>
  </si>
  <si>
    <t>Aurigene mitigates customs delays for shipments by partnering with experienced logistics providers like World Courier ensuring complete documentation, and leveraging FDA-inspected global facilities. For research-scale shipments of 100 mg IgG, the average shipping cost is approximately $500–$1000, depending on packaging and courier service.</t>
  </si>
  <si>
    <t>Aurigene manages failed services through a structured root cause analysis (RCA) and Corrective and Preventive Action (CAPA) process. Any deviation triggers a review, and services are re-executed at no additional service cost if failure is due to an internal error. Continuous improvement measures are implemented to prevent recurrence and ensure quality standards are maintained.</t>
  </si>
  <si>
    <t>In the event of a force majeure, Aurigene ensures service continuity for Biogen through contingency planning, alternate site readiness, and remote coordination capabilities.
Apart from the three sites mentioned above, Aurigene has access to 23 different sites of its parent organisation to run its operations.
Critical operations are prioritized, and communication with Biogen remains active to manage expectations and minimize disruptions.</t>
  </si>
  <si>
    <t>Jenny Yip (Director -Business Development)
Email: jennyyip@aurigeneservices.com</t>
  </si>
  <si>
    <t>Turnaround time (Calendar days)
- Includes shipping time 7 Days</t>
  </si>
  <si>
    <t>Turnaround Time (Caneldar Days)
- including report preparation (Shipping is not required)</t>
  </si>
  <si>
    <t xml:space="preserve">Turnaround Time (Calendar Days)
- Includes shipping time 7 Days
</t>
  </si>
  <si>
    <t>17–22 days</t>
  </si>
  <si>
    <t>19–25 days</t>
  </si>
  <si>
    <t>14–17 days</t>
  </si>
  <si>
    <t>ELISA, BLI</t>
  </si>
  <si>
    <t>1, 5 and 10</t>
  </si>
  <si>
    <t>*Rates are provided for 1, 5, and 10 samples. For up to 4 samples, the per-sample rate will apply. For 5 to 9 samples, pricing will be calculated based on the 5-sample rate. For 10 samples and above, the 10-sample rate will be applicable.</t>
  </si>
  <si>
    <t>Price ($) for 1 samples*</t>
  </si>
  <si>
    <t>Price ($) for 5 samples*</t>
  </si>
  <si>
    <t>Price ($) for 10 samples*</t>
  </si>
  <si>
    <r>
      <rPr>
        <sz val="11"/>
        <color theme="1"/>
        <rFont val="Calibri"/>
        <family val="2"/>
      </rPr>
      <t xml:space="preserve"> FcRn chromatography</t>
    </r>
  </si>
  <si>
    <r>
      <rPr>
        <sz val="11"/>
        <color theme="1"/>
        <rFont val="Calibri"/>
        <family val="2"/>
      </rPr>
      <t xml:space="preserve"> Binding studies, high throughput (e.g. Elisa, MSD, Octet)</t>
    </r>
  </si>
  <si>
    <r>
      <rPr>
        <sz val="11"/>
        <color theme="1"/>
        <rFont val="Calibri"/>
        <family val="2"/>
      </rPr>
      <t xml:space="preserve"> Cell-binding studies (e.g. flow cytometry)</t>
    </r>
  </si>
  <si>
    <r>
      <rPr>
        <sz val="11"/>
        <color theme="1"/>
        <rFont val="Calibri"/>
        <family val="2"/>
      </rPr>
      <t xml:space="preserve"> Surface plasmon resonance (e.g. Biacore)</t>
    </r>
  </si>
  <si>
    <r>
      <rPr>
        <sz val="11"/>
        <color theme="1"/>
        <rFont val="Calibri"/>
        <family val="2"/>
      </rPr>
      <t>  SEC-MALS</t>
    </r>
  </si>
  <si>
    <r>
      <rPr>
        <sz val="11"/>
        <color theme="1"/>
        <rFont val="Calibri"/>
        <family val="2"/>
      </rPr>
      <t>  Intact Mass Spec (Reduced and non-reduced), including data analysis and interpretation</t>
    </r>
  </si>
  <si>
    <r>
      <rPr>
        <sz val="11"/>
        <color theme="1"/>
        <rFont val="Calibri"/>
        <family val="2"/>
      </rPr>
      <t xml:space="preserve"> Native Mass Spectrometry analysis of antibody-oligonucleotide conjugates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</si>
</sst>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_(* #,##0_);_(* \(#,##0\);_(* &quot;-&quot;??_);_(@_)"/>
    <numFmt numFmtId="166" formatCode="0.0%"/>
  </numFmts>
  <fonts count="33" x14ac:knownFonts="1">
    <font>
      <sz val="11"/>
      <color theme="1"/>
      <name val="Calibri"/>
      <family val="2"/>
    </font>
    <font>
      <sz val="11"/>
      <color theme="1"/>
      <name val="Aptos Narrow"/>
      <family val="2"/>
      <scheme val="minor"/>
    </font>
    <font>
      <sz val="11"/>
      <color theme="1"/>
      <name val="Aptos Narrow"/>
      <family val="2"/>
      <scheme val="minor"/>
    </font>
    <font>
      <sz val="10"/>
      <name val="Arial"/>
      <family val="2"/>
    </font>
    <font>
      <u/>
      <sz val="11"/>
      <color theme="10"/>
      <name val="Aptos Narrow"/>
      <family val="2"/>
      <scheme val="minor"/>
    </font>
    <font>
      <sz val="11"/>
      <color theme="1"/>
      <name val="Aptos Narrow"/>
      <family val="2"/>
      <scheme val="minor"/>
    </font>
    <font>
      <sz val="11"/>
      <color theme="1"/>
      <name val="Calibri"/>
      <family val="2"/>
    </font>
    <font>
      <b/>
      <sz val="11"/>
      <color theme="0"/>
      <name val="Calibri"/>
      <family val="2"/>
    </font>
    <font>
      <b/>
      <i/>
      <sz val="11"/>
      <color theme="0"/>
      <name val="Calibri"/>
      <family val="2"/>
    </font>
    <font>
      <sz val="11"/>
      <name val="Calibri"/>
      <family val="2"/>
    </font>
    <font>
      <b/>
      <sz val="11"/>
      <name val="Calibri"/>
      <family val="2"/>
    </font>
    <font>
      <sz val="11"/>
      <color rgb="FFFF0000"/>
      <name val="Calibri"/>
      <family val="2"/>
    </font>
    <font>
      <i/>
      <sz val="11"/>
      <name val="Calibri"/>
      <family val="2"/>
    </font>
    <font>
      <b/>
      <i/>
      <sz val="11"/>
      <color indexed="9"/>
      <name val="Calibri"/>
      <family val="2"/>
    </font>
    <font>
      <sz val="11"/>
      <name val="Aptos Narrow"/>
      <family val="2"/>
      <scheme val="minor"/>
    </font>
    <font>
      <b/>
      <sz val="11"/>
      <color theme="1"/>
      <name val="Calibri"/>
      <family val="2"/>
    </font>
    <font>
      <b/>
      <u/>
      <sz val="11"/>
      <color theme="0"/>
      <name val="Calibri"/>
      <family val="2"/>
    </font>
    <font>
      <sz val="8"/>
      <name val="Calibri"/>
      <family val="2"/>
    </font>
    <font>
      <b/>
      <u/>
      <sz val="11"/>
      <name val="Calibri"/>
      <family val="2"/>
    </font>
    <font>
      <sz val="11"/>
      <color theme="0"/>
      <name val="Calibri"/>
      <family val="2"/>
    </font>
    <font>
      <b/>
      <sz val="11"/>
      <color theme="1"/>
      <name val="Aptos Narrow"/>
      <family val="2"/>
      <scheme val="minor"/>
    </font>
    <font>
      <i/>
      <sz val="11"/>
      <color theme="2" tint="-0.499984740745262"/>
      <name val="Calibri"/>
      <family val="2"/>
    </font>
    <font>
      <sz val="10"/>
      <color theme="1"/>
      <name val="Calibri"/>
      <family val="2"/>
    </font>
    <font>
      <b/>
      <u/>
      <sz val="10"/>
      <color theme="0"/>
      <name val="Calibri"/>
      <family val="2"/>
    </font>
    <font>
      <b/>
      <sz val="10"/>
      <color theme="0"/>
      <name val="Calibri"/>
      <family val="2"/>
    </font>
    <font>
      <b/>
      <u/>
      <sz val="11"/>
      <color theme="1"/>
      <name val="Calibri"/>
      <family val="2"/>
    </font>
    <font>
      <sz val="12"/>
      <color theme="1"/>
      <name val="Times New Roman"/>
      <family val="1"/>
    </font>
    <font>
      <b/>
      <sz val="11"/>
      <color rgb="FFFF0000"/>
      <name val="Calibri"/>
      <family val="2"/>
    </font>
    <font>
      <sz val="11"/>
      <name val="Aptos Narrow"/>
      <scheme val="minor"/>
    </font>
    <font>
      <vertAlign val="subscript"/>
      <sz val="11"/>
      <name val="Calibri"/>
      <family val="2"/>
    </font>
    <font>
      <b/>
      <u/>
      <sz val="11"/>
      <color rgb="FFFFFFFF"/>
      <name val="Calibri"/>
      <family val="2"/>
    </font>
    <font>
      <sz val="11"/>
      <color rgb="FFFFFFFF"/>
      <name val="Calibri"/>
      <family val="2"/>
    </font>
    <font>
      <sz val="11"/>
      <color theme="1"/>
      <name val="Calibri"/>
    </font>
  </fonts>
  <fills count="6">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0" tint="-0.249977111117893"/>
        <bgColor indexed="64"/>
      </patternFill>
    </fill>
    <fill>
      <patternFill patternType="solid">
        <fgColor indexed="2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right/>
      <top style="thin">
        <color theme="4"/>
      </top>
      <bottom style="double">
        <color theme="4"/>
      </bottom>
      <diagonal/>
    </border>
    <border>
      <left/>
      <right style="medium">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0" fontId="3" fillId="0" borderId="0"/>
    <xf numFmtId="0" fontId="4" fillId="0" borderId="0" applyNumberFormat="0" applyFill="0" applyBorder="0" applyAlignment="0" applyProtection="0"/>
    <xf numFmtId="0" fontId="5" fillId="0" borderId="0"/>
    <xf numFmtId="0" fontId="15" fillId="0" borderId="13" applyNumberFormat="0" applyFill="0" applyAlignment="0" applyProtection="0"/>
    <xf numFmtId="44" fontId="6" fillId="0" borderId="0" applyFont="0" applyFill="0" applyBorder="0" applyAlignment="0" applyProtection="0"/>
    <xf numFmtId="43" fontId="6" fillId="0" borderId="0" applyFont="0" applyFill="0" applyBorder="0" applyAlignment="0" applyProtection="0"/>
    <xf numFmtId="0" fontId="2" fillId="0" borderId="0"/>
    <xf numFmtId="0" fontId="1" fillId="0" borderId="0"/>
  </cellStyleXfs>
  <cellXfs count="235">
    <xf numFmtId="0" fontId="0" fillId="0" borderId="0" xfId="0"/>
    <xf numFmtId="0" fontId="6" fillId="2" borderId="0" xfId="0" applyFont="1" applyFill="1" applyAlignment="1">
      <alignment horizontal="left" vertical="top" wrapText="1"/>
    </xf>
    <xf numFmtId="0" fontId="9" fillId="2" borderId="1" xfId="0" applyFont="1" applyFill="1" applyBorder="1" applyAlignment="1">
      <alignment horizontal="left" vertical="top" wrapText="1"/>
    </xf>
    <xf numFmtId="0" fontId="9" fillId="2" borderId="0" xfId="0" applyFont="1" applyFill="1" applyAlignment="1">
      <alignment horizontal="left" vertical="top" wrapText="1"/>
    </xf>
    <xf numFmtId="0" fontId="6" fillId="2" borderId="0" xfId="0" applyFont="1" applyFill="1" applyAlignment="1">
      <alignment horizontal="center" vertical="top" wrapText="1"/>
    </xf>
    <xf numFmtId="0" fontId="6" fillId="2" borderId="0" xfId="0" applyFont="1" applyFill="1"/>
    <xf numFmtId="0" fontId="7" fillId="3" borderId="1" xfId="1" applyFont="1" applyFill="1" applyBorder="1" applyAlignment="1">
      <alignment horizontal="center" vertical="center" wrapText="1"/>
    </xf>
    <xf numFmtId="0" fontId="7" fillId="3" borderId="1" xfId="1" applyFont="1" applyFill="1" applyBorder="1" applyAlignment="1">
      <alignment horizontal="center" vertical="center"/>
    </xf>
    <xf numFmtId="0" fontId="9" fillId="0" borderId="2" xfId="1" applyFont="1" applyBorder="1" applyAlignment="1">
      <alignment horizontal="center" vertical="center" wrapText="1"/>
    </xf>
    <xf numFmtId="0" fontId="9" fillId="0" borderId="1" xfId="1" applyFont="1" applyBorder="1" applyAlignment="1">
      <alignment vertical="top" wrapText="1"/>
    </xf>
    <xf numFmtId="0" fontId="9" fillId="0" borderId="1" xfId="0" applyFont="1" applyBorder="1" applyAlignment="1">
      <alignment vertical="center"/>
    </xf>
    <xf numFmtId="0" fontId="9" fillId="0" borderId="1" xfId="0" applyFont="1" applyBorder="1"/>
    <xf numFmtId="0" fontId="9" fillId="0" borderId="1" xfId="0" applyFont="1" applyBorder="1" applyAlignment="1">
      <alignment horizontal="left"/>
    </xf>
    <xf numFmtId="0" fontId="9" fillId="0" borderId="1" xfId="1" applyFont="1" applyBorder="1" applyAlignment="1">
      <alignment horizontal="center" vertical="center" wrapText="1"/>
    </xf>
    <xf numFmtId="0" fontId="9" fillId="0" borderId="1" xfId="0" applyFont="1" applyBorder="1" applyAlignment="1">
      <alignment horizontal="left" vertical="top"/>
    </xf>
    <xf numFmtId="0" fontId="11" fillId="2" borderId="0" xfId="1" applyFont="1" applyFill="1" applyAlignment="1">
      <alignment horizontal="center" vertical="center"/>
    </xf>
    <xf numFmtId="0" fontId="6" fillId="2" borderId="0" xfId="1" applyFont="1" applyFill="1"/>
    <xf numFmtId="0" fontId="9" fillId="2" borderId="6" xfId="0" applyFont="1" applyFill="1" applyBorder="1" applyAlignment="1">
      <alignment horizontal="left" vertical="top" wrapText="1"/>
    </xf>
    <xf numFmtId="0" fontId="9" fillId="2" borderId="8" xfId="0" applyFont="1" applyFill="1" applyBorder="1" applyAlignment="1">
      <alignment horizontal="left" vertical="top" wrapText="1"/>
    </xf>
    <xf numFmtId="0" fontId="6" fillId="2" borderId="0" xfId="1" applyFont="1" applyFill="1" applyAlignment="1">
      <alignment horizontal="left" vertical="top"/>
    </xf>
    <xf numFmtId="0" fontId="11" fillId="2" borderId="0" xfId="1" applyFont="1" applyFill="1" applyAlignment="1">
      <alignment horizontal="left" vertical="top"/>
    </xf>
    <xf numFmtId="0" fontId="10" fillId="2" borderId="0" xfId="1" applyFont="1" applyFill="1" applyAlignment="1">
      <alignment horizontal="left" vertical="top"/>
    </xf>
    <xf numFmtId="0" fontId="9" fillId="2" borderId="0" xfId="1" applyFont="1" applyFill="1" applyAlignment="1">
      <alignment horizontal="left" vertical="top"/>
    </xf>
    <xf numFmtId="0" fontId="9" fillId="2" borderId="1" xfId="1" applyFont="1" applyFill="1" applyBorder="1" applyAlignment="1">
      <alignment horizontal="left" vertical="top"/>
    </xf>
    <xf numFmtId="0" fontId="0" fillId="2" borderId="0" xfId="0" applyFill="1" applyAlignment="1">
      <alignment horizontal="left" vertical="top" wrapText="1"/>
    </xf>
    <xf numFmtId="0" fontId="10" fillId="2" borderId="1" xfId="1" applyFont="1" applyFill="1" applyBorder="1" applyAlignment="1">
      <alignment horizontal="left" vertical="top"/>
    </xf>
    <xf numFmtId="0" fontId="18" fillId="2" borderId="0" xfId="1" applyFont="1" applyFill="1" applyAlignment="1">
      <alignment horizontal="left" vertical="top"/>
    </xf>
    <xf numFmtId="0" fontId="0" fillId="2" borderId="0" xfId="0" applyFill="1" applyAlignment="1">
      <alignment horizontal="left" vertical="top"/>
    </xf>
    <xf numFmtId="0" fontId="0" fillId="2" borderId="1" xfId="0" applyFill="1" applyBorder="1" applyAlignment="1">
      <alignment horizontal="left" vertical="top"/>
    </xf>
    <xf numFmtId="0" fontId="0" fillId="2" borderId="0" xfId="0" applyFill="1"/>
    <xf numFmtId="0" fontId="0" fillId="2" borderId="1" xfId="0" applyFill="1" applyBorder="1" applyAlignment="1">
      <alignment vertical="top" wrapText="1"/>
    </xf>
    <xf numFmtId="0" fontId="0" fillId="2" borderId="1" xfId="0" applyFill="1" applyBorder="1" applyAlignment="1">
      <alignment horizontal="center" vertical="top"/>
    </xf>
    <xf numFmtId="0" fontId="9" fillId="2" borderId="1" xfId="0" applyFont="1" applyFill="1" applyBorder="1" applyAlignment="1">
      <alignment horizontal="left" vertical="top"/>
    </xf>
    <xf numFmtId="0" fontId="9" fillId="2" borderId="1" xfId="0" applyFont="1" applyFill="1" applyBorder="1" applyAlignment="1">
      <alignment horizontal="center" vertical="top" wrapText="1"/>
    </xf>
    <xf numFmtId="0" fontId="9" fillId="2" borderId="0" xfId="0" applyFont="1" applyFill="1" applyAlignment="1">
      <alignment horizontal="left" vertical="top"/>
    </xf>
    <xf numFmtId="0" fontId="9" fillId="2" borderId="0" xfId="0" applyFont="1" applyFill="1"/>
    <xf numFmtId="0" fontId="19" fillId="2" borderId="0" xfId="0" applyFont="1" applyFill="1" applyAlignment="1">
      <alignment horizontal="left" vertical="top"/>
    </xf>
    <xf numFmtId="0" fontId="10" fillId="0" borderId="1" xfId="0" applyFont="1" applyBorder="1" applyAlignment="1">
      <alignment horizontal="center" vertical="top" wrapText="1"/>
    </xf>
    <xf numFmtId="0" fontId="10" fillId="2" borderId="1" xfId="0" applyFont="1" applyFill="1" applyBorder="1" applyAlignment="1">
      <alignment horizontal="center" vertical="top" wrapText="1"/>
    </xf>
    <xf numFmtId="0" fontId="9" fillId="2" borderId="1" xfId="0" applyFont="1" applyFill="1" applyBorder="1" applyAlignment="1">
      <alignment horizontal="center" vertical="top"/>
    </xf>
    <xf numFmtId="0" fontId="10" fillId="2" borderId="7" xfId="0" applyFont="1" applyFill="1" applyBorder="1" applyAlignment="1">
      <alignment horizontal="center" vertical="top" wrapText="1"/>
    </xf>
    <xf numFmtId="0" fontId="9" fillId="2" borderId="7" xfId="0" applyFont="1" applyFill="1" applyBorder="1" applyAlignment="1">
      <alignment horizontal="left" vertical="top"/>
    </xf>
    <xf numFmtId="0" fontId="9" fillId="2" borderId="9" xfId="0" applyFont="1" applyFill="1" applyBorder="1" applyAlignment="1">
      <alignment horizontal="center" vertical="top" wrapText="1"/>
    </xf>
    <xf numFmtId="0" fontId="0" fillId="2" borderId="1" xfId="0" applyFill="1" applyBorder="1" applyAlignment="1">
      <alignment horizontal="center" vertical="center" wrapText="1"/>
    </xf>
    <xf numFmtId="0" fontId="20" fillId="0" borderId="15" xfId="0" applyFont="1" applyBorder="1" applyAlignment="1">
      <alignment horizontal="center" vertical="top" wrapText="1"/>
    </xf>
    <xf numFmtId="0" fontId="0" fillId="2" borderId="9" xfId="0" applyFill="1" applyBorder="1" applyAlignment="1">
      <alignment horizontal="center" vertical="top"/>
    </xf>
    <xf numFmtId="0" fontId="0" fillId="2" borderId="9" xfId="0" applyFill="1" applyBorder="1" applyAlignment="1">
      <alignment horizontal="left" vertical="top"/>
    </xf>
    <xf numFmtId="0" fontId="0" fillId="2" borderId="1" xfId="0" applyFill="1" applyBorder="1" applyAlignment="1">
      <alignment horizontal="center" vertical="top" wrapText="1"/>
    </xf>
    <xf numFmtId="0" fontId="0" fillId="2" borderId="9" xfId="0" applyFill="1" applyBorder="1" applyAlignment="1">
      <alignment horizontal="center" vertical="center" wrapText="1"/>
    </xf>
    <xf numFmtId="0" fontId="0" fillId="2" borderId="9" xfId="0" applyFill="1" applyBorder="1" applyAlignment="1">
      <alignment horizontal="center" vertical="top" wrapText="1"/>
    </xf>
    <xf numFmtId="0" fontId="21" fillId="2" borderId="1" xfId="0" applyFont="1" applyFill="1" applyBorder="1" applyAlignment="1">
      <alignment horizontal="center" vertical="top"/>
    </xf>
    <xf numFmtId="0" fontId="21" fillId="2" borderId="9" xfId="0" applyFont="1" applyFill="1" applyBorder="1" applyAlignment="1">
      <alignment horizontal="center" vertical="top"/>
    </xf>
    <xf numFmtId="0" fontId="15" fillId="2" borderId="1" xfId="0" applyFont="1" applyFill="1" applyBorder="1" applyAlignment="1">
      <alignment horizontal="center" vertical="top"/>
    </xf>
    <xf numFmtId="0" fontId="20" fillId="0" borderId="1" xfId="0" applyFont="1" applyBorder="1" applyAlignment="1">
      <alignment horizontal="center" vertical="top" wrapText="1"/>
    </xf>
    <xf numFmtId="0" fontId="20" fillId="2" borderId="1" xfId="0" applyFont="1" applyFill="1" applyBorder="1" applyAlignment="1">
      <alignment horizontal="center" vertical="top" wrapText="1"/>
    </xf>
    <xf numFmtId="0" fontId="0" fillId="2" borderId="1" xfId="0" applyFill="1" applyBorder="1" applyAlignment="1">
      <alignment horizontal="left" vertical="top" wrapText="1"/>
    </xf>
    <xf numFmtId="0" fontId="15" fillId="2" borderId="1" xfId="0" applyFont="1" applyFill="1" applyBorder="1" applyAlignment="1">
      <alignment horizontal="center" vertical="top" wrapText="1"/>
    </xf>
    <xf numFmtId="0" fontId="0" fillId="2" borderId="9" xfId="0" applyFill="1" applyBorder="1" applyAlignment="1">
      <alignment horizontal="left" vertical="top" wrapText="1"/>
    </xf>
    <xf numFmtId="0" fontId="22" fillId="2" borderId="0" xfId="0" applyFont="1" applyFill="1" applyAlignment="1">
      <alignment horizontal="left" vertical="top"/>
    </xf>
    <xf numFmtId="0" fontId="22" fillId="2" borderId="0" xfId="0" applyFont="1" applyFill="1"/>
    <xf numFmtId="0" fontId="19" fillId="3" borderId="5" xfId="0" applyFont="1" applyFill="1" applyBorder="1" applyAlignment="1">
      <alignment vertical="top" wrapText="1"/>
    </xf>
    <xf numFmtId="0" fontId="19" fillId="3" borderId="33" xfId="0" applyFont="1" applyFill="1" applyBorder="1" applyAlignment="1">
      <alignment vertical="top"/>
    </xf>
    <xf numFmtId="0" fontId="19" fillId="3" borderId="33" xfId="0" applyFont="1" applyFill="1" applyBorder="1" applyAlignment="1">
      <alignment vertical="top" wrapText="1"/>
    </xf>
    <xf numFmtId="0" fontId="6" fillId="2" borderId="1" xfId="0" applyFont="1" applyFill="1" applyBorder="1" applyAlignment="1">
      <alignment horizontal="left" vertical="top" wrapText="1"/>
    </xf>
    <xf numFmtId="0" fontId="9" fillId="2" borderId="7" xfId="0" applyFont="1" applyFill="1" applyBorder="1" applyAlignment="1">
      <alignment horizontal="left" vertical="top" wrapText="1"/>
    </xf>
    <xf numFmtId="0" fontId="6" fillId="2" borderId="7" xfId="0" applyFont="1" applyFill="1" applyBorder="1" applyAlignment="1">
      <alignment horizontal="left" vertical="top" wrapText="1"/>
    </xf>
    <xf numFmtId="0" fontId="12" fillId="2" borderId="1" xfId="0" applyFont="1" applyFill="1" applyBorder="1" applyAlignment="1">
      <alignment horizontal="left" vertical="top" wrapText="1"/>
    </xf>
    <xf numFmtId="0" fontId="14" fillId="0" borderId="1" xfId="0" applyFont="1" applyBorder="1" applyAlignment="1">
      <alignment horizontal="left" vertical="top" wrapText="1"/>
    </xf>
    <xf numFmtId="0" fontId="7" fillId="3" borderId="6" xfId="0" applyFont="1" applyFill="1" applyBorder="1" applyAlignment="1">
      <alignment horizontal="left" vertical="top" wrapText="1"/>
    </xf>
    <xf numFmtId="0" fontId="7" fillId="3" borderId="1" xfId="3" applyFont="1" applyFill="1" applyBorder="1" applyAlignment="1">
      <alignment horizontal="left" vertical="top" wrapText="1"/>
    </xf>
    <xf numFmtId="0" fontId="7" fillId="3" borderId="1" xfId="3" applyFont="1" applyFill="1" applyBorder="1" applyAlignment="1">
      <alignment horizontal="center" vertical="top" wrapText="1"/>
    </xf>
    <xf numFmtId="0" fontId="7" fillId="3" borderId="7" xfId="0" applyFont="1" applyFill="1" applyBorder="1" applyAlignment="1">
      <alignment horizontal="left" vertical="top" wrapText="1"/>
    </xf>
    <xf numFmtId="0" fontId="15" fillId="2" borderId="0" xfId="0" applyFont="1" applyFill="1" applyAlignment="1">
      <alignment horizontal="center" vertical="top" wrapText="1"/>
    </xf>
    <xf numFmtId="0" fontId="15" fillId="2" borderId="18" xfId="4" applyFill="1" applyBorder="1" applyAlignment="1">
      <alignment horizontal="center" vertical="center"/>
    </xf>
    <xf numFmtId="164" fontId="15" fillId="2" borderId="18" xfId="5" applyNumberFormat="1" applyFont="1" applyFill="1" applyBorder="1" applyAlignment="1">
      <alignment horizontal="center" vertical="center"/>
    </xf>
    <xf numFmtId="0" fontId="15" fillId="2" borderId="30" xfId="0" applyFont="1" applyFill="1" applyBorder="1" applyAlignment="1">
      <alignment horizontal="center" vertical="top"/>
    </xf>
    <xf numFmtId="0" fontId="15" fillId="0" borderId="30" xfId="0" applyFont="1" applyBorder="1" applyAlignment="1">
      <alignment horizontal="center" vertical="top" wrapText="1"/>
    </xf>
    <xf numFmtId="0" fontId="15" fillId="2" borderId="30" xfId="0" applyFont="1" applyFill="1" applyBorder="1" applyAlignment="1">
      <alignment horizontal="center" vertical="top" wrapText="1"/>
    </xf>
    <xf numFmtId="0" fontId="9" fillId="0" borderId="1" xfId="0" applyFont="1" applyBorder="1" applyAlignment="1">
      <alignment horizontal="left" vertical="top" wrapText="1"/>
    </xf>
    <xf numFmtId="1" fontId="7" fillId="3" borderId="37" xfId="1" applyNumberFormat="1" applyFont="1" applyFill="1" applyBorder="1" applyAlignment="1">
      <alignment horizontal="center" vertical="top" wrapText="1"/>
    </xf>
    <xf numFmtId="1" fontId="9" fillId="0" borderId="1" xfId="1" applyNumberFormat="1" applyFont="1" applyBorder="1" applyAlignment="1">
      <alignment horizontal="left" vertical="top" wrapText="1"/>
    </xf>
    <xf numFmtId="0" fontId="9" fillId="0" borderId="1" xfId="1" applyFont="1" applyBorder="1" applyAlignment="1">
      <alignment horizontal="left" vertical="top" wrapText="1"/>
    </xf>
    <xf numFmtId="0" fontId="9" fillId="0" borderId="1" xfId="0" applyFont="1" applyBorder="1" applyAlignment="1">
      <alignment horizontal="left" vertical="top" wrapText="1" indent="2"/>
    </xf>
    <xf numFmtId="0" fontId="8" fillId="3" borderId="11" xfId="1" applyFont="1" applyFill="1" applyBorder="1" applyAlignment="1">
      <alignment horizontal="center" vertical="center" wrapText="1"/>
    </xf>
    <xf numFmtId="1" fontId="7" fillId="3" borderId="23" xfId="1" applyNumberFormat="1" applyFont="1" applyFill="1" applyBorder="1" applyAlignment="1">
      <alignment horizontal="center" vertical="center" wrapText="1"/>
    </xf>
    <xf numFmtId="0" fontId="15" fillId="2" borderId="0" xfId="0" applyFont="1" applyFill="1" applyAlignment="1">
      <alignment horizontal="center" vertical="center"/>
    </xf>
    <xf numFmtId="0" fontId="15" fillId="2" borderId="6" xfId="0" applyFont="1" applyFill="1" applyBorder="1" applyAlignment="1">
      <alignment horizontal="center" vertical="center"/>
    </xf>
    <xf numFmtId="0" fontId="15" fillId="2" borderId="8" xfId="0" applyFont="1" applyFill="1" applyBorder="1" applyAlignment="1">
      <alignment horizontal="center" vertical="center"/>
    </xf>
    <xf numFmtId="1" fontId="10" fillId="0" borderId="6" xfId="1" applyNumberFormat="1" applyFont="1" applyBorder="1" applyAlignment="1">
      <alignment horizontal="center" vertical="center" wrapText="1"/>
    </xf>
    <xf numFmtId="1" fontId="10" fillId="0" borderId="39" xfId="1" applyNumberFormat="1" applyFont="1" applyBorder="1" applyAlignment="1">
      <alignment horizontal="center" vertical="center" wrapText="1"/>
    </xf>
    <xf numFmtId="1" fontId="10" fillId="0" borderId="12" xfId="1" applyNumberFormat="1" applyFont="1" applyBorder="1" applyAlignment="1">
      <alignment horizontal="center" vertical="center" wrapText="1"/>
    </xf>
    <xf numFmtId="0" fontId="6" fillId="2" borderId="0" xfId="0" applyFont="1" applyFill="1" applyAlignment="1">
      <alignment horizontal="left" vertical="top"/>
    </xf>
    <xf numFmtId="0" fontId="6" fillId="0" borderId="1" xfId="0" applyFont="1" applyBorder="1" applyAlignment="1">
      <alignment horizontal="left" vertical="top" wrapText="1"/>
    </xf>
    <xf numFmtId="0" fontId="6" fillId="0" borderId="1" xfId="0" quotePrefix="1" applyFont="1" applyBorder="1" applyAlignment="1">
      <alignment horizontal="left" vertical="top" wrapText="1" indent="3"/>
    </xf>
    <xf numFmtId="0" fontId="6" fillId="0" borderId="1" xfId="0" applyFont="1" applyBorder="1" applyAlignment="1">
      <alignment horizontal="left" vertical="top" wrapText="1" indent="2"/>
    </xf>
    <xf numFmtId="0" fontId="6" fillId="2" borderId="1" xfId="0" applyFont="1" applyFill="1" applyBorder="1" applyAlignment="1">
      <alignment horizontal="left" vertical="top" wrapText="1" indent="2"/>
    </xf>
    <xf numFmtId="0" fontId="6" fillId="2" borderId="9" xfId="0" applyFont="1" applyFill="1" applyBorder="1" applyAlignment="1">
      <alignment horizontal="left" vertical="top" wrapText="1"/>
    </xf>
    <xf numFmtId="0" fontId="27" fillId="2" borderId="0" xfId="0" applyFont="1" applyFill="1"/>
    <xf numFmtId="0" fontId="28" fillId="0" borderId="1" xfId="0" applyFont="1" applyBorder="1" applyAlignment="1">
      <alignment horizontal="left" vertical="top" wrapText="1"/>
    </xf>
    <xf numFmtId="0" fontId="0" fillId="2" borderId="1" xfId="0" applyFill="1" applyBorder="1" applyAlignment="1">
      <alignment horizontal="left" vertical="top" wrapText="1" indent="2"/>
    </xf>
    <xf numFmtId="0" fontId="9" fillId="2" borderId="12" xfId="0" applyFont="1" applyFill="1" applyBorder="1" applyAlignment="1">
      <alignment horizontal="left" vertical="top" wrapText="1"/>
    </xf>
    <xf numFmtId="0" fontId="9" fillId="0" borderId="36" xfId="3" applyFont="1" applyBorder="1" applyAlignment="1">
      <alignment horizontal="left" vertical="top" wrapText="1"/>
    </xf>
    <xf numFmtId="0" fontId="12" fillId="2" borderId="36" xfId="0" applyFont="1" applyFill="1" applyBorder="1" applyAlignment="1">
      <alignment horizontal="center" vertical="top" wrapText="1"/>
    </xf>
    <xf numFmtId="0" fontId="12" fillId="2" borderId="40" xfId="0" applyFont="1" applyFill="1" applyBorder="1" applyAlignment="1">
      <alignment horizontal="left" vertical="top" wrapText="1"/>
    </xf>
    <xf numFmtId="0" fontId="7" fillId="3" borderId="25" xfId="0" applyFont="1" applyFill="1" applyBorder="1" applyAlignment="1">
      <alignment horizontal="center" vertical="top" wrapText="1"/>
    </xf>
    <xf numFmtId="0" fontId="4" fillId="0" borderId="0" xfId="2" applyAlignment="1">
      <alignment horizontal="left"/>
    </xf>
    <xf numFmtId="0" fontId="9" fillId="0" borderId="1" xfId="0" applyFont="1" applyBorder="1" applyAlignment="1">
      <alignment horizontal="left" wrapText="1"/>
    </xf>
    <xf numFmtId="0" fontId="6" fillId="2" borderId="10" xfId="0" applyFont="1" applyFill="1" applyBorder="1" applyAlignment="1">
      <alignment horizontal="left" vertical="top" wrapText="1"/>
    </xf>
    <xf numFmtId="0" fontId="2" fillId="0" borderId="0" xfId="7" applyAlignment="1">
      <alignment horizontal="center" vertical="center"/>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9" fontId="9" fillId="2" borderId="1" xfId="1" applyNumberFormat="1" applyFont="1" applyFill="1" applyBorder="1" applyAlignment="1">
      <alignment horizontal="center" vertical="center"/>
    </xf>
    <xf numFmtId="0" fontId="10" fillId="2" borderId="1" xfId="1" applyFont="1" applyFill="1" applyBorder="1" applyAlignment="1">
      <alignment horizontal="center" vertical="center"/>
    </xf>
    <xf numFmtId="9" fontId="0" fillId="2" borderId="1" xfId="0" applyNumberFormat="1" applyFill="1" applyBorder="1" applyAlignment="1">
      <alignment horizontal="center" vertical="top" wrapText="1"/>
    </xf>
    <xf numFmtId="9" fontId="0" fillId="2" borderId="1" xfId="0" applyNumberFormat="1" applyFill="1" applyBorder="1" applyAlignment="1">
      <alignment horizontal="center" vertical="top"/>
    </xf>
    <xf numFmtId="0" fontId="0" fillId="2" borderId="1" xfId="0" applyFill="1" applyBorder="1" applyAlignment="1">
      <alignment horizontal="center" vertical="center"/>
    </xf>
    <xf numFmtId="9" fontId="0" fillId="2" borderId="1" xfId="0" applyNumberFormat="1" applyFill="1" applyBorder="1" applyAlignment="1">
      <alignment horizontal="center" vertical="center"/>
    </xf>
    <xf numFmtId="0" fontId="0" fillId="2" borderId="7" xfId="0" applyFill="1" applyBorder="1" applyAlignment="1">
      <alignment horizontal="center" vertical="center"/>
    </xf>
    <xf numFmtId="165" fontId="0" fillId="2" borderId="1" xfId="6" applyNumberFormat="1" applyFont="1" applyFill="1" applyBorder="1" applyAlignment="1">
      <alignment horizontal="center" vertical="top" wrapText="1"/>
    </xf>
    <xf numFmtId="165" fontId="0" fillId="2" borderId="1" xfId="6" applyNumberFormat="1" applyFont="1" applyFill="1" applyBorder="1" applyAlignment="1">
      <alignment horizontal="center" vertical="top"/>
    </xf>
    <xf numFmtId="165" fontId="0" fillId="2" borderId="1" xfId="6" applyNumberFormat="1" applyFont="1" applyFill="1" applyBorder="1" applyAlignment="1">
      <alignment horizontal="center" vertical="center" wrapText="1"/>
    </xf>
    <xf numFmtId="9" fontId="9" fillId="2" borderId="1" xfId="0" applyNumberFormat="1" applyFont="1" applyFill="1" applyBorder="1" applyAlignment="1">
      <alignment horizontal="center" vertical="center"/>
    </xf>
    <xf numFmtId="9" fontId="0" fillId="2" borderId="1" xfId="0" applyNumberFormat="1" applyFill="1" applyBorder="1" applyAlignment="1">
      <alignment horizontal="center" vertical="center" wrapText="1"/>
    </xf>
    <xf numFmtId="9" fontId="0" fillId="2" borderId="9" xfId="0" applyNumberFormat="1" applyFill="1" applyBorder="1" applyAlignment="1">
      <alignment horizontal="center" vertical="center"/>
    </xf>
    <xf numFmtId="0" fontId="0" fillId="2" borderId="9" xfId="0" applyFill="1" applyBorder="1" applyAlignment="1">
      <alignment horizontal="center" vertical="center"/>
    </xf>
    <xf numFmtId="164" fontId="0" fillId="2" borderId="1" xfId="0" applyNumberFormat="1" applyFill="1" applyBorder="1" applyAlignment="1">
      <alignment horizontal="center" vertical="center" wrapText="1"/>
    </xf>
    <xf numFmtId="9" fontId="12" fillId="2" borderId="36" xfId="0" applyNumberFormat="1" applyFont="1" applyFill="1" applyBorder="1" applyAlignment="1">
      <alignment horizontal="center" vertical="top" wrapText="1"/>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0" fillId="2" borderId="7" xfId="0" applyFill="1" applyBorder="1" applyAlignment="1">
      <alignment horizontal="center" vertical="center" wrapText="1"/>
    </xf>
    <xf numFmtId="0" fontId="0" fillId="2" borderId="10" xfId="0" applyFill="1" applyBorder="1" applyAlignment="1">
      <alignment horizontal="center" vertical="center" wrapText="1"/>
    </xf>
    <xf numFmtId="9" fontId="9" fillId="2" borderId="36"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15" fillId="2" borderId="0" xfId="0" applyFont="1" applyFill="1" applyAlignment="1">
      <alignment horizontal="left" vertical="top"/>
    </xf>
    <xf numFmtId="0" fontId="6" fillId="2" borderId="1" xfId="0" applyFont="1" applyFill="1" applyBorder="1" applyAlignment="1">
      <alignment vertical="top" wrapText="1"/>
    </xf>
    <xf numFmtId="9" fontId="9" fillId="2" borderId="9" xfId="0" applyNumberFormat="1" applyFont="1" applyFill="1" applyBorder="1" applyAlignment="1">
      <alignment horizontal="center" vertical="center" wrapText="1"/>
    </xf>
    <xf numFmtId="0" fontId="0" fillId="2" borderId="10" xfId="0" applyFill="1" applyBorder="1" applyAlignment="1">
      <alignment horizontal="center" vertical="center"/>
    </xf>
    <xf numFmtId="165" fontId="0" fillId="2" borderId="9" xfId="6" applyNumberFormat="1" applyFont="1" applyFill="1" applyBorder="1" applyAlignment="1">
      <alignment horizontal="center" vertical="top"/>
    </xf>
    <xf numFmtId="0" fontId="12" fillId="2" borderId="1" xfId="0" applyFont="1" applyFill="1" applyBorder="1" applyAlignment="1">
      <alignment horizontal="center" vertical="center" wrapText="1"/>
    </xf>
    <xf numFmtId="165" fontId="9" fillId="2" borderId="1" xfId="6" applyNumberFormat="1" applyFont="1" applyFill="1" applyBorder="1" applyAlignment="1">
      <alignment horizontal="center" vertical="center" wrapText="1"/>
    </xf>
    <xf numFmtId="9" fontId="9" fillId="2" borderId="9" xfId="0" applyNumberFormat="1" applyFont="1" applyFill="1" applyBorder="1" applyAlignment="1">
      <alignment horizontal="center" vertical="center"/>
    </xf>
    <xf numFmtId="9" fontId="0" fillId="2" borderId="9" xfId="0" applyNumberFormat="1" applyFill="1" applyBorder="1" applyAlignment="1">
      <alignment horizontal="center" vertical="top" wrapText="1"/>
    </xf>
    <xf numFmtId="0" fontId="9" fillId="0" borderId="1" xfId="1" applyFont="1" applyBorder="1" applyAlignment="1">
      <alignment horizontal="left" wrapText="1"/>
    </xf>
    <xf numFmtId="0" fontId="0" fillId="2" borderId="46" xfId="0" applyFill="1" applyBorder="1" applyAlignment="1">
      <alignment horizontal="center" vertical="center" wrapText="1"/>
    </xf>
    <xf numFmtId="0" fontId="0" fillId="2" borderId="47" xfId="0" applyFill="1" applyBorder="1" applyAlignment="1">
      <alignment horizontal="center" vertical="center" wrapText="1"/>
    </xf>
    <xf numFmtId="0" fontId="32" fillId="2" borderId="7" xfId="0" applyFont="1" applyFill="1" applyBorder="1" applyAlignment="1">
      <alignment horizontal="left" vertical="top" wrapText="1"/>
    </xf>
    <xf numFmtId="0" fontId="0" fillId="2" borderId="7" xfId="0" applyFill="1" applyBorder="1" applyAlignment="1">
      <alignment horizontal="left" vertical="top" wrapText="1"/>
    </xf>
    <xf numFmtId="166" fontId="9" fillId="2" borderId="1" xfId="1" applyNumberFormat="1" applyFont="1" applyFill="1" applyBorder="1" applyAlignment="1">
      <alignment horizontal="center" vertical="center"/>
    </xf>
    <xf numFmtId="10" fontId="9" fillId="2" borderId="1" xfId="1" applyNumberFormat="1" applyFont="1" applyFill="1" applyBorder="1" applyAlignment="1">
      <alignment horizontal="center" vertical="center"/>
    </xf>
    <xf numFmtId="0" fontId="7" fillId="3" borderId="41" xfId="3" applyFont="1" applyFill="1" applyBorder="1" applyAlignment="1">
      <alignment horizontal="center" vertical="center" wrapText="1"/>
    </xf>
    <xf numFmtId="0" fontId="7" fillId="3" borderId="1" xfId="3" applyFont="1" applyFill="1" applyBorder="1" applyAlignment="1">
      <alignment horizontal="center" vertical="center" wrapText="1"/>
    </xf>
    <xf numFmtId="0" fontId="7" fillId="3" borderId="26" xfId="0" applyFont="1" applyFill="1" applyBorder="1" applyAlignment="1">
      <alignment horizontal="center" vertical="center" wrapText="1"/>
    </xf>
    <xf numFmtId="165" fontId="0" fillId="0" borderId="1" xfId="6" applyNumberFormat="1" applyFont="1" applyBorder="1" applyAlignment="1">
      <alignment horizontal="center" vertical="center" wrapText="1"/>
    </xf>
    <xf numFmtId="0" fontId="0" fillId="2" borderId="9" xfId="0" applyFill="1" applyBorder="1" applyAlignment="1">
      <alignment vertical="top" wrapText="1"/>
    </xf>
    <xf numFmtId="165" fontId="0" fillId="2" borderId="9" xfId="6" applyNumberFormat="1" applyFont="1" applyFill="1" applyBorder="1" applyAlignment="1">
      <alignment horizontal="center" vertical="center" wrapText="1"/>
    </xf>
    <xf numFmtId="0" fontId="10" fillId="4" borderId="2" xfId="1" applyFont="1" applyFill="1" applyBorder="1" applyAlignment="1">
      <alignment horizontal="center" vertical="top" wrapText="1"/>
    </xf>
    <xf numFmtId="0" fontId="10" fillId="4" borderId="3" xfId="1" applyFont="1" applyFill="1" applyBorder="1" applyAlignment="1">
      <alignment horizontal="center" vertical="top" wrapText="1"/>
    </xf>
    <xf numFmtId="0" fontId="10" fillId="4" borderId="4" xfId="1" applyFont="1" applyFill="1" applyBorder="1" applyAlignment="1">
      <alignment horizontal="center" vertical="top" wrapText="1"/>
    </xf>
    <xf numFmtId="0" fontId="10" fillId="5" borderId="2" xfId="1" applyFont="1" applyFill="1" applyBorder="1" applyAlignment="1">
      <alignment horizontal="center" vertical="top" wrapText="1"/>
    </xf>
    <xf numFmtId="0" fontId="10" fillId="5" borderId="3" xfId="1" applyFont="1" applyFill="1" applyBorder="1" applyAlignment="1">
      <alignment horizontal="center" vertical="top" wrapText="1"/>
    </xf>
    <xf numFmtId="0" fontId="10" fillId="5" borderId="4" xfId="1" applyFont="1" applyFill="1" applyBorder="1" applyAlignment="1">
      <alignment horizontal="center" vertical="top" wrapText="1"/>
    </xf>
    <xf numFmtId="0" fontId="13" fillId="3" borderId="0" xfId="1" applyFont="1" applyFill="1" applyAlignment="1">
      <alignment horizontal="center" vertical="center"/>
    </xf>
    <xf numFmtId="1" fontId="10" fillId="0" borderId="38" xfId="1" applyNumberFormat="1" applyFont="1" applyBorder="1" applyAlignment="1">
      <alignment horizontal="center" vertical="center" wrapText="1"/>
    </xf>
    <xf numFmtId="1" fontId="10" fillId="0" borderId="39" xfId="1" applyNumberFormat="1" applyFont="1" applyBorder="1" applyAlignment="1">
      <alignment horizontal="center" vertical="center" wrapText="1"/>
    </xf>
    <xf numFmtId="1" fontId="10" fillId="0" borderId="12" xfId="1" applyNumberFormat="1" applyFont="1" applyBorder="1" applyAlignment="1">
      <alignment horizontal="center" vertical="center" wrapText="1"/>
    </xf>
    <xf numFmtId="0" fontId="15" fillId="2" borderId="38" xfId="0" applyFont="1" applyFill="1" applyBorder="1" applyAlignment="1">
      <alignment horizontal="center" vertical="center"/>
    </xf>
    <xf numFmtId="0" fontId="15" fillId="2" borderId="39" xfId="0" applyFont="1" applyFill="1" applyBorder="1" applyAlignment="1">
      <alignment horizontal="center" vertical="center"/>
    </xf>
    <xf numFmtId="0" fontId="15" fillId="2" borderId="12" xfId="0" applyFont="1" applyFill="1" applyBorder="1" applyAlignment="1">
      <alignment horizontal="center" vertical="center"/>
    </xf>
    <xf numFmtId="0" fontId="7" fillId="3" borderId="25" xfId="1" applyFont="1" applyFill="1" applyBorder="1" applyAlignment="1">
      <alignment horizontal="center" vertical="top" wrapText="1"/>
    </xf>
    <xf numFmtId="0" fontId="7" fillId="3" borderId="26" xfId="1" applyFont="1" applyFill="1" applyBorder="1" applyAlignment="1">
      <alignment horizontal="center" vertical="top" wrapText="1"/>
    </xf>
    <xf numFmtId="0" fontId="19" fillId="3" borderId="0" xfId="0" applyFont="1" applyFill="1" applyAlignment="1">
      <alignment horizontal="left" vertical="top" wrapText="1"/>
    </xf>
    <xf numFmtId="0" fontId="19" fillId="3" borderId="14" xfId="0" applyFont="1" applyFill="1" applyBorder="1" applyAlignment="1">
      <alignment horizontal="left" vertical="top" wrapText="1"/>
    </xf>
    <xf numFmtId="0" fontId="7" fillId="3" borderId="19" xfId="0" applyFont="1" applyFill="1" applyBorder="1" applyAlignment="1">
      <alignment horizontal="center" vertical="top" wrapText="1"/>
    </xf>
    <xf numFmtId="0" fontId="7" fillId="3" borderId="20" xfId="0" applyFont="1" applyFill="1" applyBorder="1" applyAlignment="1">
      <alignment horizontal="center" vertical="top" wrapText="1"/>
    </xf>
    <xf numFmtId="0" fontId="7" fillId="3" borderId="21" xfId="0" applyFont="1" applyFill="1" applyBorder="1" applyAlignment="1">
      <alignment horizontal="center" vertical="top" wrapText="1"/>
    </xf>
    <xf numFmtId="0" fontId="10" fillId="2" borderId="19"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33"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9" xfId="0" applyFont="1" applyBorder="1" applyAlignment="1">
      <alignment horizontal="center" vertical="center" wrapText="1"/>
    </xf>
    <xf numFmtId="0" fontId="15" fillId="2" borderId="27" xfId="0" applyFont="1" applyFill="1" applyBorder="1" applyAlignment="1">
      <alignment horizontal="center" vertical="center"/>
    </xf>
    <xf numFmtId="0" fontId="15" fillId="2" borderId="28" xfId="0" applyFont="1" applyFill="1" applyBorder="1" applyAlignment="1">
      <alignment horizontal="center" vertical="center"/>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22" xfId="0" applyFont="1" applyBorder="1" applyAlignment="1">
      <alignment horizontal="center" vertical="center" wrapText="1"/>
    </xf>
    <xf numFmtId="0" fontId="31" fillId="3" borderId="0" xfId="0" applyFont="1" applyFill="1" applyAlignment="1">
      <alignment horizontal="left" vertical="top" wrapText="1"/>
    </xf>
    <xf numFmtId="0" fontId="15" fillId="2" borderId="1" xfId="0" applyFont="1" applyFill="1" applyBorder="1" applyAlignment="1">
      <alignment horizontal="center" vertical="center" wrapText="1"/>
    </xf>
    <xf numFmtId="0" fontId="26" fillId="0" borderId="34" xfId="0" applyFont="1" applyBorder="1" applyAlignment="1">
      <alignment horizontal="center" vertical="center"/>
    </xf>
    <xf numFmtId="0" fontId="26" fillId="0" borderId="35" xfId="0" applyFont="1" applyBorder="1" applyAlignment="1">
      <alignment horizontal="center" vertical="center"/>
    </xf>
    <xf numFmtId="0" fontId="26" fillId="0" borderId="36" xfId="0" applyFont="1" applyBorder="1" applyAlignment="1">
      <alignment horizontal="center" vertical="center"/>
    </xf>
    <xf numFmtId="0" fontId="15" fillId="2" borderId="1" xfId="0" applyFont="1" applyFill="1" applyBorder="1" applyAlignment="1">
      <alignment horizontal="center" vertical="top" wrapText="1"/>
    </xf>
    <xf numFmtId="0" fontId="15" fillId="2" borderId="9" xfId="0" applyFont="1" applyFill="1" applyBorder="1" applyAlignment="1">
      <alignment horizontal="center" vertical="top" wrapText="1"/>
    </xf>
    <xf numFmtId="0" fontId="15" fillId="2" borderId="6" xfId="0" applyFont="1" applyFill="1" applyBorder="1" applyAlignment="1">
      <alignment horizontal="center" vertical="center"/>
    </xf>
    <xf numFmtId="0" fontId="15" fillId="2" borderId="8" xfId="0" applyFont="1" applyFill="1" applyBorder="1" applyAlignment="1">
      <alignment horizontal="center" vertical="center"/>
    </xf>
    <xf numFmtId="0" fontId="19" fillId="3" borderId="32" xfId="0" applyFont="1" applyFill="1" applyBorder="1" applyAlignment="1">
      <alignment horizontal="left" vertical="top" wrapText="1"/>
    </xf>
    <xf numFmtId="0" fontId="19" fillId="3" borderId="31" xfId="0" applyFont="1" applyFill="1" applyBorder="1" applyAlignment="1">
      <alignment horizontal="left" vertical="top" wrapText="1"/>
    </xf>
    <xf numFmtId="0" fontId="15" fillId="2" borderId="29"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1" xfId="0" applyFont="1" applyFill="1" applyBorder="1" applyAlignment="1">
      <alignment horizontal="left" vertical="top" wrapText="1"/>
    </xf>
    <xf numFmtId="0" fontId="15" fillId="2" borderId="9" xfId="0" applyFont="1" applyFill="1" applyBorder="1" applyAlignment="1">
      <alignment horizontal="left" vertical="top" wrapText="1"/>
    </xf>
    <xf numFmtId="0" fontId="23" fillId="3" borderId="0" xfId="0" applyFont="1" applyFill="1" applyAlignment="1">
      <alignment horizontal="left" vertical="top" wrapText="1"/>
    </xf>
    <xf numFmtId="0" fontId="23" fillId="3" borderId="14" xfId="0" applyFont="1" applyFill="1" applyBorder="1" applyAlignment="1">
      <alignment horizontal="left" vertical="top" wrapText="1"/>
    </xf>
    <xf numFmtId="164" fontId="0" fillId="2" borderId="34" xfId="0" applyNumberFormat="1" applyFill="1" applyBorder="1" applyAlignment="1">
      <alignment horizontal="center" vertical="center" wrapText="1"/>
    </xf>
    <xf numFmtId="164" fontId="0" fillId="2" borderId="35" xfId="0" applyNumberFormat="1" applyFill="1" applyBorder="1" applyAlignment="1">
      <alignment horizontal="center" vertical="center" wrapText="1"/>
    </xf>
    <xf numFmtId="164" fontId="0" fillId="2" borderId="44" xfId="0" applyNumberFormat="1" applyFill="1" applyBorder="1" applyAlignment="1">
      <alignment horizontal="center" vertical="center" wrapText="1"/>
    </xf>
    <xf numFmtId="1" fontId="0" fillId="2" borderId="34" xfId="0" applyNumberFormat="1" applyFill="1" applyBorder="1" applyAlignment="1">
      <alignment horizontal="center" vertical="center" wrapText="1"/>
    </xf>
    <xf numFmtId="1" fontId="0" fillId="2" borderId="35" xfId="0" applyNumberFormat="1" applyFill="1" applyBorder="1" applyAlignment="1">
      <alignment horizontal="center" vertical="center" wrapText="1"/>
    </xf>
    <xf numFmtId="1" fontId="0" fillId="2" borderId="44" xfId="0" applyNumberFormat="1" applyFill="1" applyBorder="1" applyAlignment="1">
      <alignment horizontal="center" vertical="center" wrapText="1"/>
    </xf>
    <xf numFmtId="0" fontId="0" fillId="2" borderId="34" xfId="0" applyFill="1" applyBorder="1" applyAlignment="1">
      <alignment horizontal="center" vertical="center" wrapText="1"/>
    </xf>
    <xf numFmtId="0" fontId="0" fillId="2" borderId="35" xfId="0" applyFill="1" applyBorder="1" applyAlignment="1">
      <alignment horizontal="center" vertical="center" wrapText="1"/>
    </xf>
    <xf numFmtId="0" fontId="0" fillId="2" borderId="44" xfId="0" applyFill="1" applyBorder="1" applyAlignment="1">
      <alignment horizontal="center" vertical="center" wrapText="1"/>
    </xf>
    <xf numFmtId="0" fontId="9" fillId="2" borderId="34"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44" xfId="0" applyFont="1" applyFill="1" applyBorder="1" applyAlignment="1">
      <alignment horizontal="center" vertical="center"/>
    </xf>
    <xf numFmtId="9" fontId="9" fillId="2" borderId="34" xfId="0" applyNumberFormat="1" applyFont="1" applyFill="1" applyBorder="1" applyAlignment="1">
      <alignment horizontal="center" vertical="center"/>
    </xf>
    <xf numFmtId="0" fontId="9" fillId="2" borderId="42" xfId="0" applyFont="1" applyFill="1" applyBorder="1" applyAlignment="1">
      <alignment horizontal="center" vertical="center"/>
    </xf>
    <xf numFmtId="0" fontId="9" fillId="2" borderId="43" xfId="0" applyFont="1" applyFill="1" applyBorder="1" applyAlignment="1">
      <alignment horizontal="center" vertical="center"/>
    </xf>
    <xf numFmtId="0" fontId="9" fillId="2" borderId="45" xfId="0" applyFont="1" applyFill="1" applyBorder="1" applyAlignment="1">
      <alignment horizontal="center" vertical="center"/>
    </xf>
    <xf numFmtId="0" fontId="7" fillId="3" borderId="19" xfId="1" applyFont="1" applyFill="1" applyBorder="1" applyAlignment="1">
      <alignment horizontal="center" vertical="top" wrapText="1"/>
    </xf>
    <xf numFmtId="0" fontId="7" fillId="3" borderId="20" xfId="1" applyFont="1" applyFill="1" applyBorder="1" applyAlignment="1">
      <alignment horizontal="center" vertical="top" wrapText="1"/>
    </xf>
    <xf numFmtId="0" fontId="7" fillId="3" borderId="21" xfId="1" applyFont="1" applyFill="1" applyBorder="1" applyAlignment="1">
      <alignment horizontal="center" vertical="top" wrapText="1"/>
    </xf>
    <xf numFmtId="0" fontId="7" fillId="3" borderId="24" xfId="1" applyFont="1" applyFill="1" applyBorder="1" applyAlignment="1">
      <alignment horizontal="center" vertical="top" wrapText="1"/>
    </xf>
    <xf numFmtId="0" fontId="7" fillId="3" borderId="32" xfId="1" applyFont="1" applyFill="1" applyBorder="1" applyAlignment="1">
      <alignment horizontal="center" vertical="top" wrapText="1"/>
    </xf>
    <xf numFmtId="0" fontId="13" fillId="3" borderId="5" xfId="1" applyFont="1" applyFill="1" applyBorder="1" applyAlignment="1">
      <alignment horizontal="center" vertical="top"/>
    </xf>
    <xf numFmtId="0" fontId="13" fillId="3" borderId="0" xfId="1" applyFont="1" applyFill="1" applyAlignment="1">
      <alignment horizontal="center" vertical="top"/>
    </xf>
    <xf numFmtId="0" fontId="10" fillId="2" borderId="5" xfId="1" applyFont="1" applyFill="1" applyBorder="1" applyAlignment="1">
      <alignment horizontal="center" vertical="top"/>
    </xf>
    <xf numFmtId="0" fontId="10" fillId="2" borderId="0" xfId="1" applyFont="1" applyFill="1" applyAlignment="1">
      <alignment horizontal="center" vertical="top"/>
    </xf>
    <xf numFmtId="0" fontId="9" fillId="2" borderId="0" xfId="1" applyFont="1" applyFill="1" applyAlignment="1">
      <alignment horizontal="center" vertical="top" wrapText="1"/>
    </xf>
    <xf numFmtId="0" fontId="9" fillId="2" borderId="0" xfId="1" applyFont="1" applyFill="1" applyAlignment="1">
      <alignment horizontal="left" vertical="top" wrapText="1"/>
    </xf>
  </cellXfs>
  <cellStyles count="9">
    <cellStyle name="%" xfId="1" xr:uid="{71E6CE48-9D6C-4ACC-8EBC-A95DE3CFFDDA}"/>
    <cellStyle name="Comma" xfId="6" builtinId="3"/>
    <cellStyle name="Currency" xfId="5" builtinId="4"/>
    <cellStyle name="Hyperlink" xfId="2" builtinId="8"/>
    <cellStyle name="Normal" xfId="0" builtinId="0"/>
    <cellStyle name="Normal 2" xfId="7" xr:uid="{FDBEFCF4-1F38-46E3-831F-3D389628C9A9}"/>
    <cellStyle name="Normal 2 3" xfId="3" xr:uid="{58B1EFDD-F19E-4485-AC5E-6C49177624D3}"/>
    <cellStyle name="Normal 3" xfId="8" xr:uid="{578A5760-E934-45D1-9A6E-8733714272A1}"/>
    <cellStyle name="Total" xfId="4"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991102</xdr:colOff>
      <xdr:row>1</xdr:row>
      <xdr:rowOff>1058</xdr:rowOff>
    </xdr:to>
    <xdr:pic>
      <xdr:nvPicPr>
        <xdr:cNvPr id="5" name="Picture 4">
          <a:extLst>
            <a:ext uri="{FF2B5EF4-FFF2-40B4-BE49-F238E27FC236}">
              <a16:creationId xmlns:a16="http://schemas.microsoft.com/office/drawing/2014/main" id="{F5024A32-2031-4DBE-994B-DD2ABB74B1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8602" cy="4339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836083</xdr:colOff>
      <xdr:row>2</xdr:row>
      <xdr:rowOff>123473</xdr:rowOff>
    </xdr:to>
    <xdr:pic>
      <xdr:nvPicPr>
        <xdr:cNvPr id="4" name="Picture 3">
          <a:extLst>
            <a:ext uri="{FF2B5EF4-FFF2-40B4-BE49-F238E27FC236}">
              <a16:creationId xmlns:a16="http://schemas.microsoft.com/office/drawing/2014/main" id="{45272577-F0EF-41AB-BAC0-C1BE63DF7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79500" cy="4974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1571624</xdr:colOff>
      <xdr:row>1</xdr:row>
      <xdr:rowOff>238125</xdr:rowOff>
    </xdr:to>
    <xdr:pic>
      <xdr:nvPicPr>
        <xdr:cNvPr id="2" name="Picture 1">
          <a:extLst>
            <a:ext uri="{FF2B5EF4-FFF2-40B4-BE49-F238E27FC236}">
              <a16:creationId xmlns:a16="http://schemas.microsoft.com/office/drawing/2014/main" id="{D7A4E47E-89E2-47DD-ABC0-39C3040496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71624" cy="666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1571624</xdr:colOff>
      <xdr:row>1</xdr:row>
      <xdr:rowOff>333374</xdr:rowOff>
    </xdr:to>
    <xdr:pic>
      <xdr:nvPicPr>
        <xdr:cNvPr id="2" name="Picture 1">
          <a:extLst>
            <a:ext uri="{FF2B5EF4-FFF2-40B4-BE49-F238E27FC236}">
              <a16:creationId xmlns:a16="http://schemas.microsoft.com/office/drawing/2014/main" id="{CF1649C6-7883-4D9B-A281-B28B07FA69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71624" cy="7048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1571624</xdr:colOff>
      <xdr:row>2</xdr:row>
      <xdr:rowOff>18344</xdr:rowOff>
    </xdr:to>
    <xdr:pic>
      <xdr:nvPicPr>
        <xdr:cNvPr id="2" name="Picture 1">
          <a:extLst>
            <a:ext uri="{FF2B5EF4-FFF2-40B4-BE49-F238E27FC236}">
              <a16:creationId xmlns:a16="http://schemas.microsoft.com/office/drawing/2014/main" id="{CC40C8CE-9CDD-4506-B6EC-1245402E3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71624" cy="7429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1571624</xdr:colOff>
      <xdr:row>1</xdr:row>
      <xdr:rowOff>317499</xdr:rowOff>
    </xdr:to>
    <xdr:pic>
      <xdr:nvPicPr>
        <xdr:cNvPr id="3" name="Picture 2">
          <a:extLst>
            <a:ext uri="{FF2B5EF4-FFF2-40B4-BE49-F238E27FC236}">
              <a16:creationId xmlns:a16="http://schemas.microsoft.com/office/drawing/2014/main" id="{C1A7BEEB-925C-4CF5-BBED-D7031125D8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71624" cy="7429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934566</xdr:colOff>
      <xdr:row>1</xdr:row>
      <xdr:rowOff>464345</xdr:rowOff>
    </xdr:to>
    <xdr:pic>
      <xdr:nvPicPr>
        <xdr:cNvPr id="3" name="Picture 2">
          <a:extLst>
            <a:ext uri="{FF2B5EF4-FFF2-40B4-BE49-F238E27FC236}">
              <a16:creationId xmlns:a16="http://schemas.microsoft.com/office/drawing/2014/main" id="{E585BFC4-6EE6-4101-9A74-DE43A314F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146233" cy="6548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1400175</xdr:colOff>
      <xdr:row>1</xdr:row>
      <xdr:rowOff>590551</xdr:rowOff>
    </xdr:to>
    <xdr:pic>
      <xdr:nvPicPr>
        <xdr:cNvPr id="2" name="Picture 1">
          <a:extLst>
            <a:ext uri="{FF2B5EF4-FFF2-40B4-BE49-F238E27FC236}">
              <a16:creationId xmlns:a16="http://schemas.microsoft.com/office/drawing/2014/main" id="{E77FAEA5-8C12-4C03-B996-9F1C96933C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600200" cy="990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171450</xdr:colOff>
      <xdr:row>0</xdr:row>
      <xdr:rowOff>397947</xdr:rowOff>
    </xdr:to>
    <xdr:pic>
      <xdr:nvPicPr>
        <xdr:cNvPr id="2" name="Picture 1">
          <a:extLst>
            <a:ext uri="{FF2B5EF4-FFF2-40B4-BE49-F238E27FC236}">
              <a16:creationId xmlns:a16="http://schemas.microsoft.com/office/drawing/2014/main" id="{DC830430-AEE7-468D-A425-6206D2D548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609600" cy="3979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urigeneservice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7D9A-608E-44B6-8805-00AF1C4F91FF}">
  <sheetPr>
    <tabColor theme="6" tint="0.79998168889431442"/>
  </sheetPr>
  <dimension ref="A1:D27"/>
  <sheetViews>
    <sheetView zoomScale="90" zoomScaleNormal="90" workbookViewId="0">
      <selection activeCell="F8" sqref="F8"/>
    </sheetView>
  </sheetViews>
  <sheetFormatPr defaultColWidth="9.1796875" defaultRowHeight="14.5" x14ac:dyDescent="0.35"/>
  <cols>
    <col min="1" max="1" width="4.7265625" style="15" customWidth="1"/>
    <col min="2" max="2" width="64.26953125" style="16" bestFit="1" customWidth="1"/>
    <col min="3" max="3" width="57" style="5" customWidth="1"/>
    <col min="4" max="16384" width="9.1796875" style="5"/>
  </cols>
  <sheetData>
    <row r="1" spans="1:4" ht="33.75" customHeight="1" x14ac:dyDescent="0.35">
      <c r="A1" s="166" t="s">
        <v>0</v>
      </c>
      <c r="B1" s="166"/>
      <c r="C1" s="166"/>
    </row>
    <row r="2" spans="1:4" x14ac:dyDescent="0.35">
      <c r="A2" s="6" t="s">
        <v>1</v>
      </c>
      <c r="B2" s="7" t="s">
        <v>2</v>
      </c>
      <c r="C2" s="7" t="s">
        <v>3</v>
      </c>
    </row>
    <row r="3" spans="1:4" ht="15" customHeight="1" x14ac:dyDescent="0.35">
      <c r="A3" s="160" t="s">
        <v>0</v>
      </c>
      <c r="B3" s="161"/>
      <c r="C3" s="162"/>
      <c r="D3" s="97"/>
    </row>
    <row r="4" spans="1:4" x14ac:dyDescent="0.35">
      <c r="A4" s="8">
        <v>1</v>
      </c>
      <c r="B4" s="9" t="s">
        <v>4</v>
      </c>
      <c r="C4" s="81" t="s">
        <v>5</v>
      </c>
    </row>
    <row r="5" spans="1:4" ht="29" x14ac:dyDescent="0.35">
      <c r="A5" s="8">
        <v>2</v>
      </c>
      <c r="B5" s="9" t="s">
        <v>6</v>
      </c>
      <c r="C5" s="81" t="s">
        <v>7</v>
      </c>
    </row>
    <row r="6" spans="1:4" ht="29" x14ac:dyDescent="0.35">
      <c r="A6" s="8">
        <v>3</v>
      </c>
      <c r="B6" s="9" t="s">
        <v>8</v>
      </c>
      <c r="C6" s="81" t="s">
        <v>441</v>
      </c>
    </row>
    <row r="7" spans="1:4" x14ac:dyDescent="0.35">
      <c r="A7" s="8">
        <v>4</v>
      </c>
      <c r="B7" s="9" t="s">
        <v>9</v>
      </c>
      <c r="C7" s="105" t="s">
        <v>10</v>
      </c>
    </row>
    <row r="8" spans="1:4" x14ac:dyDescent="0.35">
      <c r="A8" s="8">
        <v>5</v>
      </c>
      <c r="B8" s="9" t="s">
        <v>11</v>
      </c>
      <c r="C8" s="81" t="s">
        <v>12</v>
      </c>
    </row>
    <row r="9" spans="1:4" x14ac:dyDescent="0.35">
      <c r="A9" s="8">
        <v>6</v>
      </c>
      <c r="B9" s="9" t="s">
        <v>13</v>
      </c>
      <c r="C9" s="81" t="s">
        <v>14</v>
      </c>
    </row>
    <row r="10" spans="1:4" x14ac:dyDescent="0.35">
      <c r="A10" s="8">
        <v>7</v>
      </c>
      <c r="B10" s="10" t="s">
        <v>15</v>
      </c>
      <c r="C10" s="81" t="s">
        <v>16</v>
      </c>
    </row>
    <row r="11" spans="1:4" x14ac:dyDescent="0.35">
      <c r="A11" s="8"/>
      <c r="B11" s="11" t="s">
        <v>17</v>
      </c>
      <c r="C11" s="12" t="s">
        <v>18</v>
      </c>
    </row>
    <row r="12" spans="1:4" x14ac:dyDescent="0.35">
      <c r="A12" s="8"/>
      <c r="B12" s="11" t="s">
        <v>19</v>
      </c>
      <c r="C12" s="12" t="s">
        <v>18</v>
      </c>
    </row>
    <row r="13" spans="1:4" x14ac:dyDescent="0.35">
      <c r="A13" s="8"/>
      <c r="B13" s="11" t="s">
        <v>20</v>
      </c>
      <c r="C13" s="12" t="s">
        <v>18</v>
      </c>
    </row>
    <row r="14" spans="1:4" x14ac:dyDescent="0.35">
      <c r="A14" s="8"/>
      <c r="B14" s="11" t="s">
        <v>21</v>
      </c>
      <c r="C14" s="12" t="s">
        <v>18</v>
      </c>
    </row>
    <row r="15" spans="1:4" x14ac:dyDescent="0.35">
      <c r="A15" s="8"/>
      <c r="B15" s="11" t="s">
        <v>22</v>
      </c>
      <c r="C15" s="12" t="s">
        <v>18</v>
      </c>
    </row>
    <row r="16" spans="1:4" ht="72.5" x14ac:dyDescent="0.35">
      <c r="A16" s="8">
        <v>8</v>
      </c>
      <c r="B16" s="10" t="s">
        <v>23</v>
      </c>
      <c r="C16" s="78" t="s">
        <v>24</v>
      </c>
    </row>
    <row r="17" spans="1:3" x14ac:dyDescent="0.35">
      <c r="A17" s="8">
        <v>9</v>
      </c>
      <c r="B17" s="11" t="s">
        <v>25</v>
      </c>
      <c r="C17" s="106" t="s">
        <v>26</v>
      </c>
    </row>
    <row r="18" spans="1:3" x14ac:dyDescent="0.35">
      <c r="A18" s="163" t="s">
        <v>27</v>
      </c>
      <c r="B18" s="164"/>
      <c r="C18" s="165"/>
    </row>
    <row r="19" spans="1:3" x14ac:dyDescent="0.35">
      <c r="A19" s="13">
        <v>10</v>
      </c>
      <c r="B19" s="9" t="s">
        <v>28</v>
      </c>
      <c r="C19" s="81" t="s">
        <v>29</v>
      </c>
    </row>
    <row r="20" spans="1:3" ht="29" x14ac:dyDescent="0.35">
      <c r="A20" s="13">
        <v>11</v>
      </c>
      <c r="B20" s="9" t="s">
        <v>30</v>
      </c>
      <c r="C20" s="81" t="s">
        <v>31</v>
      </c>
    </row>
    <row r="21" spans="1:3" ht="159.5" x14ac:dyDescent="0.35">
      <c r="A21" s="13">
        <v>12</v>
      </c>
      <c r="B21" s="14" t="s">
        <v>32</v>
      </c>
      <c r="C21" s="147" t="s">
        <v>33</v>
      </c>
    </row>
    <row r="22" spans="1:3" x14ac:dyDescent="0.35">
      <c r="A22" s="13">
        <v>13</v>
      </c>
      <c r="B22" s="14" t="s">
        <v>34</v>
      </c>
      <c r="C22" s="81" t="s">
        <v>35</v>
      </c>
    </row>
    <row r="23" spans="1:3" ht="72.5" x14ac:dyDescent="0.35">
      <c r="A23" s="13">
        <v>14</v>
      </c>
      <c r="B23" s="14" t="s">
        <v>36</v>
      </c>
      <c r="C23" s="81" t="s">
        <v>37</v>
      </c>
    </row>
    <row r="24" spans="1:3" ht="101.5" x14ac:dyDescent="0.35">
      <c r="A24" s="13">
        <v>15</v>
      </c>
      <c r="B24" s="14" t="s">
        <v>38</v>
      </c>
      <c r="C24" s="81" t="s">
        <v>39</v>
      </c>
    </row>
    <row r="25" spans="1:3" x14ac:dyDescent="0.35">
      <c r="A25" s="13">
        <v>16</v>
      </c>
      <c r="B25" s="14" t="s">
        <v>40</v>
      </c>
      <c r="C25" s="81" t="s">
        <v>35</v>
      </c>
    </row>
    <row r="26" spans="1:3" ht="29" x14ac:dyDescent="0.35">
      <c r="A26" s="13">
        <v>17</v>
      </c>
      <c r="B26" s="9" t="s">
        <v>41</v>
      </c>
      <c r="C26" s="81" t="s">
        <v>42</v>
      </c>
    </row>
    <row r="27" spans="1:3" x14ac:dyDescent="0.35">
      <c r="A27" s="13">
        <v>18</v>
      </c>
      <c r="B27" s="9" t="s">
        <v>43</v>
      </c>
      <c r="C27" s="81" t="s">
        <v>44</v>
      </c>
    </row>
  </sheetData>
  <mergeCells count="3">
    <mergeCell ref="A3:C3"/>
    <mergeCell ref="A18:C18"/>
    <mergeCell ref="A1:C1"/>
  </mergeCells>
  <hyperlinks>
    <hyperlink ref="C7" r:id="rId1" display="https://www.aurigeneservices.com/" xr:uid="{14492E6F-866E-42F7-9A06-742195CC943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E7CEE-B52E-49A1-BA6A-E92CAB54728C}">
  <sheetPr>
    <tabColor theme="3" tint="0.749992370372631"/>
  </sheetPr>
  <dimension ref="A1:E72"/>
  <sheetViews>
    <sheetView tabSelected="1" topLeftCell="A3" zoomScale="90" zoomScaleNormal="90" workbookViewId="0">
      <selection activeCell="C5" sqref="C5"/>
    </sheetView>
  </sheetViews>
  <sheetFormatPr defaultColWidth="8.81640625" defaultRowHeight="14.5" x14ac:dyDescent="0.35"/>
  <cols>
    <col min="1" max="1" width="3.7265625" style="85" customWidth="1"/>
    <col min="2" max="2" width="88.453125" style="1" customWidth="1"/>
    <col min="3" max="3" width="92.7265625" style="1" customWidth="1"/>
    <col min="4" max="4" width="0" style="91" hidden="1" customWidth="1"/>
    <col min="5" max="5" width="3.453125" style="91" customWidth="1"/>
    <col min="6" max="16378" width="9.1796875" style="91"/>
    <col min="16379" max="16380" width="9.1796875" style="91" bestFit="1"/>
    <col min="16381" max="16384" width="9.1796875" style="91"/>
  </cols>
  <sheetData>
    <row r="1" spans="1:3" ht="15" thickBot="1" x14ac:dyDescent="0.4">
      <c r="A1" s="83"/>
      <c r="B1" s="173" t="s">
        <v>45</v>
      </c>
      <c r="C1" s="174"/>
    </row>
    <row r="2" spans="1:3" x14ac:dyDescent="0.35">
      <c r="A2" s="84" t="s">
        <v>1</v>
      </c>
      <c r="B2" s="79" t="s">
        <v>2</v>
      </c>
      <c r="C2" s="79" t="s">
        <v>3</v>
      </c>
    </row>
    <row r="3" spans="1:3" ht="101.5" x14ac:dyDescent="0.35">
      <c r="A3" s="88">
        <v>1</v>
      </c>
      <c r="B3" s="80" t="s">
        <v>46</v>
      </c>
      <c r="C3" s="64" t="s">
        <v>405</v>
      </c>
    </row>
    <row r="4" spans="1:3" ht="58" x14ac:dyDescent="0.35">
      <c r="A4" s="88">
        <v>2</v>
      </c>
      <c r="B4" s="78" t="s">
        <v>47</v>
      </c>
      <c r="C4" s="64" t="s">
        <v>406</v>
      </c>
    </row>
    <row r="5" spans="1:3" ht="188.5" x14ac:dyDescent="0.35">
      <c r="A5" s="88">
        <v>3</v>
      </c>
      <c r="B5" s="81" t="s">
        <v>48</v>
      </c>
      <c r="C5" s="64" t="s">
        <v>400</v>
      </c>
    </row>
    <row r="6" spans="1:3" ht="135" customHeight="1" x14ac:dyDescent="0.35">
      <c r="A6" s="88">
        <v>4</v>
      </c>
      <c r="B6" s="78" t="s">
        <v>49</v>
      </c>
      <c r="C6" s="64" t="s">
        <v>401</v>
      </c>
    </row>
    <row r="7" spans="1:3" ht="58" x14ac:dyDescent="0.35">
      <c r="A7" s="88"/>
      <c r="B7" s="78" t="s">
        <v>50</v>
      </c>
      <c r="C7" s="64" t="s">
        <v>51</v>
      </c>
    </row>
    <row r="8" spans="1:3" x14ac:dyDescent="0.35">
      <c r="A8" s="88"/>
      <c r="B8" s="81" t="s">
        <v>52</v>
      </c>
      <c r="C8" s="64" t="s">
        <v>53</v>
      </c>
    </row>
    <row r="9" spans="1:3" x14ac:dyDescent="0.35">
      <c r="A9" s="88"/>
      <c r="B9" s="92" t="s">
        <v>54</v>
      </c>
      <c r="C9" s="64" t="s">
        <v>407</v>
      </c>
    </row>
    <row r="10" spans="1:3" ht="58" x14ac:dyDescent="0.35">
      <c r="A10" s="88"/>
      <c r="B10" s="92" t="s">
        <v>55</v>
      </c>
      <c r="C10" s="64" t="s">
        <v>402</v>
      </c>
    </row>
    <row r="11" spans="1:3" ht="409.5" x14ac:dyDescent="0.35">
      <c r="A11" s="167">
        <v>5</v>
      </c>
      <c r="B11" s="2" t="s">
        <v>56</v>
      </c>
      <c r="C11" s="64" t="s">
        <v>409</v>
      </c>
    </row>
    <row r="12" spans="1:3" ht="72.5" x14ac:dyDescent="0.35">
      <c r="A12" s="168"/>
      <c r="B12" s="63" t="s">
        <v>50</v>
      </c>
      <c r="C12" s="64" t="s">
        <v>410</v>
      </c>
    </row>
    <row r="13" spans="1:3" ht="58" x14ac:dyDescent="0.35">
      <c r="A13" s="168"/>
      <c r="B13" s="78" t="s">
        <v>57</v>
      </c>
      <c r="C13" s="64" t="s">
        <v>58</v>
      </c>
    </row>
    <row r="14" spans="1:3" ht="29" x14ac:dyDescent="0.35">
      <c r="A14" s="89">
        <v>6</v>
      </c>
      <c r="B14" s="78" t="s">
        <v>59</v>
      </c>
      <c r="C14" s="64" t="s">
        <v>60</v>
      </c>
    </row>
    <row r="15" spans="1:3" ht="29" x14ac:dyDescent="0.35">
      <c r="A15" s="89">
        <v>7</v>
      </c>
      <c r="B15" s="78" t="s">
        <v>61</v>
      </c>
      <c r="C15" s="64" t="s">
        <v>403</v>
      </c>
    </row>
    <row r="16" spans="1:3" ht="29" x14ac:dyDescent="0.35">
      <c r="A16" s="90">
        <v>8</v>
      </c>
      <c r="B16" s="92" t="s">
        <v>62</v>
      </c>
      <c r="C16" s="65" t="s">
        <v>63</v>
      </c>
    </row>
    <row r="17" spans="1:3" ht="43.5" x14ac:dyDescent="0.35">
      <c r="A17" s="89">
        <v>9</v>
      </c>
      <c r="B17" s="92" t="s">
        <v>64</v>
      </c>
      <c r="C17" s="65" t="s">
        <v>404</v>
      </c>
    </row>
    <row r="18" spans="1:3" ht="409.5" x14ac:dyDescent="0.35">
      <c r="A18" s="167">
        <v>10</v>
      </c>
      <c r="B18" s="92" t="s">
        <v>65</v>
      </c>
      <c r="C18" s="151" t="s">
        <v>411</v>
      </c>
    </row>
    <row r="19" spans="1:3" ht="43.5" x14ac:dyDescent="0.35">
      <c r="A19" s="168"/>
      <c r="B19" s="92" t="s">
        <v>50</v>
      </c>
      <c r="C19" s="65" t="s">
        <v>66</v>
      </c>
    </row>
    <row r="20" spans="1:3" ht="58" x14ac:dyDescent="0.35">
      <c r="A20" s="169"/>
      <c r="B20" s="92" t="s">
        <v>67</v>
      </c>
      <c r="C20" s="65" t="s">
        <v>68</v>
      </c>
    </row>
    <row r="21" spans="1:3" ht="116" x14ac:dyDescent="0.35">
      <c r="A21" s="167">
        <v>11</v>
      </c>
      <c r="B21" s="92" t="s">
        <v>69</v>
      </c>
      <c r="C21" s="30" t="s">
        <v>70</v>
      </c>
    </row>
    <row r="22" spans="1:3" ht="43.5" x14ac:dyDescent="0.35">
      <c r="A22" s="168"/>
      <c r="B22" s="93" t="s">
        <v>71</v>
      </c>
      <c r="C22" s="139" t="s">
        <v>412</v>
      </c>
    </row>
    <row r="23" spans="1:3" ht="43.5" x14ac:dyDescent="0.35">
      <c r="A23" s="168"/>
      <c r="B23" s="93" t="s">
        <v>72</v>
      </c>
      <c r="C23" s="139" t="s">
        <v>73</v>
      </c>
    </row>
    <row r="24" spans="1:3" ht="43.5" x14ac:dyDescent="0.35">
      <c r="A24" s="168"/>
      <c r="B24" s="93" t="s">
        <v>74</v>
      </c>
      <c r="C24" s="139" t="s">
        <v>413</v>
      </c>
    </row>
    <row r="25" spans="1:3" ht="43.5" x14ac:dyDescent="0.35">
      <c r="A25" s="168"/>
      <c r="B25" s="93" t="s">
        <v>75</v>
      </c>
      <c r="C25" s="139" t="s">
        <v>76</v>
      </c>
    </row>
    <row r="26" spans="1:3" ht="43.5" x14ac:dyDescent="0.35">
      <c r="A26" s="169"/>
      <c r="B26" s="63" t="s">
        <v>77</v>
      </c>
      <c r="C26" s="65" t="s">
        <v>78</v>
      </c>
    </row>
    <row r="27" spans="1:3" ht="116" x14ac:dyDescent="0.35">
      <c r="A27" s="167">
        <v>12</v>
      </c>
      <c r="B27" s="92" t="s">
        <v>79</v>
      </c>
      <c r="C27" s="65" t="s">
        <v>414</v>
      </c>
    </row>
    <row r="28" spans="1:3" ht="43.5" x14ac:dyDescent="0.35">
      <c r="A28" s="168"/>
      <c r="B28" s="92" t="s">
        <v>50</v>
      </c>
      <c r="C28" s="65" t="s">
        <v>80</v>
      </c>
    </row>
    <row r="29" spans="1:3" ht="43.5" x14ac:dyDescent="0.35">
      <c r="A29" s="169"/>
      <c r="B29" s="92" t="s">
        <v>67</v>
      </c>
      <c r="C29" s="65" t="s">
        <v>81</v>
      </c>
    </row>
    <row r="30" spans="1:3" ht="72.5" x14ac:dyDescent="0.35">
      <c r="A30" s="167">
        <v>13</v>
      </c>
      <c r="B30" s="78" t="s">
        <v>82</v>
      </c>
      <c r="C30" s="139" t="s">
        <v>415</v>
      </c>
    </row>
    <row r="31" spans="1:3" ht="58" x14ac:dyDescent="0.35">
      <c r="A31" s="168"/>
      <c r="B31" s="82" t="s">
        <v>83</v>
      </c>
      <c r="C31" s="64" t="s">
        <v>416</v>
      </c>
    </row>
    <row r="32" spans="1:3" ht="43.5" x14ac:dyDescent="0.35">
      <c r="A32" s="168"/>
      <c r="B32" s="82" t="s">
        <v>84</v>
      </c>
      <c r="C32" s="64" t="s">
        <v>417</v>
      </c>
    </row>
    <row r="33" spans="1:5" ht="58" x14ac:dyDescent="0.35">
      <c r="A33" s="168"/>
      <c r="B33" s="94" t="s">
        <v>85</v>
      </c>
      <c r="C33" s="65" t="s">
        <v>418</v>
      </c>
    </row>
    <row r="34" spans="1:5" ht="43.5" x14ac:dyDescent="0.35">
      <c r="A34" s="169"/>
      <c r="B34" s="92" t="s">
        <v>77</v>
      </c>
      <c r="C34" s="65" t="s">
        <v>86</v>
      </c>
    </row>
    <row r="35" spans="1:5" ht="87" x14ac:dyDescent="0.35">
      <c r="A35" s="167">
        <v>14</v>
      </c>
      <c r="B35" s="67" t="s">
        <v>82</v>
      </c>
      <c r="C35" s="65" t="s">
        <v>419</v>
      </c>
      <c r="E35" s="138"/>
    </row>
    <row r="36" spans="1:5" ht="29" x14ac:dyDescent="0.35">
      <c r="A36" s="168"/>
      <c r="B36" s="94" t="s">
        <v>87</v>
      </c>
      <c r="C36" s="65" t="s">
        <v>420</v>
      </c>
    </row>
    <row r="37" spans="1:5" ht="29" x14ac:dyDescent="0.35">
      <c r="A37" s="168"/>
      <c r="B37" s="95" t="s">
        <v>88</v>
      </c>
      <c r="C37" s="64" t="s">
        <v>421</v>
      </c>
    </row>
    <row r="38" spans="1:5" ht="29" x14ac:dyDescent="0.35">
      <c r="A38" s="168"/>
      <c r="B38" s="95" t="s">
        <v>89</v>
      </c>
      <c r="C38" s="64" t="s">
        <v>422</v>
      </c>
    </row>
    <row r="39" spans="1:5" ht="29" x14ac:dyDescent="0.35">
      <c r="A39" s="168"/>
      <c r="B39" s="95" t="s">
        <v>90</v>
      </c>
      <c r="C39" s="64" t="s">
        <v>423</v>
      </c>
    </row>
    <row r="40" spans="1:5" ht="29" x14ac:dyDescent="0.35">
      <c r="A40" s="168"/>
      <c r="B40" s="95" t="s">
        <v>91</v>
      </c>
      <c r="C40" s="64" t="s">
        <v>424</v>
      </c>
    </row>
    <row r="41" spans="1:5" ht="29" x14ac:dyDescent="0.35">
      <c r="A41" s="168"/>
      <c r="B41" s="95" t="s">
        <v>92</v>
      </c>
      <c r="C41" s="65" t="s">
        <v>93</v>
      </c>
    </row>
    <row r="42" spans="1:5" ht="29" x14ac:dyDescent="0.35">
      <c r="A42" s="168"/>
      <c r="B42" s="95" t="s">
        <v>94</v>
      </c>
      <c r="C42" s="65" t="s">
        <v>425</v>
      </c>
    </row>
    <row r="43" spans="1:5" ht="29" x14ac:dyDescent="0.35">
      <c r="A43" s="168"/>
      <c r="B43" s="95" t="s">
        <v>95</v>
      </c>
      <c r="C43" s="65" t="s">
        <v>426</v>
      </c>
    </row>
    <row r="44" spans="1:5" x14ac:dyDescent="0.35">
      <c r="A44" s="168"/>
      <c r="B44" s="95" t="s">
        <v>96</v>
      </c>
      <c r="C44" s="65" t="s">
        <v>97</v>
      </c>
    </row>
    <row r="45" spans="1:5" ht="43.5" x14ac:dyDescent="0.35">
      <c r="A45" s="169"/>
      <c r="B45" s="63" t="s">
        <v>77</v>
      </c>
      <c r="C45" s="65" t="s">
        <v>98</v>
      </c>
    </row>
    <row r="46" spans="1:5" ht="72.5" x14ac:dyDescent="0.35">
      <c r="A46" s="167">
        <v>15</v>
      </c>
      <c r="B46" s="98" t="s">
        <v>82</v>
      </c>
      <c r="C46" s="65" t="s">
        <v>427</v>
      </c>
    </row>
    <row r="47" spans="1:5" ht="58" x14ac:dyDescent="0.35">
      <c r="A47" s="168"/>
      <c r="B47" s="99" t="s">
        <v>99</v>
      </c>
      <c r="C47" s="65" t="s">
        <v>428</v>
      </c>
    </row>
    <row r="48" spans="1:5" ht="43.5" x14ac:dyDescent="0.35">
      <c r="A48" s="168"/>
      <c r="B48" s="99" t="s">
        <v>100</v>
      </c>
      <c r="C48" s="65" t="s">
        <v>429</v>
      </c>
    </row>
    <row r="49" spans="1:3" ht="43.5" x14ac:dyDescent="0.35">
      <c r="A49" s="168"/>
      <c r="B49" s="99" t="s">
        <v>101</v>
      </c>
      <c r="C49" s="64" t="s">
        <v>430</v>
      </c>
    </row>
    <row r="50" spans="1:3" ht="43.5" x14ac:dyDescent="0.35">
      <c r="A50" s="168"/>
      <c r="B50" s="99" t="s">
        <v>102</v>
      </c>
      <c r="C50" s="64" t="s">
        <v>431</v>
      </c>
    </row>
    <row r="51" spans="1:3" ht="43.5" x14ac:dyDescent="0.35">
      <c r="A51" s="169"/>
      <c r="B51" s="55" t="s">
        <v>77</v>
      </c>
      <c r="C51" s="65" t="s">
        <v>103</v>
      </c>
    </row>
    <row r="52" spans="1:3" ht="43.5" x14ac:dyDescent="0.35">
      <c r="A52" s="86">
        <v>16</v>
      </c>
      <c r="B52" s="63" t="s">
        <v>104</v>
      </c>
      <c r="C52" s="65" t="s">
        <v>432</v>
      </c>
    </row>
    <row r="53" spans="1:3" ht="43.5" x14ac:dyDescent="0.35">
      <c r="A53" s="86">
        <v>17</v>
      </c>
      <c r="B53" s="63" t="s">
        <v>105</v>
      </c>
      <c r="C53" s="65" t="s">
        <v>433</v>
      </c>
    </row>
    <row r="54" spans="1:3" ht="43.5" x14ac:dyDescent="0.35">
      <c r="A54" s="86">
        <v>18</v>
      </c>
      <c r="B54" s="63" t="s">
        <v>106</v>
      </c>
      <c r="C54" s="65" t="s">
        <v>107</v>
      </c>
    </row>
    <row r="55" spans="1:3" x14ac:dyDescent="0.35">
      <c r="A55" s="86">
        <v>19</v>
      </c>
      <c r="B55" s="63" t="s">
        <v>108</v>
      </c>
      <c r="C55" s="65" t="s">
        <v>109</v>
      </c>
    </row>
    <row r="56" spans="1:3" x14ac:dyDescent="0.35">
      <c r="A56" s="86">
        <v>20</v>
      </c>
      <c r="B56" s="63" t="s">
        <v>110</v>
      </c>
      <c r="C56" s="65" t="s">
        <v>111</v>
      </c>
    </row>
    <row r="57" spans="1:3" ht="29" x14ac:dyDescent="0.35">
      <c r="A57" s="86">
        <v>21</v>
      </c>
      <c r="B57" s="63" t="s">
        <v>112</v>
      </c>
      <c r="C57" s="65" t="s">
        <v>408</v>
      </c>
    </row>
    <row r="58" spans="1:3" ht="58" x14ac:dyDescent="0.35">
      <c r="A58" s="86">
        <v>22</v>
      </c>
      <c r="B58" s="63" t="s">
        <v>113</v>
      </c>
      <c r="C58" s="65" t="s">
        <v>438</v>
      </c>
    </row>
    <row r="59" spans="1:3" ht="58" x14ac:dyDescent="0.35">
      <c r="A59" s="86">
        <v>23</v>
      </c>
      <c r="B59" s="63" t="s">
        <v>114</v>
      </c>
      <c r="C59" s="65" t="s">
        <v>115</v>
      </c>
    </row>
    <row r="60" spans="1:3" ht="29" x14ac:dyDescent="0.35">
      <c r="A60" s="170">
        <v>24</v>
      </c>
      <c r="B60" s="63" t="s">
        <v>116</v>
      </c>
      <c r="C60" s="65"/>
    </row>
    <row r="61" spans="1:3" ht="43.5" x14ac:dyDescent="0.35">
      <c r="A61" s="171"/>
      <c r="B61" s="63" t="s">
        <v>117</v>
      </c>
      <c r="C61" s="150" t="s">
        <v>434</v>
      </c>
    </row>
    <row r="62" spans="1:3" ht="29" x14ac:dyDescent="0.35">
      <c r="A62" s="171"/>
      <c r="B62" s="63" t="s">
        <v>118</v>
      </c>
      <c r="C62" s="65" t="s">
        <v>435</v>
      </c>
    </row>
    <row r="63" spans="1:3" ht="43.5" x14ac:dyDescent="0.35">
      <c r="A63" s="171"/>
      <c r="B63" s="63" t="s">
        <v>119</v>
      </c>
      <c r="C63" s="65" t="s">
        <v>120</v>
      </c>
    </row>
    <row r="64" spans="1:3" ht="29" x14ac:dyDescent="0.35">
      <c r="A64" s="171"/>
      <c r="B64" s="63" t="s">
        <v>121</v>
      </c>
      <c r="C64" s="65" t="s">
        <v>436</v>
      </c>
    </row>
    <row r="65" spans="1:3" ht="29" x14ac:dyDescent="0.35">
      <c r="A65" s="171"/>
      <c r="B65" s="63" t="s">
        <v>122</v>
      </c>
      <c r="C65" s="65" t="s">
        <v>123</v>
      </c>
    </row>
    <row r="66" spans="1:3" ht="29" x14ac:dyDescent="0.35">
      <c r="A66" s="171"/>
      <c r="B66" s="63" t="s">
        <v>124</v>
      </c>
      <c r="C66" s="65" t="s">
        <v>125</v>
      </c>
    </row>
    <row r="67" spans="1:3" ht="29" x14ac:dyDescent="0.35">
      <c r="A67" s="171"/>
      <c r="B67" s="63" t="s">
        <v>126</v>
      </c>
      <c r="C67" s="65" t="s">
        <v>127</v>
      </c>
    </row>
    <row r="68" spans="1:3" ht="43.5" x14ac:dyDescent="0.35">
      <c r="A68" s="172"/>
      <c r="B68" s="63" t="s">
        <v>128</v>
      </c>
      <c r="C68" s="65" t="s">
        <v>437</v>
      </c>
    </row>
    <row r="69" spans="1:3" ht="58" x14ac:dyDescent="0.35">
      <c r="A69" s="86">
        <v>25</v>
      </c>
      <c r="B69" s="63" t="s">
        <v>129</v>
      </c>
      <c r="C69" s="65" t="s">
        <v>439</v>
      </c>
    </row>
    <row r="70" spans="1:3" ht="58" x14ac:dyDescent="0.35">
      <c r="A70" s="86">
        <v>26</v>
      </c>
      <c r="B70" s="63" t="s">
        <v>130</v>
      </c>
      <c r="C70" s="65" t="s">
        <v>131</v>
      </c>
    </row>
    <row r="71" spans="1:3" ht="87" x14ac:dyDescent="0.35">
      <c r="A71" s="86">
        <v>27</v>
      </c>
      <c r="B71" s="63" t="s">
        <v>132</v>
      </c>
      <c r="C71" s="65" t="s">
        <v>440</v>
      </c>
    </row>
    <row r="72" spans="1:3" ht="44" thickBot="1" x14ac:dyDescent="0.4">
      <c r="A72" s="87">
        <v>28</v>
      </c>
      <c r="B72" s="96" t="s">
        <v>133</v>
      </c>
      <c r="C72" s="107" t="s">
        <v>134</v>
      </c>
    </row>
  </sheetData>
  <mergeCells count="9">
    <mergeCell ref="A35:A45"/>
    <mergeCell ref="A60:A68"/>
    <mergeCell ref="A11:A13"/>
    <mergeCell ref="B1:C1"/>
    <mergeCell ref="A18:A20"/>
    <mergeCell ref="A21:A26"/>
    <mergeCell ref="A27:A29"/>
    <mergeCell ref="A30:A34"/>
    <mergeCell ref="A46:A5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A8B9-8382-463F-AE53-4CBAA2EEBE22}">
  <sheetPr>
    <tabColor theme="5" tint="0.79998168889431442"/>
  </sheetPr>
  <dimension ref="A1:K13"/>
  <sheetViews>
    <sheetView topLeftCell="C2" zoomScale="90" zoomScaleNormal="90" workbookViewId="0">
      <selection activeCell="J11" sqref="J11:J13"/>
    </sheetView>
  </sheetViews>
  <sheetFormatPr defaultColWidth="9.1796875" defaultRowHeight="14.5" x14ac:dyDescent="0.35"/>
  <cols>
    <col min="1" max="1" width="30.453125" style="34" customWidth="1"/>
    <col min="2" max="2" width="37.81640625" style="34" customWidth="1"/>
    <col min="3" max="3" width="45.453125" style="34" customWidth="1"/>
    <col min="4" max="4" width="41" style="34" customWidth="1"/>
    <col min="5" max="5" width="22" style="34" customWidth="1"/>
    <col min="6" max="6" width="16.81640625" style="34" customWidth="1"/>
    <col min="7" max="7" width="10.81640625" style="34" customWidth="1"/>
    <col min="8" max="8" width="17" style="34" customWidth="1"/>
    <col min="9" max="9" width="10.81640625" style="34" customWidth="1"/>
    <col min="10" max="11" width="23.453125" style="34" customWidth="1"/>
    <col min="12" max="16384" width="9.1796875" style="34"/>
  </cols>
  <sheetData>
    <row r="1" spans="1:11" ht="33.75" customHeight="1" x14ac:dyDescent="0.35">
      <c r="A1" s="177" t="s">
        <v>135</v>
      </c>
      <c r="B1" s="178"/>
      <c r="C1" s="178"/>
      <c r="D1" s="178"/>
      <c r="E1" s="178"/>
      <c r="F1" s="178"/>
      <c r="G1" s="178"/>
      <c r="H1" s="178"/>
      <c r="I1" s="178"/>
      <c r="J1" s="178"/>
      <c r="K1" s="179"/>
    </row>
    <row r="2" spans="1:11" s="36" customFormat="1" ht="98.25" customHeight="1" thickBot="1" x14ac:dyDescent="0.4">
      <c r="A2" s="61"/>
      <c r="B2" s="175" t="s">
        <v>136</v>
      </c>
      <c r="C2" s="175"/>
      <c r="D2" s="175"/>
      <c r="E2" s="175"/>
      <c r="F2" s="175"/>
      <c r="G2" s="175"/>
      <c r="H2" s="175"/>
      <c r="I2" s="175"/>
      <c r="J2" s="175"/>
      <c r="K2" s="176"/>
    </row>
    <row r="3" spans="1:11" ht="30" customHeight="1" x14ac:dyDescent="0.35">
      <c r="A3" s="180" t="s">
        <v>137</v>
      </c>
      <c r="B3" s="37" t="s">
        <v>138</v>
      </c>
      <c r="C3" s="38" t="s">
        <v>139</v>
      </c>
      <c r="D3" s="37" t="s">
        <v>140</v>
      </c>
      <c r="E3" s="37" t="s">
        <v>141</v>
      </c>
      <c r="F3" s="38" t="s">
        <v>142</v>
      </c>
      <c r="G3" s="38" t="s">
        <v>143</v>
      </c>
      <c r="H3" s="38" t="s">
        <v>144</v>
      </c>
      <c r="I3" s="38" t="s">
        <v>145</v>
      </c>
      <c r="J3" s="38" t="s">
        <v>146</v>
      </c>
      <c r="K3" s="40" t="s">
        <v>147</v>
      </c>
    </row>
    <row r="4" spans="1:11" ht="17.149999999999999" customHeight="1" x14ac:dyDescent="0.35">
      <c r="A4" s="181"/>
      <c r="B4" s="183" t="s">
        <v>148</v>
      </c>
      <c r="C4" s="33" t="s">
        <v>149</v>
      </c>
      <c r="D4" s="108" t="s">
        <v>18</v>
      </c>
      <c r="E4" s="109" t="s">
        <v>18</v>
      </c>
      <c r="F4" s="110" t="s">
        <v>150</v>
      </c>
      <c r="G4" s="110" t="s">
        <v>18</v>
      </c>
      <c r="H4" s="110" t="s">
        <v>18</v>
      </c>
      <c r="I4" s="110" t="s">
        <v>18</v>
      </c>
      <c r="J4" s="110">
        <v>10</v>
      </c>
      <c r="K4" s="111" t="s">
        <v>151</v>
      </c>
    </row>
    <row r="5" spans="1:11" ht="17.149999999999999" customHeight="1" x14ac:dyDescent="0.35">
      <c r="A5" s="181"/>
      <c r="B5" s="183"/>
      <c r="C5" s="33" t="s">
        <v>152</v>
      </c>
      <c r="D5" s="109" t="s">
        <v>18</v>
      </c>
      <c r="E5" s="109" t="s">
        <v>18</v>
      </c>
      <c r="F5" s="110" t="s">
        <v>153</v>
      </c>
      <c r="G5" s="110" t="s">
        <v>18</v>
      </c>
      <c r="H5" s="110" t="s">
        <v>18</v>
      </c>
      <c r="I5" s="110" t="s">
        <v>18</v>
      </c>
      <c r="J5" s="110">
        <v>15</v>
      </c>
      <c r="K5" s="111" t="s">
        <v>151</v>
      </c>
    </row>
    <row r="6" spans="1:11" x14ac:dyDescent="0.35">
      <c r="A6" s="181"/>
      <c r="B6" s="183"/>
      <c r="C6" s="33"/>
      <c r="D6" s="37"/>
      <c r="E6" s="37"/>
      <c r="F6" s="38"/>
      <c r="G6" s="38"/>
      <c r="H6" s="38"/>
      <c r="I6" s="38"/>
      <c r="J6" s="38"/>
      <c r="K6" s="40"/>
    </row>
    <row r="7" spans="1:11" ht="15" customHeight="1" x14ac:dyDescent="0.35">
      <c r="A7" s="181"/>
      <c r="B7" s="183"/>
      <c r="C7" s="39"/>
      <c r="D7" s="32"/>
      <c r="E7" s="32"/>
      <c r="F7" s="32"/>
      <c r="G7" s="32"/>
      <c r="H7" s="32"/>
      <c r="I7" s="32"/>
      <c r="J7" s="32"/>
      <c r="K7" s="41"/>
    </row>
    <row r="8" spans="1:11" x14ac:dyDescent="0.35">
      <c r="A8" s="181"/>
      <c r="B8" s="183"/>
      <c r="C8" s="33" t="s">
        <v>154</v>
      </c>
      <c r="D8" s="109" t="s">
        <v>155</v>
      </c>
      <c r="E8" s="109" t="s">
        <v>18</v>
      </c>
      <c r="F8" s="110">
        <v>200</v>
      </c>
      <c r="G8" s="118">
        <v>0.01</v>
      </c>
      <c r="H8" s="112" t="s">
        <v>156</v>
      </c>
      <c r="I8" s="120" t="s">
        <v>157</v>
      </c>
      <c r="J8" s="110">
        <v>12</v>
      </c>
      <c r="K8" s="111">
        <v>200</v>
      </c>
    </row>
    <row r="9" spans="1:11" x14ac:dyDescent="0.35">
      <c r="A9" s="181"/>
      <c r="B9" s="183"/>
      <c r="C9" s="39" t="s">
        <v>158</v>
      </c>
      <c r="D9" s="112" t="s">
        <v>159</v>
      </c>
      <c r="E9" s="112">
        <v>20</v>
      </c>
      <c r="F9" s="112">
        <v>100</v>
      </c>
      <c r="G9" s="118">
        <v>0.01</v>
      </c>
      <c r="H9" s="112" t="s">
        <v>156</v>
      </c>
      <c r="I9" s="120" t="s">
        <v>157</v>
      </c>
      <c r="J9" s="112">
        <v>9</v>
      </c>
      <c r="K9" s="113">
        <v>100</v>
      </c>
    </row>
    <row r="10" spans="1:11" x14ac:dyDescent="0.35">
      <c r="A10" s="181"/>
      <c r="B10" s="183"/>
      <c r="C10" s="33" t="s">
        <v>160</v>
      </c>
      <c r="D10" s="109" t="s">
        <v>159</v>
      </c>
      <c r="E10" s="109">
        <v>500</v>
      </c>
      <c r="F10" s="110">
        <v>200</v>
      </c>
      <c r="G10" s="118">
        <v>0.01</v>
      </c>
      <c r="H10" s="112" t="s">
        <v>156</v>
      </c>
      <c r="I10" s="120" t="s">
        <v>157</v>
      </c>
      <c r="J10" s="110">
        <v>10</v>
      </c>
      <c r="K10" s="111">
        <v>80</v>
      </c>
    </row>
    <row r="11" spans="1:11" s="35" customFormat="1" x14ac:dyDescent="0.35">
      <c r="A11" s="181"/>
      <c r="B11" s="183"/>
      <c r="C11" s="33" t="s">
        <v>161</v>
      </c>
      <c r="D11" s="109" t="s">
        <v>159</v>
      </c>
      <c r="E11" s="109">
        <v>1000</v>
      </c>
      <c r="F11" s="110">
        <v>300</v>
      </c>
      <c r="G11" s="118">
        <v>0.01</v>
      </c>
      <c r="H11" s="112" t="s">
        <v>156</v>
      </c>
      <c r="I11" s="120" t="s">
        <v>157</v>
      </c>
      <c r="J11" s="110">
        <v>10</v>
      </c>
      <c r="K11" s="111">
        <v>50</v>
      </c>
    </row>
    <row r="12" spans="1:11" x14ac:dyDescent="0.35">
      <c r="A12" s="181"/>
      <c r="B12" s="183"/>
      <c r="C12" s="33" t="s">
        <v>162</v>
      </c>
      <c r="D12" s="112" t="s">
        <v>159</v>
      </c>
      <c r="E12" s="112">
        <v>3000</v>
      </c>
      <c r="F12" s="112">
        <v>400</v>
      </c>
      <c r="G12" s="118">
        <v>0.01</v>
      </c>
      <c r="H12" s="112" t="s">
        <v>156</v>
      </c>
      <c r="I12" s="120" t="s">
        <v>157</v>
      </c>
      <c r="J12" s="110">
        <v>10</v>
      </c>
      <c r="K12" s="113">
        <v>30</v>
      </c>
    </row>
    <row r="13" spans="1:11" ht="15" thickBot="1" x14ac:dyDescent="0.4">
      <c r="A13" s="182"/>
      <c r="B13" s="184"/>
      <c r="C13" s="42" t="s">
        <v>163</v>
      </c>
      <c r="D13" s="114" t="s">
        <v>159</v>
      </c>
      <c r="E13" s="114">
        <v>6000</v>
      </c>
      <c r="F13" s="114">
        <v>500</v>
      </c>
      <c r="G13" s="146">
        <v>0.01</v>
      </c>
      <c r="H13" s="114" t="s">
        <v>156</v>
      </c>
      <c r="I13" s="129" t="s">
        <v>157</v>
      </c>
      <c r="J13" s="110">
        <v>10</v>
      </c>
      <c r="K13" s="115">
        <v>0</v>
      </c>
    </row>
  </sheetData>
  <mergeCells count="4">
    <mergeCell ref="B2:K2"/>
    <mergeCell ref="A1:K1"/>
    <mergeCell ref="A3:A13"/>
    <mergeCell ref="B4:B13"/>
  </mergeCells>
  <pageMargins left="0.7" right="0.7" top="0.75" bottom="0.75" header="0.3" footer="0.3"/>
  <ignoredErrors>
    <ignoredError sqref="H8:H14 I8:I13"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4872-B9DB-4150-8F3B-336E8B5BBC11}">
  <sheetPr>
    <tabColor theme="8" tint="0.79998168889431442"/>
  </sheetPr>
  <dimension ref="A1:N47"/>
  <sheetViews>
    <sheetView topLeftCell="D1" zoomScale="90" zoomScaleNormal="90" workbookViewId="0">
      <selection activeCell="J11" sqref="J11"/>
    </sheetView>
  </sheetViews>
  <sheetFormatPr defaultColWidth="9.1796875" defaultRowHeight="56.25" customHeight="1" x14ac:dyDescent="0.35"/>
  <cols>
    <col min="1" max="1" width="30.453125" style="27" customWidth="1"/>
    <col min="2" max="3" width="37.81640625" style="27" customWidth="1"/>
    <col min="4" max="4" width="24.26953125" style="27" customWidth="1"/>
    <col min="5" max="5" width="31.54296875" style="27" bestFit="1" customWidth="1"/>
    <col min="6" max="6" width="15" style="27" bestFit="1" customWidth="1"/>
    <col min="7" max="7" width="15.26953125" style="27" customWidth="1"/>
    <col min="8" max="8" width="13.81640625" style="27" customWidth="1"/>
    <col min="9" max="9" width="20.26953125" style="27" customWidth="1"/>
    <col min="10" max="10" width="12.26953125" style="27" customWidth="1"/>
    <col min="11" max="11" width="14.7265625" style="27" customWidth="1"/>
    <col min="12" max="12" width="9.1796875" style="27"/>
    <col min="13" max="13" width="18.453125" style="27" customWidth="1"/>
    <col min="14" max="14" width="16.453125" style="27" customWidth="1"/>
    <col min="15" max="16384" width="9.1796875" style="27"/>
  </cols>
  <sheetData>
    <row r="1" spans="1:14" ht="29.25" customHeight="1" x14ac:dyDescent="0.35">
      <c r="A1" s="177" t="s">
        <v>164</v>
      </c>
      <c r="B1" s="178"/>
      <c r="C1" s="178"/>
      <c r="D1" s="178"/>
      <c r="E1" s="178"/>
      <c r="F1" s="178"/>
      <c r="G1" s="178"/>
      <c r="H1" s="178"/>
      <c r="I1" s="178"/>
      <c r="J1" s="178"/>
      <c r="K1" s="178"/>
      <c r="L1" s="178"/>
      <c r="M1" s="178"/>
      <c r="N1" s="179"/>
    </row>
    <row r="2" spans="1:14" ht="37.5" customHeight="1" thickBot="1" x14ac:dyDescent="0.4">
      <c r="A2" s="62"/>
      <c r="B2" s="190" t="s">
        <v>165</v>
      </c>
      <c r="C2" s="175"/>
      <c r="D2" s="175"/>
      <c r="E2" s="175"/>
      <c r="F2" s="175"/>
      <c r="G2" s="175"/>
      <c r="H2" s="175"/>
      <c r="I2" s="175"/>
      <c r="J2" s="175"/>
      <c r="K2" s="175"/>
      <c r="L2" s="175"/>
      <c r="M2" s="175"/>
      <c r="N2" s="176"/>
    </row>
    <row r="3" spans="1:14" ht="65.25" customHeight="1" x14ac:dyDescent="0.35">
      <c r="A3" s="185" t="s">
        <v>166</v>
      </c>
      <c r="B3" s="44" t="s">
        <v>167</v>
      </c>
      <c r="C3" s="53" t="s">
        <v>168</v>
      </c>
      <c r="D3" s="53" t="s">
        <v>169</v>
      </c>
      <c r="E3" s="53" t="s">
        <v>170</v>
      </c>
      <c r="F3" s="53" t="s">
        <v>171</v>
      </c>
      <c r="G3" s="53" t="s">
        <v>172</v>
      </c>
      <c r="H3" s="54" t="s">
        <v>142</v>
      </c>
      <c r="I3" s="54" t="s">
        <v>146</v>
      </c>
      <c r="J3" s="54" t="s">
        <v>173</v>
      </c>
      <c r="K3" s="38" t="s">
        <v>144</v>
      </c>
      <c r="L3" s="38" t="s">
        <v>145</v>
      </c>
      <c r="M3" s="38" t="s">
        <v>442</v>
      </c>
      <c r="N3" s="40" t="s">
        <v>147</v>
      </c>
    </row>
    <row r="4" spans="1:14" ht="14.25" customHeight="1" x14ac:dyDescent="0.35">
      <c r="A4" s="185"/>
      <c r="B4" s="187" t="s">
        <v>174</v>
      </c>
      <c r="C4" s="43" t="s">
        <v>175</v>
      </c>
      <c r="D4" s="30" t="s">
        <v>176</v>
      </c>
      <c r="E4" s="30" t="s">
        <v>177</v>
      </c>
      <c r="F4" s="30" t="s">
        <v>178</v>
      </c>
      <c r="G4" s="47" t="s">
        <v>179</v>
      </c>
      <c r="H4" s="123">
        <v>1200</v>
      </c>
      <c r="I4" s="47">
        <v>9</v>
      </c>
      <c r="J4" s="118">
        <v>0.01</v>
      </c>
      <c r="K4" s="112" t="s">
        <v>156</v>
      </c>
      <c r="L4" s="120" t="s">
        <v>157</v>
      </c>
      <c r="M4" s="112">
        <v>16</v>
      </c>
      <c r="N4" s="120">
        <v>250</v>
      </c>
    </row>
    <row r="5" spans="1:14" ht="14.25" customHeight="1" x14ac:dyDescent="0.35">
      <c r="A5" s="185"/>
      <c r="B5" s="188"/>
      <c r="C5" s="43" t="s">
        <v>175</v>
      </c>
      <c r="D5" s="30" t="s">
        <v>180</v>
      </c>
      <c r="E5" s="30" t="s">
        <v>177</v>
      </c>
      <c r="F5" s="30" t="s">
        <v>178</v>
      </c>
      <c r="G5" s="47" t="s">
        <v>181</v>
      </c>
      <c r="H5" s="123">
        <v>1800</v>
      </c>
      <c r="I5" s="47">
        <v>9</v>
      </c>
      <c r="J5" s="47" t="s">
        <v>182</v>
      </c>
      <c r="K5" s="112" t="s">
        <v>156</v>
      </c>
      <c r="L5" s="120" t="s">
        <v>157</v>
      </c>
      <c r="M5" s="110">
        <v>16</v>
      </c>
      <c r="N5" s="110">
        <v>100</v>
      </c>
    </row>
    <row r="6" spans="1:14" ht="14.25" customHeight="1" x14ac:dyDescent="0.35">
      <c r="A6" s="185"/>
      <c r="B6" s="188"/>
      <c r="C6" s="43" t="s">
        <v>175</v>
      </c>
      <c r="D6" s="30" t="s">
        <v>183</v>
      </c>
      <c r="E6" s="30" t="s">
        <v>177</v>
      </c>
      <c r="F6" s="30" t="s">
        <v>178</v>
      </c>
      <c r="G6" s="47" t="s">
        <v>184</v>
      </c>
      <c r="H6" s="123">
        <v>3800</v>
      </c>
      <c r="I6" s="47">
        <v>9</v>
      </c>
      <c r="J6" s="47" t="s">
        <v>182</v>
      </c>
      <c r="K6" s="112" t="s">
        <v>156</v>
      </c>
      <c r="L6" s="120" t="s">
        <v>157</v>
      </c>
      <c r="M6" s="110">
        <v>16</v>
      </c>
      <c r="N6" s="110">
        <v>200</v>
      </c>
    </row>
    <row r="7" spans="1:14" ht="14.25" customHeight="1" x14ac:dyDescent="0.35">
      <c r="A7" s="185"/>
      <c r="B7" s="188"/>
      <c r="C7" s="43" t="s">
        <v>175</v>
      </c>
      <c r="D7" s="30" t="s">
        <v>185</v>
      </c>
      <c r="E7" s="30" t="s">
        <v>177</v>
      </c>
      <c r="F7" s="30" t="s">
        <v>178</v>
      </c>
      <c r="G7" s="47" t="s">
        <v>186</v>
      </c>
      <c r="H7" s="123">
        <v>5500</v>
      </c>
      <c r="I7" s="47">
        <v>14</v>
      </c>
      <c r="J7" s="47" t="s">
        <v>182</v>
      </c>
      <c r="K7" s="112" t="s">
        <v>156</v>
      </c>
      <c r="L7" s="120" t="s">
        <v>157</v>
      </c>
      <c r="M7" s="110">
        <v>20</v>
      </c>
      <c r="N7" s="110">
        <v>30</v>
      </c>
    </row>
    <row r="8" spans="1:14" ht="14.25" customHeight="1" x14ac:dyDescent="0.35">
      <c r="A8" s="185"/>
      <c r="B8" s="188"/>
      <c r="C8" s="43" t="s">
        <v>175</v>
      </c>
      <c r="D8" s="30" t="s">
        <v>187</v>
      </c>
      <c r="E8" s="30" t="s">
        <v>177</v>
      </c>
      <c r="F8" s="30" t="s">
        <v>178</v>
      </c>
      <c r="G8" s="47" t="s">
        <v>188</v>
      </c>
      <c r="H8" s="123">
        <v>9500</v>
      </c>
      <c r="I8" s="47">
        <v>14</v>
      </c>
      <c r="J8" s="47" t="s">
        <v>182</v>
      </c>
      <c r="K8" s="112" t="s">
        <v>156</v>
      </c>
      <c r="L8" s="120" t="s">
        <v>157</v>
      </c>
      <c r="M8" s="110">
        <v>20</v>
      </c>
      <c r="N8" s="110">
        <v>5</v>
      </c>
    </row>
    <row r="9" spans="1:14" ht="14.25" customHeight="1" x14ac:dyDescent="0.35">
      <c r="A9" s="185"/>
      <c r="B9" s="188"/>
      <c r="C9" s="43" t="s">
        <v>175</v>
      </c>
      <c r="D9" s="30" t="s">
        <v>189</v>
      </c>
      <c r="E9" s="30" t="s">
        <v>177</v>
      </c>
      <c r="F9" s="30" t="s">
        <v>178</v>
      </c>
      <c r="G9" s="47" t="s">
        <v>190</v>
      </c>
      <c r="H9" s="123">
        <v>16500</v>
      </c>
      <c r="I9" s="47">
        <v>14</v>
      </c>
      <c r="J9" s="47" t="s">
        <v>182</v>
      </c>
      <c r="K9" s="112" t="s">
        <v>156</v>
      </c>
      <c r="L9" s="120" t="s">
        <v>157</v>
      </c>
      <c r="M9" s="110">
        <v>20</v>
      </c>
      <c r="N9" s="112">
        <v>2</v>
      </c>
    </row>
    <row r="10" spans="1:14" ht="14.25" customHeight="1" x14ac:dyDescent="0.35">
      <c r="A10" s="185"/>
      <c r="B10" s="188"/>
      <c r="C10" s="43" t="s">
        <v>191</v>
      </c>
      <c r="D10" s="30" t="s">
        <v>176</v>
      </c>
      <c r="E10" s="30" t="s">
        <v>177</v>
      </c>
      <c r="F10" s="28" t="s">
        <v>192</v>
      </c>
      <c r="G10" s="47" t="s">
        <v>193</v>
      </c>
      <c r="H10" s="124">
        <v>1400</v>
      </c>
      <c r="I10" s="47">
        <v>6</v>
      </c>
      <c r="J10" s="31" t="s">
        <v>182</v>
      </c>
      <c r="K10" s="120" t="s">
        <v>157</v>
      </c>
      <c r="L10" s="120" t="s">
        <v>157</v>
      </c>
      <c r="M10" s="120">
        <v>13</v>
      </c>
      <c r="N10" s="120">
        <v>250</v>
      </c>
    </row>
    <row r="11" spans="1:14" ht="14.25" customHeight="1" x14ac:dyDescent="0.35">
      <c r="A11" s="185"/>
      <c r="B11" s="188"/>
      <c r="C11" s="43" t="s">
        <v>191</v>
      </c>
      <c r="D11" s="30" t="s">
        <v>180</v>
      </c>
      <c r="E11" s="30" t="s">
        <v>177</v>
      </c>
      <c r="F11" s="28" t="s">
        <v>192</v>
      </c>
      <c r="G11" s="47" t="s">
        <v>194</v>
      </c>
      <c r="H11" s="124">
        <v>2000</v>
      </c>
      <c r="I11" s="47">
        <v>6</v>
      </c>
      <c r="J11" s="31" t="s">
        <v>182</v>
      </c>
      <c r="K11" s="120" t="s">
        <v>157</v>
      </c>
      <c r="L11" s="120" t="s">
        <v>157</v>
      </c>
      <c r="M11" s="120">
        <v>13</v>
      </c>
      <c r="N11" s="110">
        <v>100</v>
      </c>
    </row>
    <row r="12" spans="1:14" ht="14.25" customHeight="1" x14ac:dyDescent="0.35">
      <c r="A12" s="185"/>
      <c r="B12" s="188"/>
      <c r="C12" s="43" t="s">
        <v>191</v>
      </c>
      <c r="D12" s="30" t="s">
        <v>183</v>
      </c>
      <c r="E12" s="30" t="s">
        <v>177</v>
      </c>
      <c r="F12" s="28" t="s">
        <v>192</v>
      </c>
      <c r="G12" s="47" t="s">
        <v>195</v>
      </c>
      <c r="H12" s="124">
        <v>4000</v>
      </c>
      <c r="I12" s="47">
        <v>6</v>
      </c>
      <c r="J12" s="31" t="s">
        <v>182</v>
      </c>
      <c r="K12" s="120" t="s">
        <v>157</v>
      </c>
      <c r="L12" s="120" t="s">
        <v>157</v>
      </c>
      <c r="M12" s="120">
        <v>13</v>
      </c>
      <c r="N12" s="110">
        <v>200</v>
      </c>
    </row>
    <row r="13" spans="1:14" ht="14.25" customHeight="1" x14ac:dyDescent="0.35">
      <c r="A13" s="185"/>
      <c r="B13" s="188"/>
      <c r="C13" s="43" t="s">
        <v>191</v>
      </c>
      <c r="D13" s="30" t="s">
        <v>185</v>
      </c>
      <c r="E13" s="30" t="s">
        <v>177</v>
      </c>
      <c r="F13" s="28" t="s">
        <v>192</v>
      </c>
      <c r="G13" s="47" t="s">
        <v>196</v>
      </c>
      <c r="H13" s="124">
        <v>6000</v>
      </c>
      <c r="I13" s="47">
        <v>10</v>
      </c>
      <c r="J13" s="31" t="s">
        <v>182</v>
      </c>
      <c r="K13" s="120" t="s">
        <v>157</v>
      </c>
      <c r="L13" s="120" t="s">
        <v>157</v>
      </c>
      <c r="M13" s="120">
        <v>17</v>
      </c>
      <c r="N13" s="110">
        <v>30</v>
      </c>
    </row>
    <row r="14" spans="1:14" ht="14.25" customHeight="1" x14ac:dyDescent="0.35">
      <c r="A14" s="185"/>
      <c r="B14" s="188"/>
      <c r="C14" s="43" t="s">
        <v>191</v>
      </c>
      <c r="D14" s="30" t="s">
        <v>187</v>
      </c>
      <c r="E14" s="30" t="s">
        <v>177</v>
      </c>
      <c r="F14" s="28" t="s">
        <v>192</v>
      </c>
      <c r="G14" s="47" t="s">
        <v>197</v>
      </c>
      <c r="H14" s="124">
        <v>10500</v>
      </c>
      <c r="I14" s="47">
        <v>10</v>
      </c>
      <c r="J14" s="31" t="s">
        <v>182</v>
      </c>
      <c r="K14" s="120" t="s">
        <v>157</v>
      </c>
      <c r="L14" s="120" t="s">
        <v>157</v>
      </c>
      <c r="M14" s="120">
        <v>17</v>
      </c>
      <c r="N14" s="110">
        <v>5</v>
      </c>
    </row>
    <row r="15" spans="1:14" ht="14.25" customHeight="1" x14ac:dyDescent="0.35">
      <c r="A15" s="185"/>
      <c r="B15" s="188"/>
      <c r="C15" s="43" t="s">
        <v>191</v>
      </c>
      <c r="D15" s="30" t="s">
        <v>189</v>
      </c>
      <c r="E15" s="30" t="s">
        <v>177</v>
      </c>
      <c r="F15" s="28" t="s">
        <v>192</v>
      </c>
      <c r="G15" s="47" t="s">
        <v>190</v>
      </c>
      <c r="H15" s="124">
        <v>17000</v>
      </c>
      <c r="I15" s="47">
        <v>10</v>
      </c>
      <c r="J15" s="31" t="s">
        <v>182</v>
      </c>
      <c r="K15" s="120" t="s">
        <v>157</v>
      </c>
      <c r="L15" s="120" t="s">
        <v>157</v>
      </c>
      <c r="M15" s="120">
        <v>17</v>
      </c>
      <c r="N15" s="112">
        <v>2</v>
      </c>
    </row>
    <row r="16" spans="1:14" ht="14.25" customHeight="1" x14ac:dyDescent="0.35">
      <c r="A16" s="185"/>
      <c r="B16" s="188"/>
      <c r="C16" s="50" t="s">
        <v>198</v>
      </c>
      <c r="D16" s="28" t="s">
        <v>199</v>
      </c>
      <c r="E16" s="30" t="s">
        <v>177</v>
      </c>
      <c r="F16" s="28" t="s">
        <v>192</v>
      </c>
      <c r="G16" s="31" t="s">
        <v>200</v>
      </c>
      <c r="H16" s="124">
        <v>3000</v>
      </c>
      <c r="I16" s="31">
        <v>10</v>
      </c>
      <c r="J16" s="119">
        <v>0.02</v>
      </c>
      <c r="K16" s="121">
        <v>0.5</v>
      </c>
      <c r="L16" s="120" t="s">
        <v>157</v>
      </c>
      <c r="M16" s="120">
        <v>17</v>
      </c>
      <c r="N16" s="120">
        <v>10</v>
      </c>
    </row>
    <row r="17" spans="1:14" ht="14.25" customHeight="1" x14ac:dyDescent="0.35">
      <c r="A17" s="185"/>
      <c r="B17" s="188"/>
      <c r="C17" s="50" t="s">
        <v>201</v>
      </c>
      <c r="D17" s="28" t="s">
        <v>202</v>
      </c>
      <c r="E17" s="30" t="s">
        <v>177</v>
      </c>
      <c r="F17" s="30" t="s">
        <v>178</v>
      </c>
      <c r="G17" s="31" t="s">
        <v>200</v>
      </c>
      <c r="H17" s="124">
        <v>9500</v>
      </c>
      <c r="I17" s="31">
        <v>18</v>
      </c>
      <c r="J17" s="119">
        <v>0.02</v>
      </c>
      <c r="K17" s="121">
        <v>0.5</v>
      </c>
      <c r="L17" s="120" t="s">
        <v>157</v>
      </c>
      <c r="M17" s="120">
        <v>25</v>
      </c>
      <c r="N17" s="120">
        <v>150</v>
      </c>
    </row>
    <row r="18" spans="1:14" ht="14.25" customHeight="1" x14ac:dyDescent="0.35">
      <c r="A18" s="185"/>
      <c r="B18" s="188"/>
      <c r="C18" s="50" t="s">
        <v>203</v>
      </c>
      <c r="D18" s="28"/>
      <c r="E18" s="28"/>
      <c r="F18" s="28"/>
      <c r="G18" s="28"/>
      <c r="H18" s="28"/>
      <c r="I18" s="28"/>
      <c r="J18" s="28"/>
      <c r="K18" s="28"/>
      <c r="L18" s="28"/>
      <c r="M18" s="28"/>
      <c r="N18" s="28"/>
    </row>
    <row r="19" spans="1:14" ht="17.25" customHeight="1" thickBot="1" x14ac:dyDescent="0.4">
      <c r="A19" s="186"/>
      <c r="B19" s="189"/>
      <c r="C19" s="51" t="s">
        <v>203</v>
      </c>
      <c r="D19" s="46"/>
      <c r="E19" s="46"/>
      <c r="F19" s="46"/>
      <c r="G19" s="46"/>
      <c r="H19" s="46"/>
      <c r="I19" s="46"/>
      <c r="J19" s="46"/>
      <c r="K19" s="46"/>
      <c r="L19" s="46"/>
      <c r="M19" s="46"/>
      <c r="N19" s="46"/>
    </row>
    <row r="20" spans="1:14" ht="10.5" customHeight="1" x14ac:dyDescent="0.35"/>
    <row r="21" spans="1:14" ht="29.25" customHeight="1" x14ac:dyDescent="0.35">
      <c r="A21" s="191" t="s">
        <v>204</v>
      </c>
      <c r="B21" s="52" t="s">
        <v>205</v>
      </c>
      <c r="C21" s="52" t="s">
        <v>206</v>
      </c>
      <c r="D21" s="54" t="s">
        <v>142</v>
      </c>
      <c r="E21" s="54" t="s">
        <v>146</v>
      </c>
      <c r="F21" s="54" t="s">
        <v>173</v>
      </c>
      <c r="G21" s="38" t="s">
        <v>144</v>
      </c>
      <c r="H21" s="38" t="s">
        <v>145</v>
      </c>
      <c r="I21" s="38" t="s">
        <v>146</v>
      </c>
      <c r="J21" s="40" t="s">
        <v>147</v>
      </c>
    </row>
    <row r="22" spans="1:14" ht="20.25" customHeight="1" x14ac:dyDescent="0.35">
      <c r="A22" s="191"/>
      <c r="B22" s="192" t="s">
        <v>207</v>
      </c>
      <c r="C22" s="120" t="s">
        <v>208</v>
      </c>
      <c r="D22" s="125">
        <v>300</v>
      </c>
      <c r="E22" s="43">
        <v>3</v>
      </c>
      <c r="F22" s="43" t="s">
        <v>182</v>
      </c>
      <c r="G22" s="112" t="s">
        <v>209</v>
      </c>
      <c r="H22" s="120" t="s">
        <v>157</v>
      </c>
      <c r="I22" s="112">
        <v>3</v>
      </c>
      <c r="J22" s="113">
        <v>200</v>
      </c>
    </row>
    <row r="23" spans="1:14" ht="20.25" customHeight="1" x14ac:dyDescent="0.35">
      <c r="A23" s="191"/>
      <c r="B23" s="193"/>
      <c r="C23" s="120" t="s">
        <v>210</v>
      </c>
      <c r="D23" s="125">
        <v>600</v>
      </c>
      <c r="E23" s="43">
        <v>5</v>
      </c>
      <c r="F23" s="43" t="s">
        <v>182</v>
      </c>
      <c r="G23" s="110" t="s">
        <v>209</v>
      </c>
      <c r="H23" s="120" t="s">
        <v>157</v>
      </c>
      <c r="I23" s="110">
        <v>5</v>
      </c>
      <c r="J23" s="111">
        <v>100</v>
      </c>
    </row>
    <row r="24" spans="1:14" ht="20.25" customHeight="1" x14ac:dyDescent="0.35">
      <c r="A24" s="191"/>
      <c r="B24" s="193"/>
      <c r="C24" s="120" t="s">
        <v>211</v>
      </c>
      <c r="D24" s="125">
        <v>1200</v>
      </c>
      <c r="E24" s="43">
        <v>7</v>
      </c>
      <c r="F24" s="43" t="s">
        <v>182</v>
      </c>
      <c r="G24" s="110" t="s">
        <v>209</v>
      </c>
      <c r="H24" s="120" t="s">
        <v>157</v>
      </c>
      <c r="I24" s="110">
        <v>7</v>
      </c>
      <c r="J24" s="111">
        <v>80</v>
      </c>
    </row>
    <row r="25" spans="1:14" ht="20.25" customHeight="1" x14ac:dyDescent="0.35">
      <c r="A25" s="191"/>
      <c r="B25" s="194"/>
      <c r="C25" s="120" t="s">
        <v>212</v>
      </c>
      <c r="D25" s="125">
        <v>2500</v>
      </c>
      <c r="E25" s="43">
        <v>10</v>
      </c>
      <c r="F25" s="43" t="s">
        <v>182</v>
      </c>
      <c r="G25" s="112" t="s">
        <v>209</v>
      </c>
      <c r="H25" s="120" t="s">
        <v>157</v>
      </c>
      <c r="I25" s="112">
        <v>10</v>
      </c>
      <c r="J25" s="113">
        <v>40</v>
      </c>
    </row>
    <row r="26" spans="1:14" ht="20.25" customHeight="1" x14ac:dyDescent="0.35"/>
    <row r="27" spans="1:14" ht="20.25" customHeight="1" x14ac:dyDescent="0.35"/>
    <row r="28" spans="1:14" ht="20.25" customHeight="1" x14ac:dyDescent="0.35"/>
    <row r="29" spans="1:14" ht="20.25" customHeight="1" x14ac:dyDescent="0.35"/>
    <row r="30" spans="1:14" ht="20.25" customHeight="1" x14ac:dyDescent="0.35"/>
    <row r="31" spans="1:14" ht="20.25" customHeight="1" x14ac:dyDescent="0.35"/>
    <row r="32" spans="1:14" ht="20.25" customHeight="1" x14ac:dyDescent="0.35"/>
    <row r="33" ht="20.25" customHeight="1" x14ac:dyDescent="0.35"/>
    <row r="34" ht="20.25" customHeight="1" x14ac:dyDescent="0.35"/>
    <row r="35" ht="20.25" customHeight="1" x14ac:dyDescent="0.35"/>
    <row r="36" ht="20.25" customHeight="1" x14ac:dyDescent="0.35"/>
    <row r="37" ht="20.25" customHeight="1" x14ac:dyDescent="0.35"/>
    <row r="38" ht="20.25" customHeight="1" x14ac:dyDescent="0.35"/>
    <row r="39" ht="20.25" customHeight="1" x14ac:dyDescent="0.35"/>
    <row r="40" ht="20.25" customHeight="1" x14ac:dyDescent="0.35"/>
    <row r="41" ht="20.25" customHeight="1" x14ac:dyDescent="0.35"/>
    <row r="42" ht="20.25" customHeight="1" x14ac:dyDescent="0.35"/>
    <row r="43" ht="20.25" customHeight="1" x14ac:dyDescent="0.35"/>
    <row r="44" ht="20.25" customHeight="1" x14ac:dyDescent="0.35"/>
    <row r="45" ht="20.25" customHeight="1" x14ac:dyDescent="0.35"/>
    <row r="46" ht="20.25" customHeight="1" x14ac:dyDescent="0.35"/>
    <row r="47" ht="20.25" customHeight="1" x14ac:dyDescent="0.35"/>
  </sheetData>
  <mergeCells count="6">
    <mergeCell ref="A3:A19"/>
    <mergeCell ref="B4:B19"/>
    <mergeCell ref="A1:N1"/>
    <mergeCell ref="B2:N2"/>
    <mergeCell ref="A21:A25"/>
    <mergeCell ref="B22:B25"/>
  </mergeCells>
  <phoneticPr fontId="17" type="noConversion"/>
  <pageMargins left="0.7" right="0.7" top="0.75" bottom="0.75" header="0.3" footer="0.3"/>
  <ignoredErrors>
    <ignoredError sqref="J5:J15 K4:K10 K11:K15 F22:G25 L4:L17 H22:H25" numberStoredAsText="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CEF7-6ACA-445A-8ED2-03B00E6BA0F7}">
  <sheetPr>
    <tabColor theme="5" tint="0.79998168889431442"/>
  </sheetPr>
  <dimension ref="A1:O38"/>
  <sheetViews>
    <sheetView topLeftCell="D1" zoomScale="90" zoomScaleNormal="90" workbookViewId="0">
      <selection activeCell="M4" sqref="M4"/>
    </sheetView>
  </sheetViews>
  <sheetFormatPr defaultColWidth="9.1796875" defaultRowHeight="60" customHeight="1" x14ac:dyDescent="0.35"/>
  <cols>
    <col min="1" max="1" width="30.453125" style="27" customWidth="1"/>
    <col min="2" max="2" width="48.1796875" style="27" customWidth="1"/>
    <col min="3" max="3" width="46.1796875" style="27" customWidth="1"/>
    <col min="4" max="4" width="30.81640625" style="27" customWidth="1"/>
    <col min="5" max="5" width="24.1796875" style="27" customWidth="1"/>
    <col min="6" max="6" width="30.1796875" style="27" bestFit="1" customWidth="1"/>
    <col min="7" max="7" width="16.453125" style="27" customWidth="1"/>
    <col min="8" max="8" width="15.26953125" style="27" customWidth="1"/>
    <col min="9" max="9" width="17.26953125" style="27" customWidth="1"/>
    <col min="10" max="12" width="9.1796875" style="27"/>
    <col min="13" max="13" width="20.54296875" style="27" customWidth="1"/>
    <col min="14" max="14" width="16.54296875" style="27" customWidth="1"/>
    <col min="15" max="16384" width="9.1796875" style="27"/>
  </cols>
  <sheetData>
    <row r="1" spans="1:15" ht="31.5" customHeight="1" x14ac:dyDescent="0.35">
      <c r="A1" s="177" t="s">
        <v>213</v>
      </c>
      <c r="B1" s="178"/>
      <c r="C1" s="178"/>
      <c r="D1" s="178"/>
      <c r="E1" s="178"/>
      <c r="F1" s="178"/>
      <c r="G1" s="178"/>
      <c r="H1" s="178"/>
      <c r="I1" s="178"/>
      <c r="J1" s="178"/>
      <c r="K1" s="178"/>
      <c r="L1" s="178"/>
      <c r="M1" s="178"/>
      <c r="N1" s="179"/>
    </row>
    <row r="2" spans="1:15" ht="25.5" customHeight="1" x14ac:dyDescent="0.35">
      <c r="A2" s="60"/>
      <c r="B2" s="199" t="s">
        <v>214</v>
      </c>
      <c r="C2" s="199"/>
      <c r="D2" s="199"/>
      <c r="E2" s="199"/>
      <c r="F2" s="199"/>
      <c r="G2" s="199"/>
      <c r="H2" s="199"/>
      <c r="I2" s="199"/>
      <c r="J2" s="199"/>
      <c r="K2" s="199"/>
      <c r="L2" s="199"/>
      <c r="M2" s="199"/>
      <c r="N2" s="200"/>
    </row>
    <row r="3" spans="1:15" ht="58" x14ac:dyDescent="0.35">
      <c r="A3" s="197" t="s">
        <v>215</v>
      </c>
      <c r="B3" s="52" t="s">
        <v>167</v>
      </c>
      <c r="C3" s="53" t="s">
        <v>216</v>
      </c>
      <c r="D3" s="53" t="s">
        <v>206</v>
      </c>
      <c r="E3" s="53" t="s">
        <v>217</v>
      </c>
      <c r="F3" s="53" t="s">
        <v>218</v>
      </c>
      <c r="G3" s="72" t="s">
        <v>219</v>
      </c>
      <c r="H3" s="54" t="s">
        <v>142</v>
      </c>
      <c r="I3" s="54" t="s">
        <v>146</v>
      </c>
      <c r="J3" s="54" t="s">
        <v>173</v>
      </c>
      <c r="K3" s="38" t="s">
        <v>144</v>
      </c>
      <c r="L3" s="38" t="s">
        <v>145</v>
      </c>
      <c r="M3" s="38" t="s">
        <v>442</v>
      </c>
      <c r="N3" s="40" t="s">
        <v>147</v>
      </c>
    </row>
    <row r="4" spans="1:15" ht="17.25" customHeight="1" x14ac:dyDescent="0.35">
      <c r="A4" s="197"/>
      <c r="B4" s="195" t="s">
        <v>220</v>
      </c>
      <c r="C4" s="43" t="s">
        <v>221</v>
      </c>
      <c r="D4" s="47" t="s">
        <v>222</v>
      </c>
      <c r="E4" s="47" t="s">
        <v>222</v>
      </c>
      <c r="F4" s="47" t="s">
        <v>223</v>
      </c>
      <c r="G4" s="47" t="s">
        <v>224</v>
      </c>
      <c r="H4" s="123">
        <v>18000</v>
      </c>
      <c r="I4" s="43">
        <v>70</v>
      </c>
      <c r="J4" s="127">
        <v>0.02</v>
      </c>
      <c r="K4" s="126">
        <v>0.6</v>
      </c>
      <c r="L4" s="136">
        <v>0.4</v>
      </c>
      <c r="M4" s="112">
        <v>77</v>
      </c>
      <c r="N4" s="41"/>
    </row>
    <row r="5" spans="1:15" ht="17.25" customHeight="1" x14ac:dyDescent="0.35">
      <c r="A5" s="197"/>
      <c r="B5" s="195"/>
      <c r="C5" s="43" t="s">
        <v>225</v>
      </c>
      <c r="D5" s="47" t="s">
        <v>226</v>
      </c>
      <c r="E5" s="47" t="s">
        <v>227</v>
      </c>
      <c r="F5" s="47" t="s">
        <v>223</v>
      </c>
      <c r="G5" s="47" t="s">
        <v>224</v>
      </c>
      <c r="H5" s="123">
        <v>1800</v>
      </c>
      <c r="I5" s="43">
        <v>8</v>
      </c>
      <c r="J5" s="127">
        <v>0.02</v>
      </c>
      <c r="K5" s="126">
        <v>0.6</v>
      </c>
      <c r="L5" s="136">
        <v>0.4</v>
      </c>
      <c r="M5" s="43">
        <v>15</v>
      </c>
      <c r="N5" s="113">
        <v>10</v>
      </c>
    </row>
    <row r="6" spans="1:15" ht="17.25" customHeight="1" x14ac:dyDescent="0.35">
      <c r="A6" s="197"/>
      <c r="B6" s="195"/>
      <c r="C6" s="43" t="s">
        <v>225</v>
      </c>
      <c r="D6" s="47" t="s">
        <v>228</v>
      </c>
      <c r="E6" s="47" t="s">
        <v>229</v>
      </c>
      <c r="F6" s="47" t="s">
        <v>223</v>
      </c>
      <c r="G6" s="47" t="s">
        <v>224</v>
      </c>
      <c r="H6" s="123">
        <v>2600</v>
      </c>
      <c r="I6" s="43">
        <v>8</v>
      </c>
      <c r="J6" s="127">
        <v>0.02</v>
      </c>
      <c r="K6" s="126">
        <v>0.6</v>
      </c>
      <c r="L6" s="136">
        <v>0.4</v>
      </c>
      <c r="M6" s="43">
        <v>15</v>
      </c>
      <c r="N6" s="113">
        <v>10</v>
      </c>
    </row>
    <row r="7" spans="1:15" ht="17.25" customHeight="1" x14ac:dyDescent="0.35">
      <c r="A7" s="197"/>
      <c r="B7" s="195"/>
      <c r="C7" s="43" t="s">
        <v>225</v>
      </c>
      <c r="D7" s="47" t="s">
        <v>199</v>
      </c>
      <c r="E7" s="47" t="s">
        <v>230</v>
      </c>
      <c r="F7" s="47" t="s">
        <v>223</v>
      </c>
      <c r="G7" s="47" t="s">
        <v>224</v>
      </c>
      <c r="H7" s="123">
        <v>3800</v>
      </c>
      <c r="I7" s="43">
        <v>12</v>
      </c>
      <c r="J7" s="127">
        <v>0.02</v>
      </c>
      <c r="K7" s="126">
        <v>0.6</v>
      </c>
      <c r="L7" s="136">
        <v>0.4</v>
      </c>
      <c r="M7" s="43">
        <v>19</v>
      </c>
      <c r="N7" s="111">
        <v>10</v>
      </c>
    </row>
    <row r="8" spans="1:15" ht="17.25" customHeight="1" x14ac:dyDescent="0.35">
      <c r="A8" s="197"/>
      <c r="B8" s="195"/>
      <c r="C8" s="43" t="s">
        <v>225</v>
      </c>
      <c r="D8" s="47" t="s">
        <v>231</v>
      </c>
      <c r="E8" s="47" t="s">
        <v>232</v>
      </c>
      <c r="F8" s="47" t="s">
        <v>223</v>
      </c>
      <c r="G8" s="47" t="s">
        <v>224</v>
      </c>
      <c r="H8" s="123">
        <v>5500</v>
      </c>
      <c r="I8" s="43">
        <v>12</v>
      </c>
      <c r="J8" s="127">
        <v>0.02</v>
      </c>
      <c r="K8" s="126">
        <v>0.6</v>
      </c>
      <c r="L8" s="136">
        <v>0.4</v>
      </c>
      <c r="M8" s="43">
        <v>19</v>
      </c>
      <c r="N8" s="111">
        <v>10</v>
      </c>
    </row>
    <row r="9" spans="1:15" ht="17.25" customHeight="1" x14ac:dyDescent="0.35">
      <c r="A9" s="197"/>
      <c r="B9" s="195"/>
      <c r="C9" s="43" t="s">
        <v>225</v>
      </c>
      <c r="D9" s="47" t="s">
        <v>187</v>
      </c>
      <c r="E9" s="47" t="s">
        <v>233</v>
      </c>
      <c r="F9" s="47" t="s">
        <v>223</v>
      </c>
      <c r="G9" s="47" t="s">
        <v>224</v>
      </c>
      <c r="H9" s="123">
        <v>9500</v>
      </c>
      <c r="I9" s="43">
        <v>12</v>
      </c>
      <c r="J9" s="127">
        <v>0.02</v>
      </c>
      <c r="K9" s="126">
        <v>0.6</v>
      </c>
      <c r="L9" s="136">
        <v>0.4</v>
      </c>
      <c r="M9" s="43">
        <v>19</v>
      </c>
      <c r="N9" s="113">
        <v>5</v>
      </c>
    </row>
    <row r="10" spans="1:15" s="29" customFormat="1" ht="17.25" customHeight="1" x14ac:dyDescent="0.35">
      <c r="A10" s="197"/>
      <c r="B10" s="195"/>
      <c r="C10" s="43" t="s">
        <v>225</v>
      </c>
      <c r="D10" s="47" t="s">
        <v>189</v>
      </c>
      <c r="E10" s="47" t="s">
        <v>234</v>
      </c>
      <c r="F10" s="47" t="s">
        <v>223</v>
      </c>
      <c r="G10" s="47" t="s">
        <v>224</v>
      </c>
      <c r="H10" s="123">
        <v>16500</v>
      </c>
      <c r="I10" s="43">
        <v>12</v>
      </c>
      <c r="J10" s="127">
        <v>0.02</v>
      </c>
      <c r="K10" s="126">
        <v>0.6</v>
      </c>
      <c r="L10" s="136">
        <v>0.4</v>
      </c>
      <c r="M10" s="43">
        <v>19</v>
      </c>
      <c r="N10" s="113">
        <v>5</v>
      </c>
      <c r="O10" s="27"/>
    </row>
    <row r="11" spans="1:15" ht="17.25" customHeight="1" x14ac:dyDescent="0.35">
      <c r="A11" s="197"/>
      <c r="B11" s="195"/>
      <c r="C11" s="43" t="s">
        <v>225</v>
      </c>
      <c r="D11" s="47" t="s">
        <v>235</v>
      </c>
      <c r="E11" s="47" t="s">
        <v>236</v>
      </c>
      <c r="F11" s="31" t="s">
        <v>223</v>
      </c>
      <c r="G11" s="31" t="s">
        <v>224</v>
      </c>
      <c r="H11" s="124">
        <v>28000</v>
      </c>
      <c r="I11" s="120">
        <v>14</v>
      </c>
      <c r="J11" s="121">
        <v>0.02</v>
      </c>
      <c r="K11" s="126">
        <v>0.6</v>
      </c>
      <c r="L11" s="136">
        <v>0.4</v>
      </c>
      <c r="M11" s="120">
        <v>21</v>
      </c>
      <c r="N11" s="122">
        <v>3</v>
      </c>
    </row>
    <row r="12" spans="1:15" ht="16.5" customHeight="1" thickBot="1" x14ac:dyDescent="0.4">
      <c r="A12" s="198"/>
      <c r="B12" s="196"/>
      <c r="C12" s="48" t="s">
        <v>225</v>
      </c>
      <c r="D12" s="49" t="s">
        <v>237</v>
      </c>
      <c r="E12" s="45" t="s">
        <v>238</v>
      </c>
      <c r="F12" s="45" t="s">
        <v>223</v>
      </c>
      <c r="G12" s="45" t="s">
        <v>224</v>
      </c>
      <c r="H12" s="142">
        <v>52800</v>
      </c>
      <c r="I12" s="129">
        <v>14</v>
      </c>
      <c r="J12" s="128">
        <v>0.02</v>
      </c>
      <c r="K12" s="145">
        <v>0.6</v>
      </c>
      <c r="L12" s="140">
        <v>0.4</v>
      </c>
      <c r="M12" s="129">
        <v>21</v>
      </c>
      <c r="N12" s="141">
        <v>3</v>
      </c>
    </row>
    <row r="13" spans="1:15" ht="18" customHeight="1" x14ac:dyDescent="0.35"/>
    <row r="14" spans="1:15" ht="18" customHeight="1" x14ac:dyDescent="0.35"/>
    <row r="15" spans="1:15" ht="18" customHeight="1" x14ac:dyDescent="0.35"/>
    <row r="16" spans="1:15" ht="18" customHeight="1" x14ac:dyDescent="0.35"/>
    <row r="17" ht="18" customHeight="1" x14ac:dyDescent="0.35"/>
    <row r="18" ht="18" customHeight="1" x14ac:dyDescent="0.35"/>
    <row r="19" ht="18" customHeight="1" x14ac:dyDescent="0.35"/>
    <row r="20" ht="18" customHeight="1" x14ac:dyDescent="0.35"/>
    <row r="21" ht="18" customHeight="1" x14ac:dyDescent="0.35"/>
    <row r="22" ht="18" customHeight="1" x14ac:dyDescent="0.35"/>
    <row r="23" ht="18" customHeight="1" x14ac:dyDescent="0.35"/>
    <row r="24" ht="18" customHeight="1" x14ac:dyDescent="0.35"/>
    <row r="25" ht="18" customHeight="1" x14ac:dyDescent="0.35"/>
    <row r="26" ht="18" customHeight="1" x14ac:dyDescent="0.35"/>
    <row r="27" ht="18" customHeight="1" x14ac:dyDescent="0.35"/>
    <row r="28" ht="18" customHeight="1" x14ac:dyDescent="0.35"/>
    <row r="29" ht="18" customHeight="1" x14ac:dyDescent="0.35"/>
    <row r="30" ht="18" customHeight="1" x14ac:dyDescent="0.35"/>
    <row r="31" ht="18" customHeight="1" x14ac:dyDescent="0.35"/>
    <row r="32"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sheetData>
  <mergeCells count="4">
    <mergeCell ref="B4:B12"/>
    <mergeCell ref="A3:A12"/>
    <mergeCell ref="A1:N1"/>
    <mergeCell ref="B2:N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AADA-09BD-4E04-BCE5-CD94C2EFE96B}">
  <sheetPr>
    <tabColor theme="3" tint="0.749992370372631"/>
  </sheetPr>
  <dimension ref="A1:L45"/>
  <sheetViews>
    <sheetView topLeftCell="D1" zoomScale="90" zoomScaleNormal="90" workbookViewId="0">
      <selection activeCell="P5" sqref="P5"/>
    </sheetView>
  </sheetViews>
  <sheetFormatPr defaultColWidth="9.1796875" defaultRowHeight="60" customHeight="1" x14ac:dyDescent="0.35"/>
  <cols>
    <col min="1" max="1" width="24.26953125" style="27" customWidth="1"/>
    <col min="2" max="2" width="40.54296875" style="27" customWidth="1"/>
    <col min="3" max="3" width="75.453125" style="24" customWidth="1"/>
    <col min="4" max="5" width="19.81640625" style="27" customWidth="1"/>
    <col min="6" max="6" width="15.26953125" style="27" customWidth="1"/>
    <col min="7" max="7" width="25.81640625" style="27" customWidth="1"/>
    <col min="8" max="10" width="9.1796875" style="27"/>
    <col min="11" max="11" width="18.81640625" style="27" customWidth="1"/>
    <col min="12" max="12" width="17.90625" style="27" customWidth="1"/>
    <col min="13" max="16384" width="9.1796875" style="27"/>
  </cols>
  <sheetData>
    <row r="1" spans="1:12" ht="33" customHeight="1" x14ac:dyDescent="0.35">
      <c r="A1" s="177" t="s">
        <v>239</v>
      </c>
      <c r="B1" s="178"/>
      <c r="C1" s="178"/>
      <c r="D1" s="178"/>
      <c r="E1" s="178"/>
      <c r="F1" s="178"/>
      <c r="G1" s="178"/>
      <c r="H1" s="178"/>
      <c r="I1" s="178"/>
      <c r="J1" s="178"/>
      <c r="K1" s="178"/>
      <c r="L1" s="179"/>
    </row>
    <row r="2" spans="1:12" ht="62.5" customHeight="1" thickBot="1" x14ac:dyDescent="0.4">
      <c r="A2" s="60"/>
      <c r="B2" s="206" t="s">
        <v>240</v>
      </c>
      <c r="C2" s="206"/>
      <c r="D2" s="206"/>
      <c r="E2" s="206"/>
      <c r="F2" s="206"/>
      <c r="G2" s="206"/>
      <c r="H2" s="206"/>
      <c r="I2" s="206"/>
      <c r="J2" s="206"/>
      <c r="K2" s="206"/>
      <c r="L2" s="207"/>
    </row>
    <row r="3" spans="1:12" s="58" customFormat="1" ht="58" x14ac:dyDescent="0.35">
      <c r="A3" s="201" t="s">
        <v>241</v>
      </c>
      <c r="B3" s="75" t="s">
        <v>167</v>
      </c>
      <c r="C3" s="76" t="s">
        <v>242</v>
      </c>
      <c r="D3" s="77" t="s">
        <v>219</v>
      </c>
      <c r="E3" s="77" t="s">
        <v>218</v>
      </c>
      <c r="F3" s="77" t="s">
        <v>142</v>
      </c>
      <c r="G3" s="56" t="s">
        <v>146</v>
      </c>
      <c r="H3" s="54" t="s">
        <v>173</v>
      </c>
      <c r="I3" s="38" t="s">
        <v>144</v>
      </c>
      <c r="J3" s="38" t="s">
        <v>145</v>
      </c>
      <c r="K3" s="38" t="s">
        <v>442</v>
      </c>
      <c r="L3" s="40" t="s">
        <v>147</v>
      </c>
    </row>
    <row r="4" spans="1:12" s="58" customFormat="1" ht="29" x14ac:dyDescent="0.35">
      <c r="A4" s="202"/>
      <c r="B4" s="204" t="s">
        <v>243</v>
      </c>
      <c r="C4" s="55" t="s">
        <v>244</v>
      </c>
      <c r="D4" s="47" t="s">
        <v>245</v>
      </c>
      <c r="E4" s="47" t="s">
        <v>246</v>
      </c>
      <c r="F4" s="130">
        <v>300</v>
      </c>
      <c r="G4" s="137">
        <v>3</v>
      </c>
      <c r="H4" s="43" t="s">
        <v>182</v>
      </c>
      <c r="I4" s="112" t="s">
        <v>156</v>
      </c>
      <c r="J4" s="136">
        <v>0.4</v>
      </c>
      <c r="K4" s="137">
        <v>10</v>
      </c>
      <c r="L4" s="113">
        <v>200</v>
      </c>
    </row>
    <row r="5" spans="1:12" s="58" customFormat="1" ht="18" customHeight="1" x14ac:dyDescent="0.35">
      <c r="A5" s="202"/>
      <c r="B5" s="204"/>
      <c r="C5" s="55" t="s">
        <v>247</v>
      </c>
      <c r="D5" s="47" t="s">
        <v>248</v>
      </c>
      <c r="E5" s="47" t="s">
        <v>249</v>
      </c>
      <c r="F5" s="130">
        <v>9500</v>
      </c>
      <c r="G5" s="137">
        <v>10</v>
      </c>
      <c r="H5" s="43" t="s">
        <v>182</v>
      </c>
      <c r="I5" s="110" t="s">
        <v>156</v>
      </c>
      <c r="J5" s="136">
        <v>0.4</v>
      </c>
      <c r="K5" s="137">
        <v>17</v>
      </c>
      <c r="L5" s="111">
        <v>50</v>
      </c>
    </row>
    <row r="6" spans="1:12" s="58" customFormat="1" ht="29" x14ac:dyDescent="0.35">
      <c r="A6" s="202"/>
      <c r="B6" s="204"/>
      <c r="C6" s="55" t="s">
        <v>250</v>
      </c>
      <c r="D6" s="47" t="s">
        <v>251</v>
      </c>
      <c r="E6" s="47" t="s">
        <v>252</v>
      </c>
      <c r="F6" s="130">
        <v>1800</v>
      </c>
      <c r="G6" s="137">
        <v>2</v>
      </c>
      <c r="H6" s="43" t="s">
        <v>182</v>
      </c>
      <c r="I6" s="110" t="s">
        <v>156</v>
      </c>
      <c r="J6" s="136">
        <v>0.4</v>
      </c>
      <c r="K6" s="137">
        <v>9</v>
      </c>
      <c r="L6" s="111">
        <v>50</v>
      </c>
    </row>
    <row r="7" spans="1:12" s="58" customFormat="1" ht="29" x14ac:dyDescent="0.35">
      <c r="A7" s="202"/>
      <c r="B7" s="204"/>
      <c r="C7" s="55" t="s">
        <v>253</v>
      </c>
      <c r="D7" s="47" t="s">
        <v>254</v>
      </c>
      <c r="E7" s="47" t="s">
        <v>255</v>
      </c>
      <c r="F7" s="130">
        <v>1500</v>
      </c>
      <c r="G7" s="137">
        <v>2</v>
      </c>
      <c r="H7" s="43" t="s">
        <v>182</v>
      </c>
      <c r="I7" s="112" t="s">
        <v>156</v>
      </c>
      <c r="J7" s="136">
        <v>0.4</v>
      </c>
      <c r="K7" s="137">
        <v>9</v>
      </c>
      <c r="L7" s="113">
        <v>100</v>
      </c>
    </row>
    <row r="8" spans="1:12" s="59" customFormat="1" ht="43.5" x14ac:dyDescent="0.3">
      <c r="A8" s="202"/>
      <c r="B8" s="204"/>
      <c r="C8" s="55" t="s">
        <v>256</v>
      </c>
      <c r="D8" s="47" t="s">
        <v>257</v>
      </c>
      <c r="E8" s="47" t="s">
        <v>258</v>
      </c>
      <c r="F8" s="208">
        <v>15000</v>
      </c>
      <c r="G8" s="211">
        <v>15</v>
      </c>
      <c r="H8" s="214" t="s">
        <v>259</v>
      </c>
      <c r="I8" s="217" t="s">
        <v>157</v>
      </c>
      <c r="J8" s="220">
        <v>0.4</v>
      </c>
      <c r="K8" s="211">
        <v>22</v>
      </c>
      <c r="L8" s="221">
        <v>50</v>
      </c>
    </row>
    <row r="9" spans="1:12" s="58" customFormat="1" ht="29" x14ac:dyDescent="0.35">
      <c r="A9" s="202"/>
      <c r="B9" s="204"/>
      <c r="C9" s="55" t="s">
        <v>260</v>
      </c>
      <c r="D9" s="47" t="s">
        <v>261</v>
      </c>
      <c r="E9" s="47" t="s">
        <v>262</v>
      </c>
      <c r="F9" s="209"/>
      <c r="G9" s="212"/>
      <c r="H9" s="215"/>
      <c r="I9" s="218"/>
      <c r="J9" s="218"/>
      <c r="K9" s="212"/>
      <c r="L9" s="222"/>
    </row>
    <row r="10" spans="1:12" s="58" customFormat="1" ht="102" thickBot="1" x14ac:dyDescent="0.4">
      <c r="A10" s="203"/>
      <c r="B10" s="205"/>
      <c r="C10" s="57" t="s">
        <v>263</v>
      </c>
      <c r="D10" s="49" t="s">
        <v>264</v>
      </c>
      <c r="E10" s="49" t="s">
        <v>265</v>
      </c>
      <c r="F10" s="210"/>
      <c r="G10" s="213"/>
      <c r="H10" s="216"/>
      <c r="I10" s="219"/>
      <c r="J10" s="219"/>
      <c r="K10" s="213"/>
      <c r="L10" s="223"/>
    </row>
    <row r="11" spans="1:12" ht="21" customHeight="1" thickBot="1" x14ac:dyDescent="0.4">
      <c r="D11" s="73" t="s">
        <v>266</v>
      </c>
      <c r="E11" s="73"/>
      <c r="F11" s="74">
        <f>SUM(F4:F10)</f>
        <v>28100</v>
      </c>
      <c r="G11" s="73">
        <f>SUM(G4:G10)</f>
        <v>32</v>
      </c>
    </row>
    <row r="12" spans="1:12" ht="14.25" customHeight="1" thickTop="1" x14ac:dyDescent="0.35"/>
    <row r="13" spans="1:12" ht="14.25" customHeight="1" x14ac:dyDescent="0.35"/>
    <row r="14" spans="1:12" ht="14.25" customHeight="1" x14ac:dyDescent="0.35"/>
    <row r="15" spans="1:12" ht="14.25" customHeight="1" x14ac:dyDescent="0.35"/>
    <row r="16" spans="1: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sheetData>
  <mergeCells count="11">
    <mergeCell ref="A3:A10"/>
    <mergeCell ref="B4:B10"/>
    <mergeCell ref="A1:L1"/>
    <mergeCell ref="B2:L2"/>
    <mergeCell ref="F8:F10"/>
    <mergeCell ref="G8:G10"/>
    <mergeCell ref="H8:H10"/>
    <mergeCell ref="I8:I10"/>
    <mergeCell ref="J8:J10"/>
    <mergeCell ref="K8:K10"/>
    <mergeCell ref="L8:L10"/>
  </mergeCells>
  <pageMargins left="0.7" right="0.7" top="0.75" bottom="0.75" header="0.3" footer="0.3"/>
  <ignoredErrors>
    <ignoredError sqref="H8:I8 H4:I7" numberStoredAsText="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EB5B-FB9C-4B4E-B9EF-B54D0121BF09}">
  <sheetPr>
    <tabColor theme="8" tint="0.79998168889431442"/>
  </sheetPr>
  <dimension ref="A1:R18"/>
  <sheetViews>
    <sheetView topLeftCell="A2" zoomScale="90" zoomScaleNormal="90" workbookViewId="0">
      <selection activeCell="B4" sqref="B4"/>
    </sheetView>
  </sheetViews>
  <sheetFormatPr defaultColWidth="9.1796875" defaultRowHeight="14.5" x14ac:dyDescent="0.35"/>
  <cols>
    <col min="1" max="1" width="3" style="1" customWidth="1"/>
    <col min="2" max="2" width="59" style="1" customWidth="1"/>
    <col min="3" max="3" width="10.54296875" style="1" customWidth="1"/>
    <col min="4" max="4" width="10.81640625" style="1" customWidth="1"/>
    <col min="5" max="5" width="12.26953125" style="4" customWidth="1"/>
    <col min="6" max="6" width="19.1796875" style="4" customWidth="1"/>
    <col min="7" max="7" width="27.453125" style="4" customWidth="1"/>
    <col min="8" max="8" width="14.7265625" style="4" customWidth="1"/>
    <col min="9" max="9" width="12.1796875" style="4" customWidth="1"/>
    <col min="10" max="10" width="12.26953125" style="4" customWidth="1"/>
    <col min="11" max="11" width="14.7265625" style="4" customWidth="1"/>
    <col min="12" max="12" width="9.81640625" style="4" customWidth="1"/>
    <col min="13" max="13" width="12.81640625" style="4" customWidth="1"/>
    <col min="14" max="15" width="12.453125" style="4" customWidth="1"/>
    <col min="16" max="16" width="20.1796875" style="4" customWidth="1"/>
    <col min="17" max="17" width="19.453125" style="4" customWidth="1"/>
    <col min="18" max="18" width="17.81640625" style="1" customWidth="1"/>
    <col min="19" max="16384" width="9.1796875" style="1"/>
  </cols>
  <sheetData>
    <row r="1" spans="1:18" ht="15" thickBot="1" x14ac:dyDescent="0.4">
      <c r="A1" s="224" t="s">
        <v>267</v>
      </c>
      <c r="B1" s="225"/>
      <c r="C1" s="225"/>
      <c r="D1" s="225"/>
      <c r="E1" s="225"/>
      <c r="F1" s="225"/>
      <c r="G1" s="225"/>
      <c r="H1" s="225"/>
      <c r="I1" s="225"/>
      <c r="J1" s="225"/>
      <c r="K1" s="225"/>
      <c r="L1" s="225"/>
      <c r="M1" s="225"/>
      <c r="N1" s="225"/>
      <c r="O1" s="225"/>
      <c r="P1" s="225"/>
      <c r="Q1" s="225"/>
      <c r="R1" s="226"/>
    </row>
    <row r="2" spans="1:18" ht="73" thickBot="1" x14ac:dyDescent="0.4">
      <c r="A2" s="104" t="s">
        <v>1</v>
      </c>
      <c r="B2" s="154" t="s">
        <v>268</v>
      </c>
      <c r="C2" s="155" t="s">
        <v>451</v>
      </c>
      <c r="D2" s="155" t="s">
        <v>452</v>
      </c>
      <c r="E2" s="155" t="s">
        <v>453</v>
      </c>
      <c r="F2" s="154" t="s">
        <v>269</v>
      </c>
      <c r="G2" s="154" t="s">
        <v>270</v>
      </c>
      <c r="H2" s="154" t="s">
        <v>271</v>
      </c>
      <c r="I2" s="154" t="s">
        <v>272</v>
      </c>
      <c r="J2" s="154" t="s">
        <v>273</v>
      </c>
      <c r="K2" s="154" t="s">
        <v>274</v>
      </c>
      <c r="L2" s="154" t="s">
        <v>145</v>
      </c>
      <c r="M2" s="154" t="s">
        <v>275</v>
      </c>
      <c r="N2" s="154" t="s">
        <v>276</v>
      </c>
      <c r="O2" s="154" t="s">
        <v>277</v>
      </c>
      <c r="P2" s="154" t="s">
        <v>167</v>
      </c>
      <c r="Q2" s="154" t="s">
        <v>443</v>
      </c>
      <c r="R2" s="156" t="s">
        <v>278</v>
      </c>
    </row>
    <row r="3" spans="1:18" s="3" customFormat="1" x14ac:dyDescent="0.35">
      <c r="A3" s="100"/>
      <c r="B3" s="101" t="s">
        <v>279</v>
      </c>
      <c r="C3" s="101"/>
      <c r="D3" s="101"/>
      <c r="E3" s="102"/>
      <c r="F3" s="102"/>
      <c r="G3" s="102"/>
      <c r="H3" s="102"/>
      <c r="I3" s="102"/>
      <c r="J3" s="102"/>
      <c r="K3" s="102"/>
      <c r="L3" s="131"/>
      <c r="M3" s="102"/>
      <c r="N3" s="102"/>
      <c r="O3" s="102"/>
      <c r="P3" s="102"/>
      <c r="Q3" s="102"/>
      <c r="R3" s="103"/>
    </row>
    <row r="4" spans="1:18" s="3" customFormat="1" ht="29" x14ac:dyDescent="0.35">
      <c r="A4" s="17">
        <v>1</v>
      </c>
      <c r="B4" s="30" t="s">
        <v>280</v>
      </c>
      <c r="C4" s="125">
        <v>940</v>
      </c>
      <c r="D4" s="125">
        <v>2340</v>
      </c>
      <c r="E4" s="157">
        <v>4025</v>
      </c>
      <c r="F4" s="110" t="s">
        <v>281</v>
      </c>
      <c r="G4" s="110" t="s">
        <v>282</v>
      </c>
      <c r="H4" s="110" t="s">
        <v>449</v>
      </c>
      <c r="I4" s="110" t="s">
        <v>283</v>
      </c>
      <c r="J4" s="110" t="s">
        <v>284</v>
      </c>
      <c r="K4" s="110">
        <v>70</v>
      </c>
      <c r="L4" s="136">
        <v>0.4</v>
      </c>
      <c r="M4" s="110" t="s">
        <v>285</v>
      </c>
      <c r="N4" s="110" t="s">
        <v>286</v>
      </c>
      <c r="O4" s="110">
        <v>1</v>
      </c>
      <c r="P4" s="110" t="s">
        <v>287</v>
      </c>
      <c r="Q4" s="110">
        <v>7</v>
      </c>
      <c r="R4" s="111">
        <v>120</v>
      </c>
    </row>
    <row r="5" spans="1:18" s="3" customFormat="1" ht="58" x14ac:dyDescent="0.35">
      <c r="A5" s="17">
        <v>2</v>
      </c>
      <c r="B5" s="30" t="s">
        <v>288</v>
      </c>
      <c r="C5" s="125">
        <v>700</v>
      </c>
      <c r="D5" s="125">
        <v>1740</v>
      </c>
      <c r="E5" s="144">
        <v>3000</v>
      </c>
      <c r="F5" s="110" t="s">
        <v>289</v>
      </c>
      <c r="G5" s="110" t="s">
        <v>290</v>
      </c>
      <c r="H5" s="110" t="s">
        <v>449</v>
      </c>
      <c r="I5" s="110" t="s">
        <v>283</v>
      </c>
      <c r="J5" s="110" t="s">
        <v>284</v>
      </c>
      <c r="K5" s="110">
        <v>60</v>
      </c>
      <c r="L5" s="136">
        <v>0.4</v>
      </c>
      <c r="M5" s="110" t="s">
        <v>291</v>
      </c>
      <c r="N5" s="110" t="s">
        <v>292</v>
      </c>
      <c r="O5" s="110">
        <v>2</v>
      </c>
      <c r="P5" s="110" t="s">
        <v>293</v>
      </c>
      <c r="Q5" s="110">
        <v>2</v>
      </c>
      <c r="R5" s="111">
        <v>80</v>
      </c>
    </row>
    <row r="6" spans="1:18" s="3" customFormat="1" ht="29" x14ac:dyDescent="0.35">
      <c r="A6" s="17">
        <v>3</v>
      </c>
      <c r="B6" s="30" t="s">
        <v>294</v>
      </c>
      <c r="C6" s="125">
        <v>1410</v>
      </c>
      <c r="D6" s="125">
        <v>2180</v>
      </c>
      <c r="E6" s="144">
        <v>3200</v>
      </c>
      <c r="F6" s="110" t="s">
        <v>295</v>
      </c>
      <c r="G6" s="110" t="s">
        <v>296</v>
      </c>
      <c r="H6" s="110" t="s">
        <v>449</v>
      </c>
      <c r="I6" s="110" t="s">
        <v>297</v>
      </c>
      <c r="J6" s="110" t="s">
        <v>298</v>
      </c>
      <c r="K6" s="110">
        <v>60</v>
      </c>
      <c r="L6" s="136">
        <v>0.4</v>
      </c>
      <c r="M6" s="110" t="s">
        <v>299</v>
      </c>
      <c r="N6" s="110" t="s">
        <v>300</v>
      </c>
      <c r="O6" s="110">
        <v>2</v>
      </c>
      <c r="P6" s="110" t="s">
        <v>301</v>
      </c>
      <c r="Q6" s="110">
        <v>10</v>
      </c>
      <c r="R6" s="111">
        <v>60</v>
      </c>
    </row>
    <row r="7" spans="1:18" s="3" customFormat="1" x14ac:dyDescent="0.35">
      <c r="A7" s="17">
        <v>4</v>
      </c>
      <c r="B7" s="30" t="s">
        <v>302</v>
      </c>
      <c r="C7" s="125">
        <v>700</v>
      </c>
      <c r="D7" s="125">
        <v>2040</v>
      </c>
      <c r="E7" s="144">
        <v>3000</v>
      </c>
      <c r="F7" s="110" t="s">
        <v>303</v>
      </c>
      <c r="G7" s="110" t="s">
        <v>304</v>
      </c>
      <c r="H7" s="110" t="s">
        <v>449</v>
      </c>
      <c r="I7" s="110" t="s">
        <v>297</v>
      </c>
      <c r="J7" s="110" t="s">
        <v>284</v>
      </c>
      <c r="K7" s="110">
        <v>70</v>
      </c>
      <c r="L7" s="136">
        <v>0.4</v>
      </c>
      <c r="M7" s="110" t="s">
        <v>285</v>
      </c>
      <c r="N7" s="110" t="s">
        <v>305</v>
      </c>
      <c r="O7" s="110">
        <v>1</v>
      </c>
      <c r="P7" s="110" t="s">
        <v>306</v>
      </c>
      <c r="Q7" s="110">
        <v>7</v>
      </c>
      <c r="R7" s="111">
        <v>100</v>
      </c>
    </row>
    <row r="8" spans="1:18" s="3" customFormat="1" ht="29" x14ac:dyDescent="0.35">
      <c r="A8" s="17">
        <v>5</v>
      </c>
      <c r="B8" s="30" t="s">
        <v>454</v>
      </c>
      <c r="C8" s="125">
        <v>750</v>
      </c>
      <c r="D8" s="125">
        <v>2180</v>
      </c>
      <c r="E8" s="144">
        <v>3200</v>
      </c>
      <c r="F8" s="110" t="s">
        <v>307</v>
      </c>
      <c r="G8" s="110" t="s">
        <v>308</v>
      </c>
      <c r="H8" s="110" t="s">
        <v>449</v>
      </c>
      <c r="I8" s="110" t="s">
        <v>283</v>
      </c>
      <c r="J8" s="110" t="s">
        <v>298</v>
      </c>
      <c r="K8" s="110">
        <v>50</v>
      </c>
      <c r="L8" s="136">
        <v>0.4</v>
      </c>
      <c r="M8" s="110" t="s">
        <v>299</v>
      </c>
      <c r="N8" s="110" t="s">
        <v>309</v>
      </c>
      <c r="O8" s="110">
        <v>2</v>
      </c>
      <c r="P8" s="110" t="s">
        <v>310</v>
      </c>
      <c r="Q8" s="110">
        <v>12</v>
      </c>
      <c r="R8" s="111">
        <v>40</v>
      </c>
    </row>
    <row r="9" spans="1:18" s="3" customFormat="1" ht="29" x14ac:dyDescent="0.35">
      <c r="A9" s="17">
        <v>6</v>
      </c>
      <c r="B9" s="30" t="s">
        <v>455</v>
      </c>
      <c r="C9" s="125">
        <v>940</v>
      </c>
      <c r="D9" s="125">
        <v>2720</v>
      </c>
      <c r="E9" s="144">
        <v>4000</v>
      </c>
      <c r="F9" s="110" t="s">
        <v>448</v>
      </c>
      <c r="G9" s="110" t="s">
        <v>290</v>
      </c>
      <c r="H9" s="110" t="s">
        <v>449</v>
      </c>
      <c r="I9" s="110" t="s">
        <v>311</v>
      </c>
      <c r="J9" s="110" t="s">
        <v>312</v>
      </c>
      <c r="K9" s="110">
        <v>50</v>
      </c>
      <c r="L9" s="136">
        <v>0.4</v>
      </c>
      <c r="M9" s="110" t="s">
        <v>285</v>
      </c>
      <c r="N9" s="110" t="s">
        <v>313</v>
      </c>
      <c r="O9" s="110">
        <v>1</v>
      </c>
      <c r="P9" s="110" t="s">
        <v>314</v>
      </c>
      <c r="Q9" s="110">
        <v>2</v>
      </c>
      <c r="R9" s="111">
        <v>200</v>
      </c>
    </row>
    <row r="10" spans="1:18" s="3" customFormat="1" ht="31" x14ac:dyDescent="0.35">
      <c r="A10" s="17">
        <v>7</v>
      </c>
      <c r="B10" s="30" t="s">
        <v>456</v>
      </c>
      <c r="C10" s="125">
        <v>250</v>
      </c>
      <c r="D10" s="125">
        <v>1250</v>
      </c>
      <c r="E10" s="144">
        <v>2500</v>
      </c>
      <c r="F10" s="110" t="s">
        <v>315</v>
      </c>
      <c r="G10" s="43" t="s">
        <v>316</v>
      </c>
      <c r="H10" s="110" t="s">
        <v>449</v>
      </c>
      <c r="I10" s="110" t="s">
        <v>297</v>
      </c>
      <c r="J10" s="110" t="s">
        <v>317</v>
      </c>
      <c r="K10" s="110">
        <v>70</v>
      </c>
      <c r="L10" s="136">
        <v>0.4</v>
      </c>
      <c r="M10" s="110"/>
      <c r="N10" s="110" t="s">
        <v>318</v>
      </c>
      <c r="O10" s="110">
        <v>2</v>
      </c>
      <c r="P10" s="110" t="s">
        <v>319</v>
      </c>
      <c r="Q10" s="110">
        <v>3</v>
      </c>
      <c r="R10" s="111" t="s">
        <v>320</v>
      </c>
    </row>
    <row r="11" spans="1:18" s="3" customFormat="1" ht="29" x14ac:dyDescent="0.35">
      <c r="A11" s="17">
        <v>8</v>
      </c>
      <c r="B11" s="30" t="s">
        <v>457</v>
      </c>
      <c r="C11" s="125">
        <v>450</v>
      </c>
      <c r="D11" s="125">
        <v>2250</v>
      </c>
      <c r="E11" s="144">
        <v>4500</v>
      </c>
      <c r="F11" s="110" t="s">
        <v>321</v>
      </c>
      <c r="G11" s="110" t="s">
        <v>322</v>
      </c>
      <c r="H11" s="110" t="s">
        <v>449</v>
      </c>
      <c r="I11" s="110" t="s">
        <v>283</v>
      </c>
      <c r="J11" s="110" t="s">
        <v>323</v>
      </c>
      <c r="K11" s="110">
        <v>60</v>
      </c>
      <c r="L11" s="136">
        <v>0.4</v>
      </c>
      <c r="M11" s="110" t="s">
        <v>291</v>
      </c>
      <c r="N11" s="110" t="s">
        <v>324</v>
      </c>
      <c r="O11" s="110">
        <v>2</v>
      </c>
      <c r="P11" s="110" t="s">
        <v>325</v>
      </c>
      <c r="Q11" s="110">
        <v>2</v>
      </c>
      <c r="R11" s="111">
        <v>50</v>
      </c>
    </row>
    <row r="12" spans="1:18" ht="29" x14ac:dyDescent="0.35">
      <c r="A12" s="17">
        <v>9</v>
      </c>
      <c r="B12" s="30" t="s">
        <v>458</v>
      </c>
      <c r="C12" s="125">
        <v>1180</v>
      </c>
      <c r="D12" s="125">
        <v>2930</v>
      </c>
      <c r="E12" s="125">
        <v>5050</v>
      </c>
      <c r="F12" s="110" t="s">
        <v>326</v>
      </c>
      <c r="G12" s="110" t="s">
        <v>327</v>
      </c>
      <c r="H12" s="110" t="s">
        <v>449</v>
      </c>
      <c r="I12" s="110" t="s">
        <v>283</v>
      </c>
      <c r="J12" s="132" t="s">
        <v>298</v>
      </c>
      <c r="K12" s="110">
        <v>60</v>
      </c>
      <c r="L12" s="136">
        <v>0.4</v>
      </c>
      <c r="M12" s="132" t="s">
        <v>299</v>
      </c>
      <c r="N12" s="132" t="s">
        <v>328</v>
      </c>
      <c r="O12" s="132">
        <v>2</v>
      </c>
      <c r="P12" s="132" t="s">
        <v>329</v>
      </c>
      <c r="Q12" s="132">
        <v>10</v>
      </c>
      <c r="R12" s="133">
        <v>20</v>
      </c>
    </row>
    <row r="13" spans="1:18" ht="29" x14ac:dyDescent="0.35">
      <c r="A13" s="17">
        <v>10</v>
      </c>
      <c r="B13" s="30" t="s">
        <v>459</v>
      </c>
      <c r="C13" s="125">
        <v>1110</v>
      </c>
      <c r="D13" s="125">
        <v>2750</v>
      </c>
      <c r="E13" s="125">
        <v>4730</v>
      </c>
      <c r="F13" s="110" t="s">
        <v>330</v>
      </c>
      <c r="G13" s="110" t="s">
        <v>331</v>
      </c>
      <c r="H13" s="110" t="s">
        <v>449</v>
      </c>
      <c r="I13" s="132" t="s">
        <v>283</v>
      </c>
      <c r="J13" s="132" t="s">
        <v>332</v>
      </c>
      <c r="K13" s="132">
        <v>60</v>
      </c>
      <c r="L13" s="136">
        <v>0.4</v>
      </c>
      <c r="M13" s="132" t="s">
        <v>285</v>
      </c>
      <c r="N13" s="132" t="s">
        <v>333</v>
      </c>
      <c r="O13" s="132">
        <v>2</v>
      </c>
      <c r="P13" s="132" t="s">
        <v>334</v>
      </c>
      <c r="Q13" s="132">
        <v>12</v>
      </c>
      <c r="R13" s="133">
        <v>40</v>
      </c>
    </row>
    <row r="14" spans="1:18" ht="29" x14ac:dyDescent="0.35">
      <c r="A14" s="17">
        <v>11</v>
      </c>
      <c r="B14" s="30" t="s">
        <v>460</v>
      </c>
      <c r="C14" s="125">
        <v>1220</v>
      </c>
      <c r="D14" s="125">
        <v>3020</v>
      </c>
      <c r="E14" s="125">
        <v>5200</v>
      </c>
      <c r="F14" s="132" t="s">
        <v>335</v>
      </c>
      <c r="G14" s="132" t="s">
        <v>336</v>
      </c>
      <c r="H14" s="110" t="s">
        <v>449</v>
      </c>
      <c r="I14" s="132" t="s">
        <v>283</v>
      </c>
      <c r="J14" s="132" t="s">
        <v>332</v>
      </c>
      <c r="K14" s="132">
        <v>50</v>
      </c>
      <c r="L14" s="136">
        <v>0.4</v>
      </c>
      <c r="M14" s="132" t="s">
        <v>291</v>
      </c>
      <c r="N14" s="132" t="s">
        <v>337</v>
      </c>
      <c r="O14" s="132">
        <v>2</v>
      </c>
      <c r="P14" s="132" t="s">
        <v>338</v>
      </c>
      <c r="Q14" s="132">
        <v>14</v>
      </c>
      <c r="R14" s="133">
        <v>20</v>
      </c>
    </row>
    <row r="15" spans="1:18" ht="29" x14ac:dyDescent="0.35">
      <c r="A15" s="17">
        <v>12</v>
      </c>
      <c r="B15" s="30" t="s">
        <v>339</v>
      </c>
      <c r="C15" s="125">
        <v>1520</v>
      </c>
      <c r="D15" s="125">
        <v>3770</v>
      </c>
      <c r="E15" s="125">
        <v>6500</v>
      </c>
      <c r="F15" s="43" t="s">
        <v>340</v>
      </c>
      <c r="G15" s="110" t="s">
        <v>341</v>
      </c>
      <c r="H15" s="110" t="s">
        <v>449</v>
      </c>
      <c r="I15" s="43" t="s">
        <v>283</v>
      </c>
      <c r="J15" s="43" t="s">
        <v>332</v>
      </c>
      <c r="K15" s="43">
        <v>40</v>
      </c>
      <c r="L15" s="136">
        <v>0.4</v>
      </c>
      <c r="M15" s="43" t="s">
        <v>299</v>
      </c>
      <c r="N15" s="43" t="s">
        <v>342</v>
      </c>
      <c r="O15" s="43">
        <v>3</v>
      </c>
      <c r="P15" s="43" t="s">
        <v>343</v>
      </c>
      <c r="Q15" s="43">
        <v>21</v>
      </c>
      <c r="R15" s="134">
        <v>10</v>
      </c>
    </row>
    <row r="16" spans="1:18" ht="29.5" thickBot="1" x14ac:dyDescent="0.4">
      <c r="A16" s="18">
        <v>13</v>
      </c>
      <c r="B16" s="158" t="s">
        <v>344</v>
      </c>
      <c r="C16" s="159">
        <v>900</v>
      </c>
      <c r="D16" s="159">
        <v>2250</v>
      </c>
      <c r="E16" s="159">
        <v>3300</v>
      </c>
      <c r="F16" s="48" t="s">
        <v>345</v>
      </c>
      <c r="G16" s="148" t="s">
        <v>346</v>
      </c>
      <c r="H16" s="110" t="s">
        <v>449</v>
      </c>
      <c r="I16" s="149" t="s">
        <v>283</v>
      </c>
      <c r="J16" s="48" t="s">
        <v>284</v>
      </c>
      <c r="K16" s="48">
        <v>60</v>
      </c>
      <c r="L16" s="140">
        <v>0.4</v>
      </c>
      <c r="M16" s="48" t="s">
        <v>291</v>
      </c>
      <c r="N16" s="48" t="s">
        <v>347</v>
      </c>
      <c r="O16" s="48">
        <v>1</v>
      </c>
      <c r="P16" s="48" t="s">
        <v>348</v>
      </c>
      <c r="Q16" s="48">
        <v>10</v>
      </c>
      <c r="R16" s="135">
        <v>50</v>
      </c>
    </row>
    <row r="18" spans="2:2" x14ac:dyDescent="0.35">
      <c r="B18" s="138" t="s">
        <v>450</v>
      </c>
    </row>
  </sheetData>
  <mergeCells count="1">
    <mergeCell ref="A1:R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EB779-1FEF-4B4A-B792-3A0CDFE8D74E}">
  <sheetPr>
    <tabColor theme="7" tint="0.59999389629810485"/>
  </sheetPr>
  <dimension ref="A1:O5"/>
  <sheetViews>
    <sheetView topLeftCell="F1" zoomScale="90" zoomScaleNormal="90" workbookViewId="0">
      <selection activeCell="O3" sqref="O3"/>
    </sheetView>
  </sheetViews>
  <sheetFormatPr defaultColWidth="9.1796875" defaultRowHeight="14.5" x14ac:dyDescent="0.35"/>
  <cols>
    <col min="1" max="1" width="3" style="1" customWidth="1"/>
    <col min="2" max="2" width="59" style="1" customWidth="1"/>
    <col min="3" max="3" width="11.453125" style="4" customWidth="1"/>
    <col min="4" max="4" width="19.1796875" style="4" customWidth="1"/>
    <col min="5" max="5" width="13" style="4" customWidth="1"/>
    <col min="6" max="10" width="9.81640625" style="4" customWidth="1"/>
    <col min="11" max="12" width="18.453125" style="4" customWidth="1"/>
    <col min="13" max="13" width="26.81640625" style="4" customWidth="1"/>
    <col min="14" max="14" width="19.7265625" style="1" customWidth="1"/>
    <col min="15" max="15" width="20.453125" style="1" customWidth="1"/>
    <col min="16" max="16384" width="9.1796875" style="1"/>
  </cols>
  <sheetData>
    <row r="1" spans="1:15" ht="31.5" customHeight="1" x14ac:dyDescent="0.35">
      <c r="A1" s="227" t="s">
        <v>349</v>
      </c>
      <c r="B1" s="228"/>
      <c r="C1" s="228"/>
      <c r="D1" s="228"/>
      <c r="E1" s="228"/>
      <c r="F1" s="228"/>
      <c r="G1" s="228"/>
      <c r="H1" s="228"/>
      <c r="I1" s="228"/>
      <c r="J1" s="228"/>
      <c r="K1" s="228"/>
      <c r="L1" s="228"/>
      <c r="M1" s="228"/>
      <c r="N1" s="228"/>
      <c r="O1" s="228"/>
    </row>
    <row r="2" spans="1:15" ht="62.25" customHeight="1" x14ac:dyDescent="0.35">
      <c r="A2" s="68" t="s">
        <v>1</v>
      </c>
      <c r="B2" s="69" t="s">
        <v>268</v>
      </c>
      <c r="C2" s="70" t="s">
        <v>142</v>
      </c>
      <c r="D2" s="70" t="s">
        <v>269</v>
      </c>
      <c r="E2" s="70" t="s">
        <v>219</v>
      </c>
      <c r="F2" s="70" t="s">
        <v>350</v>
      </c>
      <c r="G2" s="70" t="s">
        <v>351</v>
      </c>
      <c r="H2" s="70" t="s">
        <v>275</v>
      </c>
      <c r="I2" s="70" t="s">
        <v>352</v>
      </c>
      <c r="J2" s="70" t="s">
        <v>353</v>
      </c>
      <c r="K2" s="70" t="s">
        <v>276</v>
      </c>
      <c r="L2" s="70" t="s">
        <v>173</v>
      </c>
      <c r="M2" s="70" t="s">
        <v>167</v>
      </c>
      <c r="N2" s="70" t="s">
        <v>444</v>
      </c>
      <c r="O2" s="71" t="s">
        <v>278</v>
      </c>
    </row>
    <row r="3" spans="1:15" s="3" customFormat="1" ht="72.5" x14ac:dyDescent="0.35">
      <c r="A3" s="2">
        <v>1</v>
      </c>
      <c r="B3" s="78" t="s">
        <v>354</v>
      </c>
      <c r="C3" s="144">
        <v>5000</v>
      </c>
      <c r="D3" s="66" t="s">
        <v>355</v>
      </c>
      <c r="E3" s="143" t="s">
        <v>356</v>
      </c>
      <c r="F3" s="143" t="s">
        <v>357</v>
      </c>
      <c r="G3" s="143" t="s">
        <v>358</v>
      </c>
      <c r="H3" s="143" t="s">
        <v>359</v>
      </c>
      <c r="I3" s="143" t="s">
        <v>360</v>
      </c>
      <c r="J3" s="143" t="s">
        <v>361</v>
      </c>
      <c r="K3" s="143" t="s">
        <v>362</v>
      </c>
      <c r="L3" s="143" t="s">
        <v>363</v>
      </c>
      <c r="M3" s="143" t="s">
        <v>364</v>
      </c>
      <c r="N3" s="143" t="s">
        <v>445</v>
      </c>
      <c r="O3" s="143" t="s">
        <v>365</v>
      </c>
    </row>
    <row r="4" spans="1:15" s="3" customFormat="1" ht="58" x14ac:dyDescent="0.35">
      <c r="A4" s="2">
        <v>2</v>
      </c>
      <c r="B4" s="78" t="s">
        <v>366</v>
      </c>
      <c r="C4" s="144">
        <v>6000</v>
      </c>
      <c r="D4" s="66" t="s">
        <v>367</v>
      </c>
      <c r="E4" s="143" t="s">
        <v>356</v>
      </c>
      <c r="F4" s="143" t="s">
        <v>368</v>
      </c>
      <c r="G4" s="143" t="s">
        <v>357</v>
      </c>
      <c r="H4" s="143" t="s">
        <v>369</v>
      </c>
      <c r="I4" s="143" t="s">
        <v>360</v>
      </c>
      <c r="J4" s="143" t="s">
        <v>370</v>
      </c>
      <c r="K4" s="143" t="s">
        <v>362</v>
      </c>
      <c r="L4" s="143" t="s">
        <v>363</v>
      </c>
      <c r="M4" s="143" t="s">
        <v>371</v>
      </c>
      <c r="N4" s="143" t="s">
        <v>446</v>
      </c>
      <c r="O4" s="143" t="s">
        <v>372</v>
      </c>
    </row>
    <row r="5" spans="1:15" s="3" customFormat="1" ht="58" x14ac:dyDescent="0.35">
      <c r="A5" s="2">
        <v>3</v>
      </c>
      <c r="B5" s="2" t="s">
        <v>373</v>
      </c>
      <c r="C5" s="144">
        <v>4000</v>
      </c>
      <c r="D5" s="66" t="s">
        <v>374</v>
      </c>
      <c r="E5" s="143" t="s">
        <v>375</v>
      </c>
      <c r="F5" s="143" t="s">
        <v>357</v>
      </c>
      <c r="G5" s="143" t="s">
        <v>358</v>
      </c>
      <c r="H5" s="143" t="s">
        <v>376</v>
      </c>
      <c r="I5" s="143" t="s">
        <v>377</v>
      </c>
      <c r="J5" s="143" t="s">
        <v>378</v>
      </c>
      <c r="K5" s="143" t="s">
        <v>379</v>
      </c>
      <c r="L5" s="143" t="s">
        <v>363</v>
      </c>
      <c r="M5" s="143" t="s">
        <v>380</v>
      </c>
      <c r="N5" s="143" t="s">
        <v>447</v>
      </c>
      <c r="O5" s="143" t="s">
        <v>381</v>
      </c>
    </row>
  </sheetData>
  <mergeCells count="1">
    <mergeCell ref="A1:O1"/>
  </mergeCells>
  <pageMargins left="0.7" right="0.7" top="0.75" bottom="0.75" header="0.3" footer="0.3"/>
  <ignoredErrors>
    <ignoredError sqref="O3:O5"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EF615-16F6-4991-AFE6-2E4127629D3F}">
  <sheetPr>
    <tabColor rgb="FF0070C0"/>
  </sheetPr>
  <dimension ref="A1:H68"/>
  <sheetViews>
    <sheetView topLeftCell="A12" workbookViewId="0">
      <selection activeCell="D23" sqref="D23"/>
    </sheetView>
  </sheetViews>
  <sheetFormatPr defaultColWidth="9.1796875" defaultRowHeight="14.5" x14ac:dyDescent="0.35"/>
  <cols>
    <col min="1" max="1" width="6.453125" style="20" customWidth="1"/>
    <col min="2" max="2" width="9.453125" style="19" customWidth="1"/>
    <col min="3" max="3" width="25.1796875" style="22" customWidth="1"/>
    <col min="4" max="4" width="23.81640625" style="19" customWidth="1"/>
    <col min="5" max="5" width="11.26953125" style="19" customWidth="1"/>
    <col min="6" max="6" width="24.26953125" style="19" customWidth="1"/>
    <col min="7" max="7" width="9.1796875" style="19"/>
    <col min="8" max="8" width="6" style="19" customWidth="1"/>
    <col min="9" max="16384" width="9.1796875" style="19"/>
  </cols>
  <sheetData>
    <row r="1" spans="1:8" ht="33" customHeight="1" x14ac:dyDescent="0.35">
      <c r="A1" s="229" t="s">
        <v>382</v>
      </c>
      <c r="B1" s="230"/>
      <c r="C1" s="230"/>
      <c r="D1" s="230"/>
      <c r="E1" s="230"/>
      <c r="F1" s="230"/>
      <c r="G1" s="230"/>
      <c r="H1" s="230"/>
    </row>
    <row r="2" spans="1:8" x14ac:dyDescent="0.35">
      <c r="A2" s="231" t="s">
        <v>383</v>
      </c>
      <c r="B2" s="232"/>
      <c r="C2" s="232"/>
      <c r="D2" s="232"/>
      <c r="E2" s="232"/>
      <c r="F2" s="232"/>
      <c r="G2" s="232"/>
      <c r="H2" s="232"/>
    </row>
    <row r="3" spans="1:8" s="22" customFormat="1" x14ac:dyDescent="0.35">
      <c r="A3" s="21" t="s">
        <v>384</v>
      </c>
      <c r="B3" s="26" t="s">
        <v>385</v>
      </c>
    </row>
    <row r="4" spans="1:8" s="22" customFormat="1" ht="46.5" customHeight="1" x14ac:dyDescent="0.35">
      <c r="B4" s="233" t="s">
        <v>386</v>
      </c>
      <c r="C4" s="233"/>
      <c r="D4" s="233"/>
      <c r="E4" s="233"/>
      <c r="F4" s="233"/>
      <c r="G4" s="233"/>
      <c r="H4" s="233"/>
    </row>
    <row r="5" spans="1:8" s="22" customFormat="1" x14ac:dyDescent="0.35">
      <c r="C5" s="22" t="s">
        <v>387</v>
      </c>
    </row>
    <row r="6" spans="1:8" s="22" customFormat="1" x14ac:dyDescent="0.35">
      <c r="C6" s="117" t="s">
        <v>388</v>
      </c>
      <c r="D6" s="117" t="s">
        <v>389</v>
      </c>
    </row>
    <row r="7" spans="1:8" s="22" customFormat="1" x14ac:dyDescent="0.35">
      <c r="C7" s="23" t="s">
        <v>390</v>
      </c>
      <c r="D7" s="116" t="s">
        <v>391</v>
      </c>
    </row>
    <row r="8" spans="1:8" s="22" customFormat="1" x14ac:dyDescent="0.35">
      <c r="C8" s="23" t="s">
        <v>392</v>
      </c>
      <c r="D8" s="152">
        <v>0.01</v>
      </c>
    </row>
    <row r="9" spans="1:8" s="22" customFormat="1" x14ac:dyDescent="0.35">
      <c r="C9" s="23" t="s">
        <v>393</v>
      </c>
      <c r="D9" s="152">
        <v>0.01</v>
      </c>
    </row>
    <row r="10" spans="1:8" s="22" customFormat="1" x14ac:dyDescent="0.35">
      <c r="C10" s="23" t="s">
        <v>394</v>
      </c>
      <c r="D10" s="152">
        <v>1.4999999999999999E-2</v>
      </c>
    </row>
    <row r="11" spans="1:8" s="22" customFormat="1" x14ac:dyDescent="0.35">
      <c r="C11" s="23" t="s">
        <v>395</v>
      </c>
      <c r="D11" s="152">
        <v>0.02</v>
      </c>
    </row>
    <row r="12" spans="1:8" s="22" customFormat="1" x14ac:dyDescent="0.35"/>
    <row r="13" spans="1:8" s="22" customFormat="1" x14ac:dyDescent="0.35"/>
    <row r="14" spans="1:8" s="22" customFormat="1" x14ac:dyDescent="0.35">
      <c r="A14" s="21" t="s">
        <v>396</v>
      </c>
      <c r="B14" s="26" t="s">
        <v>397</v>
      </c>
    </row>
    <row r="15" spans="1:8" s="22" customFormat="1" ht="52.5" customHeight="1" x14ac:dyDescent="0.35">
      <c r="B15" s="234" t="s">
        <v>398</v>
      </c>
      <c r="C15" s="234"/>
      <c r="D15" s="234"/>
      <c r="E15" s="234"/>
      <c r="F15" s="234"/>
      <c r="G15" s="234"/>
      <c r="H15" s="234"/>
    </row>
    <row r="16" spans="1:8" s="22" customFormat="1" x14ac:dyDescent="0.35">
      <c r="C16" s="22" t="s">
        <v>387</v>
      </c>
    </row>
    <row r="17" spans="3:4" s="22" customFormat="1" x14ac:dyDescent="0.35">
      <c r="C17" s="25" t="s">
        <v>388</v>
      </c>
      <c r="D17" s="25" t="s">
        <v>399</v>
      </c>
    </row>
    <row r="18" spans="3:4" s="22" customFormat="1" x14ac:dyDescent="0.35">
      <c r="C18" s="23" t="s">
        <v>390</v>
      </c>
      <c r="D18" s="116" t="s">
        <v>391</v>
      </c>
    </row>
    <row r="19" spans="3:4" s="22" customFormat="1" x14ac:dyDescent="0.35">
      <c r="C19" s="23" t="s">
        <v>392</v>
      </c>
      <c r="D19" s="153">
        <v>5.0000000000000001E-3</v>
      </c>
    </row>
    <row r="20" spans="3:4" s="22" customFormat="1" x14ac:dyDescent="0.35">
      <c r="C20" s="23" t="s">
        <v>393</v>
      </c>
      <c r="D20" s="153">
        <v>7.4999999999999997E-3</v>
      </c>
    </row>
    <row r="21" spans="3:4" s="22" customFormat="1" x14ac:dyDescent="0.35">
      <c r="C21" s="23" t="s">
        <v>394</v>
      </c>
      <c r="D21" s="153">
        <v>0.01</v>
      </c>
    </row>
    <row r="22" spans="3:4" s="22" customFormat="1" x14ac:dyDescent="0.35">
      <c r="C22" s="23" t="s">
        <v>395</v>
      </c>
      <c r="D22" s="153">
        <v>0.01</v>
      </c>
    </row>
    <row r="23" spans="3:4" s="22" customFormat="1" x14ac:dyDescent="0.35"/>
    <row r="24" spans="3:4" s="22" customFormat="1" x14ac:dyDescent="0.35"/>
    <row r="25" spans="3:4" s="22" customFormat="1" x14ac:dyDescent="0.35"/>
    <row r="26" spans="3:4" s="22" customFormat="1" x14ac:dyDescent="0.35"/>
    <row r="27" spans="3:4" s="22" customFormat="1" x14ac:dyDescent="0.35"/>
    <row r="28" spans="3:4" s="22" customFormat="1" x14ac:dyDescent="0.35"/>
    <row r="29" spans="3:4" s="22" customFormat="1" x14ac:dyDescent="0.35"/>
    <row r="30" spans="3:4" s="22" customFormat="1" x14ac:dyDescent="0.35"/>
    <row r="31" spans="3:4" s="22" customFormat="1" x14ac:dyDescent="0.35"/>
    <row r="32" spans="3:4" s="22" customFormat="1" x14ac:dyDescent="0.35"/>
    <row r="33" s="22" customFormat="1" x14ac:dyDescent="0.35"/>
    <row r="34" s="22" customFormat="1" x14ac:dyDescent="0.35"/>
    <row r="35" s="22" customFormat="1" x14ac:dyDescent="0.35"/>
    <row r="36" s="22" customFormat="1" x14ac:dyDescent="0.35"/>
    <row r="37" s="22" customFormat="1" x14ac:dyDescent="0.35"/>
    <row r="38" s="22" customFormat="1" x14ac:dyDescent="0.35"/>
    <row r="39" s="22" customFormat="1" x14ac:dyDescent="0.35"/>
    <row r="40" s="22" customFormat="1" x14ac:dyDescent="0.35"/>
    <row r="41" s="22" customFormat="1" x14ac:dyDescent="0.35"/>
    <row r="42" s="22" customFormat="1" x14ac:dyDescent="0.35"/>
    <row r="43" s="22" customFormat="1" x14ac:dyDescent="0.35"/>
    <row r="44" s="22" customFormat="1" x14ac:dyDescent="0.35"/>
    <row r="45" s="22" customFormat="1" x14ac:dyDescent="0.35"/>
    <row r="46" s="22" customFormat="1" x14ac:dyDescent="0.35"/>
    <row r="47" s="22" customFormat="1" x14ac:dyDescent="0.35"/>
    <row r="48" s="22" customFormat="1" x14ac:dyDescent="0.35"/>
    <row r="49" s="22" customFormat="1" x14ac:dyDescent="0.35"/>
    <row r="50" s="22" customFormat="1" x14ac:dyDescent="0.35"/>
    <row r="51" s="22" customFormat="1" x14ac:dyDescent="0.35"/>
    <row r="52" s="22" customFormat="1" x14ac:dyDescent="0.35"/>
    <row r="53" s="22" customFormat="1" x14ac:dyDescent="0.35"/>
    <row r="54" s="22" customFormat="1" x14ac:dyDescent="0.35"/>
    <row r="55" s="22" customFormat="1" x14ac:dyDescent="0.35"/>
    <row r="56" s="22" customFormat="1" x14ac:dyDescent="0.35"/>
    <row r="57" s="22" customFormat="1" x14ac:dyDescent="0.35"/>
    <row r="58" s="22" customFormat="1" x14ac:dyDescent="0.35"/>
    <row r="59" s="22" customFormat="1" x14ac:dyDescent="0.35"/>
    <row r="60" s="22" customFormat="1" x14ac:dyDescent="0.35"/>
    <row r="61" s="22" customFormat="1" x14ac:dyDescent="0.35"/>
    <row r="62" s="22" customFormat="1" x14ac:dyDescent="0.35"/>
    <row r="63" s="22" customFormat="1" x14ac:dyDescent="0.35"/>
    <row r="64" s="22" customFormat="1" x14ac:dyDescent="0.35"/>
    <row r="65" s="22" customFormat="1" x14ac:dyDescent="0.35"/>
    <row r="66" s="22" customFormat="1" x14ac:dyDescent="0.35"/>
    <row r="67" s="22" customFormat="1" x14ac:dyDescent="0.35"/>
    <row r="68" s="22" customFormat="1" x14ac:dyDescent="0.35"/>
  </sheetData>
  <mergeCells count="4">
    <mergeCell ref="A1:H1"/>
    <mergeCell ref="A2:H2"/>
    <mergeCell ref="B4:H4"/>
    <mergeCell ref="B15:H1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ce5dc02-e6ee-47b4-9a08-47af29566b84" xsi:nil="true"/>
    <lcf76f155ced4ddcb4097134ff3c332f xmlns="473d767a-04be-40d7-8244-e99b02a801a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67A85908EC8EF4397986CA8890A01D0" ma:contentTypeVersion="11" ma:contentTypeDescription="Create a new document." ma:contentTypeScope="" ma:versionID="4b532ae07d345b98394f62705881a1eb">
  <xsd:schema xmlns:xsd="http://www.w3.org/2001/XMLSchema" xmlns:xs="http://www.w3.org/2001/XMLSchema" xmlns:p="http://schemas.microsoft.com/office/2006/metadata/properties" xmlns:ns2="473d767a-04be-40d7-8244-e99b02a801a1" xmlns:ns3="0ce5dc02-e6ee-47b4-9a08-47af29566b84" targetNamespace="http://schemas.microsoft.com/office/2006/metadata/properties" ma:root="true" ma:fieldsID="149da395c8df46ab2c52dd649b78e429" ns2:_="" ns3:_="">
    <xsd:import namespace="473d767a-04be-40d7-8244-e99b02a801a1"/>
    <xsd:import namespace="0ce5dc02-e6ee-47b4-9a08-47af29566b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3d767a-04be-40d7-8244-e99b02a80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1a3b04c-5651-4426-bba6-84f608af0fb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e5dc02-e6ee-47b4-9a08-47af29566b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a880de-1124-421b-a879-c7290c5edf58}" ma:internalName="TaxCatchAll" ma:showField="CatchAllData" ma:web="0ce5dc02-e6ee-47b4-9a08-47af29566b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EE9A78-5A31-41A1-A4B0-4BB94879510A}">
  <ds:schemaRefs>
    <ds:schemaRef ds:uri="http://schemas.microsoft.com/office/2006/metadata/properties"/>
    <ds:schemaRef ds:uri="http://schemas.microsoft.com/office/infopath/2007/PartnerControls"/>
    <ds:schemaRef ds:uri="0ce5dc02-e6ee-47b4-9a08-47af29566b84"/>
    <ds:schemaRef ds:uri="473d767a-04be-40d7-8244-e99b02a801a1"/>
  </ds:schemaRefs>
</ds:datastoreItem>
</file>

<file path=customXml/itemProps2.xml><?xml version="1.0" encoding="utf-8"?>
<ds:datastoreItem xmlns:ds="http://schemas.openxmlformats.org/officeDocument/2006/customXml" ds:itemID="{C522AF61-82AB-43F2-A375-5C97BEB28422}">
  <ds:schemaRefs>
    <ds:schemaRef ds:uri="http://schemas.microsoft.com/sharepoint/v3/contenttype/forms"/>
  </ds:schemaRefs>
</ds:datastoreItem>
</file>

<file path=customXml/itemProps3.xml><?xml version="1.0" encoding="utf-8"?>
<ds:datastoreItem xmlns:ds="http://schemas.openxmlformats.org/officeDocument/2006/customXml" ds:itemID="{6D0A32DE-BF2D-44F8-AFB8-00829ED947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3d767a-04be-40d7-8244-e99b02a801a1"/>
    <ds:schemaRef ds:uri="0ce5dc02-e6ee-47b4-9a08-47af29566b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28e349f-c68d-46ce-94ba-6d0e8d23db64}" enabled="1" method="Standard" siteId="{7b7466bb-fe1d-47a0-b943-8ded565c8e5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General Information</vt:lpstr>
      <vt:lpstr>Questions</vt:lpstr>
      <vt:lpstr>Pricing Gene to Plasmid</vt:lpstr>
      <vt:lpstr>Pricing Gene to Protein</vt:lpstr>
      <vt:lpstr>Pricing Stable CHO</vt:lpstr>
      <vt:lpstr>Project Ab Oligo Conjugate</vt:lpstr>
      <vt:lpstr>Pricing Biophys. Char.</vt:lpstr>
      <vt:lpstr>Pricing Biochemistry</vt:lpstr>
      <vt:lpstr>Volume Incentive</vt:lpstr>
    </vt:vector>
  </TitlesOfParts>
  <Manager/>
  <Company>Biogen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Mckenney</dc:creator>
  <cp:keywords/>
  <dc:description/>
  <cp:lastModifiedBy>Mithilkumar Jitendrakumar</cp:lastModifiedBy>
  <cp:revision/>
  <dcterms:created xsi:type="dcterms:W3CDTF">2025-05-13T19:58:46Z</dcterms:created>
  <dcterms:modified xsi:type="dcterms:W3CDTF">2025-08-19T05:35:28Z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0x010100B67A85908EC8EF4397986CA8890A01D0</vt:lpwstr>
  </property>
  <property fmtid="{D5CDD505-2E9C-101B-9397-08002B2CF9AE}" pid="3" name="MediaServiceImageTags">
    <vt:lpwstr/>
  </property>
</Properties>
</file>