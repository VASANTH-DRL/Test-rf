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D:\Marketing\proposals\FY24\JNJ-RFP 2023\Documents to Ariba\"/>
    </mc:Choice>
  </mc:AlternateContent>
  <xr:revisionPtr revIDLastSave="0" documentId="13_ncr:1_{0481031F-B22D-4BF6-BB85-F72C6EE43385}" xr6:coauthVersionLast="47" xr6:coauthVersionMax="47" xr10:uidLastSave="{00000000-0000-0000-0000-000000000000}"/>
  <bookViews>
    <workbookView xWindow="-120" yWindow="-120" windowWidth="20730" windowHeight="11160" firstSheet="3" activeTab="3" xr2:uid="{00000000-000D-0000-FFFF-FFFF00000000}"/>
  </bookViews>
  <sheets>
    <sheet name="Instructions" sheetId="1" r:id="rId1"/>
    <sheet name="Terms of Participation" sheetId="2" r:id="rId2"/>
    <sheet name="Message Center" sheetId="3" r:id="rId3"/>
    <sheet name="Questionnaire" sheetId="5" r:id="rId4"/>
    <sheet name="Bid Details" sheetId="6" r:id="rId5"/>
    <sheet name="FTE RatesCosts- primary r (1)" sheetId="7" r:id="rId6"/>
    <sheet name="FTE RatesCosts- additiona (2)" sheetId="8" r:id="rId7"/>
    <sheet name="FTE RatesCosts- additiona (3)" sheetId="9" r:id="rId8"/>
    <sheet name="Extra Data" sheetId="4" r:id="rId9"/>
  </sheets>
  <definedNames>
    <definedName name="ExtendedPrice_af2" localSheetId="6">'FTE RatesCosts- additiona (2)'!$F$1:$F$99999</definedName>
    <definedName name="ExtendedPrice_af2" localSheetId="7">'FTE RatesCosts- additiona (3)'!$F$1:$F$99999</definedName>
    <definedName name="ExtendedPrice_af2" localSheetId="5">'FTE RatesCosts- primary r (1)'!$F$1:$F$99999</definedName>
    <definedName name="FTETiersS_cbf" localSheetId="6">'FTE RatesCosts- additiona (2)'!$B$1:$B$99999</definedName>
    <definedName name="FTETiersS_cbf" localSheetId="7">'FTE RatesCosts- additiona (3)'!$B$1:$B$99999</definedName>
    <definedName name="FTETiersS_cbf" localSheetId="5">'FTE RatesCosts- primary r (1)'!$B$1:$B$99999</definedName>
    <definedName name="LevelOfScientistEducationAndYearsOfExperience_806" localSheetId="6">'FTE RatesCosts- additiona (2)'!$G$1:$G$99999</definedName>
    <definedName name="LevelOfScientistEducationAndYearsOfExperience_806" localSheetId="7">'FTE RatesCosts- additiona (3)'!$G$1:$G$99999</definedName>
    <definedName name="LevelOfScientistEducationAndYearsOfExperience_806" localSheetId="5">'FTE RatesCosts- primary r (1)'!$G$1:$G$99999</definedName>
    <definedName name="Notes_704" localSheetId="6">'FTE RatesCosts- additiona (2)'!$H$1:$H$99999</definedName>
    <definedName name="Notes_704" localSheetId="7">'FTE RatesCosts- additiona (3)'!$H$1:$H$99999</definedName>
    <definedName name="Notes_704" localSheetId="5">'FTE RatesCosts- primary r (1)'!$H$1:$H$99999</definedName>
    <definedName name="Year1PricePerFteFor12Months_a53" localSheetId="6">'FTE RatesCosts- additiona (2)'!$C$1:$C$99999</definedName>
    <definedName name="Year1PricePerFteFor12Months_a53" localSheetId="7">'FTE RatesCosts- additiona (3)'!$C$1:$C$99999</definedName>
    <definedName name="Year1PricePerFteFor12Months_a53" localSheetId="5">'FTE RatesCosts- primary r (1)'!$C$1:$C$99999</definedName>
    <definedName name="Year2PricePerFteFor12Months_8c1" localSheetId="6">'FTE RatesCosts- additiona (2)'!$D$1:$D$99999</definedName>
    <definedName name="Year2PricePerFteFor12Months_8c1" localSheetId="7">'FTE RatesCosts- additiona (3)'!$D$1:$D$99999</definedName>
    <definedName name="Year2PricePerFteFor12Months_8c1" localSheetId="5">'FTE RatesCosts- primary r (1)'!$D$1:$D$99999</definedName>
    <definedName name="Year3PricePerFteFor12Months_a5c" localSheetId="6">'FTE RatesCosts- additiona (2)'!$E$1:$E$99999</definedName>
    <definedName name="Year3PricePerFteFor12Months_a5c" localSheetId="7">'FTE RatesCosts- additiona (3)'!$E$1:$E$99999</definedName>
    <definedName name="Year3PricePerFteFor12Months_a5c" localSheetId="5">'FTE RatesCosts- primary r (1)'!$E$1:$E$99999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4" i="9" l="1"/>
  <c r="F23" i="9"/>
  <c r="F22" i="9"/>
  <c r="F21" i="9"/>
  <c r="F20" i="9"/>
  <c r="F19" i="9"/>
  <c r="F16" i="9"/>
  <c r="F15" i="9"/>
  <c r="F14" i="9"/>
  <c r="F13" i="9"/>
  <c r="F12" i="9"/>
  <c r="F11" i="9"/>
  <c r="F8" i="9"/>
  <c r="F7" i="9"/>
  <c r="F6" i="9"/>
  <c r="F5" i="9"/>
  <c r="F4" i="9"/>
  <c r="F3" i="9"/>
  <c r="F24" i="8"/>
  <c r="F23" i="8"/>
  <c r="F22" i="8"/>
  <c r="F21" i="8"/>
  <c r="F20" i="8"/>
  <c r="F19" i="8"/>
  <c r="F16" i="8"/>
  <c r="F15" i="8"/>
  <c r="F14" i="8"/>
  <c r="F13" i="8"/>
  <c r="F12" i="8"/>
  <c r="F11" i="8"/>
  <c r="F8" i="8"/>
  <c r="F7" i="8"/>
  <c r="F6" i="8"/>
  <c r="F5" i="8"/>
  <c r="F4" i="8"/>
  <c r="F3" i="8"/>
  <c r="F24" i="7"/>
  <c r="F23" i="7"/>
  <c r="F22" i="7"/>
  <c r="F21" i="7"/>
  <c r="F20" i="7"/>
  <c r="F19" i="7"/>
  <c r="F16" i="7"/>
  <c r="F15" i="7"/>
  <c r="F14" i="7"/>
  <c r="F13" i="7"/>
  <c r="F12" i="7"/>
  <c r="F11" i="7"/>
  <c r="F8" i="7"/>
  <c r="F7" i="7"/>
  <c r="F6" i="7"/>
  <c r="F5" i="7"/>
  <c r="F4" i="7"/>
  <c r="F3" i="7"/>
</calcChain>
</file>

<file path=xl/sharedStrings.xml><?xml version="1.0" encoding="utf-8"?>
<sst xmlns="http://schemas.openxmlformats.org/spreadsheetml/2006/main" count="695" uniqueCount="324">
  <si>
    <t>Johnson &amp; Johnson - Medicinal and Synthetic Chemistry RFP</t>
  </si>
  <si>
    <t>CONFIDENTIAL</t>
  </si>
  <si>
    <t>Primary Contact:</t>
  </si>
  <si>
    <t>Marta Kucmierz</t>
  </si>
  <si>
    <t>Instructions</t>
  </si>
  <si>
    <t>1) Before completing this document, refer to the event details located at:</t>
  </si>
  <si>
    <t>https://us.workdayspend.com/bids/2926112</t>
  </si>
  <si>
    <t>2) Do not add or delete rows, columns, or cells in this
          document or it will not import properly.</t>
  </si>
  <si>
    <t>3) Provide answers in light blue cells only:</t>
  </si>
  <si>
    <t>example answer</t>
  </si>
  <si>
    <t>4) Click here to import your completed document before the submission deadline
                  1/18/2024 at 4:00 AM IST (Don't forget to save before importing).</t>
  </si>
  <si>
    <t>5) Include the following documents requested by the RFP owner:</t>
  </si>
  <si>
    <t>Proposal Document (Please attach your proposal document)</t>
  </si>
  <si>
    <t>For technical help, please reach out to Support using CONTACT SUPPORT button.</t>
  </si>
  <si>
    <t>Event Description</t>
  </si>
  <si>
    <t xml:space="preserve">Overview – General Information 
Johnson &amp; Johnson (J&amp;J) invites your company to submit a response to this Request for Proposal (RFP). This event is being issued electronically via a J&amp;J eSourcing tool and all correspondence will take place here, including any questions and responses.   
For questions about this event, use the Message Center to contact the J&amp;J Project Team. This will allow any J&amp;J Team Member to respond with the fastest response time. You can also view other messages from the J&amp;J Project Team using the Message Center.
If you have questions about how to use this eSourcing tool, information about the tool and how to access the tool Help Desk is available in the Knowledge Base HERE.
For this RFP, you will need to answer all required questions prior to submitting your response; please keep your responses as concise and brief as possible.  
Submit your response 2 hours before the deadline to ensure adequate time to resolve any potential technical issues (i.e. non-completion of required responses) prior to the deadline. Please note, you will be able to go back into your response after submission and edit it until the deadline time.  
No responses will be accepted after the deadline time unless mutually agreed upon.  Failure to respond to all requirements and questions may cause rejection of response.  
This RFP is for market refresh. We are looking to receive FTE rates per Tiers (#s of FTEs) for years 1 through 3 of engagement with J&amp;J.
Timeline:
-  4.12.2023. RSVP to confirm your participation
- 12.15.2023. Send questions to J&amp;J Team ( if any)
-  1.17. 2024. Submit RFP
Med &amp; Synthetic Chemistry specific requirements in Sec. 10
Notes for FTEs requirements( also available in Pricing Worksheets)
- Please, input prices per FTE total for 12 months for 1-3 years of engagement for different scientist levels that you provide and indicate in Column on level, years of experience and educational level.- If you provide FTE service in another region/ city, please, fill in the second and third worksheet ( additional region 1, additional region region 2 and indicate in notes what region this is for).
-  FTE Description: All chemists performing the Services will have a background in medicinal or organic chemistry, a working knowledge of organic synthesis, and a full understanding of fundamental chemical synthesis techniques and related analytical skills, (ii) all such chemists shall have an advanced degree in Chemistry            Analytical: Basic purification &amp; characterization support (including necessary instrumentation) performed by paid FTE team with oversight and trouble-shooting by an Analytical Services Unit.            Compound management (including sample preparation, registration, and room temperature shipment), IT infrastructure, scientific literature search, general administration and operations support (including QA, EH&amp;S as well as expenses for human resources (salary, bonus and benefits)).            Included in FTE rate:  Reagents costing less than $------/item.    Laboratory supplies, such as standard equipment, glassware and personal protective equipment. Standard reagents that are generally used across all chemistry projects i.e. standard solvents, silica gel, inorganic salts and lab consumables are included in the FTE rate.    
In order to be considered for this RFP, your Company, must adhere to J&amp;J's Corporate Net 90 day payment terms.
</t>
  </si>
  <si>
    <t>Event Timeline</t>
  </si>
  <si>
    <t>RSVP Deadline:</t>
  </si>
  <si>
    <t>12/8/2023 at 4:00 AM IST</t>
  </si>
  <si>
    <t>Supplier Question Deadline:</t>
  </si>
  <si>
    <t>12/16/2023 at 4:00 AM IST</t>
  </si>
  <si>
    <t>Submission Deadline:</t>
  </si>
  <si>
    <t>1/18/2024 at 4:00 AM IST</t>
  </si>
  <si>
    <t>Invite Team Members</t>
  </si>
  <si>
    <t>Jayachandran  Ezhuthachan : contactapsl@aurigeneservices.com</t>
  </si>
  <si>
    <t>Note From Johnson &amp; Johnson:</t>
  </si>
  <si>
    <t>Signed by SRINIVASAN RAMASAMI (ramasami_s@aurigeneservices.com) at 12/8/2023 at 8:36 AM IST</t>
  </si>
  <si>
    <t>General Event Terms - For All Events Globally - English</t>
  </si>
  <si>
    <t>Conflict of Interest</t>
  </si>
  <si>
    <t>You are not permitted to place a bid when one of the following criteria is met:</t>
  </si>
  <si>
    <t>Bids must not be solicited from any company owned, controlled, or managed by any Johnson &amp;amp; Johnson employee or relative of an employee</t>
  </si>
  <si>
    <t>Bids must not be solicited from any company that employs, in any capacity, a Johnson &amp;amp; Johnson employee or direct relative of said employee who is in a position of influence in the selection, use, or conduct of business with said suppliers</t>
  </si>
  <si>
    <t>Bids must not be solicited from any company that provides any other real or apparent conflict of interest unless, after disclosure to the appropriate level of management, it is determined that the activity is not harmful to the Company or otherwise improper</t>
  </si>
  <si>
    <t>If your company is in violation with one of the listed guidelines above, or if you have any doubts, please reach out to the J&amp;amp;J Project Team associated with this event so the Conflict of Interest may be documented.</t>
  </si>
  <si>
    <t>Legal Clauses</t>
  </si>
  <si>
    <t>Contract Awarding: This event does not commit any J&amp;amp;J affiliate to award a contract. The J&amp;amp;J affiliate sponsoring the event ("Sponsor") reserves the right to waive any informality or defect in the offer, to reject any and all offers, or to accept any offer that it deems is in our best interest. False, incomplete, or unresponsive statements in connection with a quotation submittal may be sufficient cause for rejection. Sponsor will be the sole judge in making such determinations and reserves the right to award this requirement to one or multiple suppliers.</t>
  </si>
  <si>
    <t>Right to Reject: Sponsor reserves the right to reject any and all bids in part or whole. Responses should be submitted with the most favorable terms. Sponsor reserves the right to select and negotiate with those suppliers it deems qualified for competitive bidding and to terminate negotiations without incurring any liability.</t>
  </si>
  <si>
    <t>Right to changes: Sponsor may, during the event period, advise the suppliers of additions, omissions, or changes to the specifications. All such changes in writing shall be deemed included in the proposal and shall become part of the original specifications as if originally submitted. The proposal of any provision herein shall not be construed as to relieve the supplier of any responsibility or obligation requisite to the complete and satisfactory delivery, operation, and support of any and all services.</t>
  </si>
  <si>
    <t>Right to cancellation: Sponsor reserves the right to modify or cancel part of the requirements or the entire event at any time. In addition, the event does not imply any commitment to purchase any products or services from any supplier.</t>
  </si>
  <si>
    <t>Proposal Withdrawal: Upon written notification to Sponsor, any respondent may withdraw its proposal at any time prior to the scheduled closing deadline for the receipt of proposals.</t>
  </si>
  <si>
    <t>Proposal Modification: The supplier may provide written requests for modifications or corrections of previously submitted proposals, addressed in the same manner as the original proposal, if received by Sponsor prior to the scheduled closing deadline for receipt of all proposals. No oral or telephone modifications or corrections will be accepted. Modifications or corrections submitted after the closing deadline may be rejected by Sponsor.</t>
  </si>
  <si>
    <t>Supplier Incurred Expenses: Sponsor assumes no responsibility for any expenses incurred by the supplier in preparing and submitting a proposal, nor shall Sponsor have any obligation or liability for expenses incurred as a result of cancellation of the event or rejection of any or all suppliers’ proposals.</t>
  </si>
  <si>
    <t>Agreement with Event Terms</t>
  </si>
  <si>
    <t>By participating in this sourcing event, you and your company are confirming they agree with and will abide by all terms and conditions mentioned herein.</t>
  </si>
  <si>
    <t>View online and submit questions at:</t>
  </si>
  <si>
    <t>https://us.workdayspend.com/bids/2926112/questions</t>
  </si>
  <si>
    <t>Supplier: Aurigene Pharmaceutical Services Ltd</t>
  </si>
  <si>
    <t>Questionnaire</t>
  </si>
  <si>
    <t>You must answer the listed questionnaire(s) before submitting your response.</t>
  </si>
  <si>
    <t>1. Responsibility Standards</t>
  </si>
  <si>
    <t>Johnson &amp; Johnson has published a revised version of our Responsibility Standards for Suppliers.  These Standards outline expectations for legal compliance, ethics and business conduct, quality, health, safety and well-being of employees, sustainability and environmental responsibility, human rights, labor and employment, management systems, health care compliance &amp; privacy, transparency and disclosure, and monitoring and compliance.  Our requirement is that your company conforms to these Standards; additional languages can be found at https://www.jnj.com/partners/responsibility-standards-for-suppliers. </t>
  </si>
  <si>
    <t>Answer(s)</t>
  </si>
  <si>
    <t>Comments</t>
  </si>
  <si>
    <t xml:space="preserve">
              1.1. 
              Please have an authorized company representative review these Responsibility Standards for Suppliers and check “yes” to confirm that your company has received and reviewed the document and accepts its terms as binding as a condition of participating in this bidding event   https://www.jnj.com/suppliers/responsibility-standards-for-suppliers
14667-jjsc-procurement-responsibility-suppliers-2022-pdf-digital-r10a-eng.pdf</t>
  </si>
  <si>
    <t>question_id</t>
  </si>
  <si>
    <t>Multiple Choice Select One (Required)</t>
  </si>
  <si>
    <t>Yes</t>
  </si>
  <si>
    <t>2. Citizenship</t>
  </si>
  <si>
    <t>GSDI Definitions.pdf</t>
  </si>
  <si>
    <t xml:space="preserve">
              2.1. 
              Does your company have a diverse supplier program? If Yes, please briefly describe this program.
</t>
  </si>
  <si>
    <t>2.2. Supplier Diversity Status- HQ in USA / Puerto Rico</t>
  </si>
  <si>
    <t>If your company is Headquarted in the USA / Puerto Rico, please respond to the questions in this section. If not, please move below to the next section of questions.  </t>
  </si>
  <si>
    <t xml:space="preserve">
              2.2.1. 
              Please indicate if your company is a large business or small business as defined by the U.S. Small Business Administration. Please refer to the attached GSDI Definitions file for Small Business Administration definitions.
</t>
  </si>
  <si>
    <t>N/A</t>
  </si>
  <si>
    <t xml:space="preserve">
              2.2.2. 
              Please indicate if your company is at least 51% owned, operated, and controlled by individuals in one or more of the following categories (check all that apply): Please refer to the attached GSDI Definitions file for definitions of the following categories.
</t>
  </si>
  <si>
    <t>Multiple Choice Select One or More (Required)</t>
  </si>
  <si>
    <t>Answer Options</t>
  </si>
  <si>
    <t/>
  </si>
  <si>
    <t>choice_id</t>
  </si>
  <si>
    <t>Minority owned</t>
  </si>
  <si>
    <t>Women owned</t>
  </si>
  <si>
    <t>LGBT owned</t>
  </si>
  <si>
    <t>Veteran owned</t>
  </si>
  <si>
    <t>Service Disabled Veteran owned</t>
  </si>
  <si>
    <t>Disability owned</t>
  </si>
  <si>
    <t>✔</t>
  </si>
  <si>
    <t xml:space="preserve">
              2.2.3. 
              If Minority owned is checked in the prior question, please select the following appropriate description. Please refer to the attached GSDI Definitions file for definitions of the following descriptions.
</t>
  </si>
  <si>
    <t>Multiple Choice Select One</t>
  </si>
  <si>
    <t xml:space="preserve">
              2.2.4. 
              If applicable, check if your company is certified by one or more of the agencies listed below (check all that apply). Please refer to the attached GSDI Definitions file for definitions of the following agencies.
</t>
  </si>
  <si>
    <t>Multiple Choice Select One or More</t>
  </si>
  <si>
    <t>National Minority Supplier Development Council (NMSDC) as a minority owned business</t>
  </si>
  <si>
    <t>Women's Business Enterprise National Council (WBENC) as a woman owned business</t>
  </si>
  <si>
    <t>National Gay Lesbian Chamber of Commerce (NGLCC) as an LGBT owned business</t>
  </si>
  <si>
    <t>National Veteran Business Development Council (NVBDC) as a Veteran owned business</t>
  </si>
  <si>
    <t>Disability: IN as a business owned by one or more disabled individuals</t>
  </si>
  <si>
    <t xml:space="preserve">
              2.2.5. 
              If in the prior question you indicated you are certified by any of the provided agencies, attach a copy of the Certification(s).
</t>
  </si>
  <si>
    <t>File Request</t>
  </si>
  <si>
    <t>(Attach file(s) in Scout)</t>
  </si>
  <si>
    <t xml:space="preserve">
              2.2.6. 
              Please indicate if your company is a Small Disadvantaged Business (SDB), 8(a), or HUBZone business (check all that apply).
</t>
  </si>
  <si>
    <t xml:space="preserve">
              2.2.7. 
              If in the prior question you indicated you are a 8(a) and HUBZone business in, attach a copy of the Certification.
</t>
  </si>
  <si>
    <t>2.3. Supplier Diversity Status - HQ in EMEA, APAC, LATAM or Canada</t>
  </si>
  <si>
    <t>If your company is Headquarted in the EMEA, APAC, LATAM, or Canada, please respond to the questions in this section. If not, please move below to the next section of questions.  </t>
  </si>
  <si>
    <t xml:space="preserve">
              2.3.1. 
              Is your company at least 51% women owned, operated and controlled? If yes, is your company registered or certified with WeConnect International? Please also indicate if your company is certified via different but locally acceptable certification.
</t>
  </si>
  <si>
    <t>No</t>
  </si>
  <si>
    <t xml:space="preserve">
              2.3.2. 
              For companies with Headquarters located in Australia, Canada, South Africa, UK or Brazil only: Is your company at least 51% owned, operated and controlled by an ethnic minority? If yes, does your company have any of the following certifications: Australia (Supply Nation), Brazil (Integrare), Canada (CAMSC), China (MSD), South Africa (SASDC), or UK (MSDUK)?
</t>
  </si>
  <si>
    <t>Not applicable</t>
  </si>
  <si>
    <t xml:space="preserve">
              2.3.3. 
              For companies Headquarted in South Africa only: Does your company have BBBEE certification? If Yes, please indicate at which level.
</t>
  </si>
  <si>
    <t xml:space="preserve">
              2.3.4. 
              Is your company a Social Enterprise? A Social Enterprise is a company whose primary objective is to make a positive social impact in the community versus returning a profit to shareholders.
</t>
  </si>
  <si>
    <t xml:space="preserve">
              2.3.5. 
              Is your company at least 51% Lesbian, Gay, Bisexual and Transgender (LGBT) owned, operated and controlled?
</t>
  </si>
  <si>
    <t xml:space="preserve">
              2.3.6. 
              Is your company a small or medium sized company, according the country in which you are Headquartered?
</t>
  </si>
  <si>
    <t>3. Sustainability Questions</t>
  </si>
  <si>
    <t xml:space="preserve">
              3.1. 
              EcoVadis: Sustainability and responsible business conduct are fundamental to J&amp;J. Our suppliers are an extension of our business and we expect them to uphold the same values, commitments and standards in the way they operate. Our Responsibility Standards for Suppliers are aligned to the EcoVadis Sustainability Assessment. Completing an EcoVadis assessment indicates to J&amp;J that your company is working on continually improving the environmental, labor/human rights, ethics and sourcing standards in our supply chains. Please confirm if you have carried out, or are willing to carry out, an EcoVadis assessment for your company.
</t>
  </si>
  <si>
    <t>Yes, we have an EcoVadis assessment (please write company name in comments)</t>
  </si>
  <si>
    <t xml:space="preserve">
              3.2. 
              CDP: J&amp;J has made bold commitments to the climate through reducing emissions throughout our business operations. Our goals extend to our supply base, and we expect that suppliers with significant emissions are transparent in both their reporting of their Greenhouse Gas emissions and their efforts to reduce them. We use the CDP Supply Chain program to understand the climate and water impact in our supply base and as a basis to work with suppliers on making significant and meaningful reductions. CDP has two reports: investor and supply chain. Please confirm you report to one or all sections of the CDP Supply Chain program.
</t>
  </si>
  <si>
    <t>Yes, we report to CDP supply chain on one or more of the climate and/or water disclosures (please write company name in comments)</t>
  </si>
  <si>
    <t>Yes, Aurigene Pharmaceutical Services Limited have submitted our response to CDP Climate Change as well as Water Security Questionnaire. 
Yes, we have responded to supply chain module also for CDP Climate Change and Water Security questionnaire.
Our CDP response is at group level covering all our manufacturing, R&amp;D facilities which includes APSL also.</t>
  </si>
  <si>
    <t xml:space="preserve">
              3.3. 
              Human rights: J&amp;J takes its human rights responsibilities very seriously and we expect our suppliers to treat people with dignity and respect in line with authoritative standards such as the UN Guiding Principles on Business &amp; Human Rights. Please confirm that your company has a policy commitment to respect human rights and that you can provide evidence on how this commitment is implemented in your company's own operations and business relationships (e.g. through a Code of Conduct, Sustainability Report, website, etc.)?
</t>
  </si>
  <si>
    <t>Yes, we have a policy commitment to respect human rights and we can provide evidence on how we implement this commitment (see enclosed/attached)</t>
  </si>
  <si>
    <t xml:space="preserve">
              3.4. 
              Please detail any industry-standard audits, impact assessments, certifications or memberships your company has relating to environmental, human rights, social and ethical practices.      
</t>
  </si>
  <si>
    <t>Long Answer (Required)</t>
  </si>
  <si>
    <t xml:space="preserve">
              3.5. 
              If your organization publishes a Sustainability, Human Rights and/or CSR report, please attach the latest report here.
</t>
  </si>
  <si>
    <t>4. Risk, Quality &amp; Compliance</t>
  </si>
  <si>
    <t xml:space="preserve">
              4.1. 
              Explain how your company will ensure security of the solution and privacy compliance to data and information standards. 
</t>
  </si>
  <si>
    <t xml:space="preserve">We have Secure SharePoint and File servers for storing project/experiment/customer wise data separation. 
We have project drive/ file server for specific projects with access provided only to the project team members.
We have different tools for data management, for documents and workflow.
All servers are in a dedicated server room with authorized and limited access - Physical security, LAN virtual segregation VLANs, Access control and role base access are in place for logical security. 
AD and Azure authentication are in place. Onboarding and offboarding process followed. Access to the information is provided after following the defined approval process. And also access reviews are done at regular intervals.
We provide access from external network by using VPN only and to protect sensitive information, we communicate though secure channels using SSL/TLS protocols. Furthermore, secure file transfer and other security controls are there in line with ISO 27001 security control/posture implemented. </t>
  </si>
  <si>
    <t xml:space="preserve">
              4.2. 
              Describe your company's programs to ensure it provides a sustainable, high quality standard of service / good. 
</t>
  </si>
  <si>
    <t xml:space="preserve">
              4.3. 
              Describe your Business Continuity Plan in case of threats that will disrupt delivery of services / goods.
</t>
  </si>
  <si>
    <t xml:space="preserve">
              4.4. 
              Explain your process for crisis management when deliver of services or goods is interrupted.
</t>
  </si>
  <si>
    <t>As outlined in our BCP, we have specific strategies in place to manage goods and services disruptions during a crisis. 
Awareness:
Our focus during a crisis management is transparent communication. We keep all stakeholders aware of crisis and the actions to be undertaken to mitigate it. We are continuously learning from various crisis and evolving our strategies to avert it proactively. 
Alternative source: 
Most goods have alternative sources from different geographies, allowing us to quickly source them from alternative suppliers. We have occasionally seen disruptions in services when we are dependent on one vendor for the majority of services. To avert this situation, all our instruments are procured from multiple vendors. 
Back up plan:
At any given time, if one vendor's machines or spare supply dries out, we have alternative arrangements in place to continue work without major loss of productivity and time.</t>
  </si>
  <si>
    <t xml:space="preserve">
              4.5. 
              Describe your risk management program to ensure a reliable offering of services or goods.
</t>
  </si>
  <si>
    <t>5. Implementation &amp; Innovation</t>
  </si>
  <si>
    <t xml:space="preserve">
              5.1. 
              Please provide your company's proposed plan and timelines to manage trainings, communications and tests to roll-out the proposed solution for J&amp;J.
</t>
  </si>
  <si>
    <t xml:space="preserve">
              5.2. 
              Please share your company's top 2 Lessons Learned from previous implementations.
</t>
  </si>
  <si>
    <t>Long Answer</t>
  </si>
  <si>
    <t>One lesson learned from synthetic chemistry implementation is about the quality of people and attrition. We need to have high-quality individuals and keep them motivated for delivering the work. Another important lesson learned during a medicinal chemistry project is to allocate enough time in the development phase to optimize the process and reduce the cost of goods, especially for fast-follower targets.</t>
  </si>
  <si>
    <t xml:space="preserve">
              5.3. 
              Please provide case studies of implementations your company has been involved with in NA, EMEA, LATAM and/or ASPAC.
</t>
  </si>
  <si>
    <t>We have a large number of clients from North America. One of our collaborators has been with us for more than 16 years. Our steering committee implemented client review mechanism, deploying high-productive chemists, productivity metrics, quality metrics, internal audits of LNB and reports and necessary training programs to ensure client centricity and long-term collaboration. Similar implementations to all clients provided us a great success to retain and expand the collaboration.</t>
  </si>
  <si>
    <t xml:space="preserve">
              5.4. 
              Please describe the biggest risks your company foresees during implementation.
</t>
  </si>
  <si>
    <t xml:space="preserve">
              5.5. 
              Please attach an overview of your company's implementation team structure and representative profiles of each team member.
</t>
  </si>
  <si>
    <t>File Request (Required)</t>
  </si>
  <si>
    <t xml:space="preserve">
              5.6. 
              Please describe the key differentiators of your solution vs. other current solutions available in the marketplace.
</t>
  </si>
  <si>
    <t>Aurigene' s key differentiation is its people and the flexible service model to provide end to end drug discovery and development solutions. We have individuals with a diverse set of experiences in chemistry, biology, and drug discovery. Another key differentiator are the core company virtues to deliver solutions with high integrity and accountability.</t>
  </si>
  <si>
    <t xml:space="preserve">
              5.7. 
              Please provide examples of how your company has been evolving with new technologies and new business practices to provide Sponsors with innovative solutions.
</t>
  </si>
  <si>
    <t xml:space="preserve">
              5.8. 
              Please indicate if your solution incorporates artificial intelligence, and, if so, how.
</t>
  </si>
  <si>
    <t>6. Company Information</t>
  </si>
  <si>
    <t xml:space="preserve">
              6.1. 
              Region in which you are based
</t>
  </si>
  <si>
    <t>APAC</t>
  </si>
  <si>
    <t>EMEA</t>
  </si>
  <si>
    <t>NA</t>
  </si>
  <si>
    <t>LATAM</t>
  </si>
  <si>
    <t xml:space="preserve">
              6.2. 
              Company Name
</t>
  </si>
  <si>
    <t>Short Answer - 140 Character Limit (Required)</t>
  </si>
  <si>
    <t>Aurigene Pharmaceutical Services Limited</t>
  </si>
  <si>
    <t xml:space="preserve">
              6.3. 
              Company Website
</t>
  </si>
  <si>
    <t>Short Answer - 140 Character Limit</t>
  </si>
  <si>
    <t>https://www.aurigeneservices.com/</t>
  </si>
  <si>
    <t xml:space="preserve">
              6.4. 
              Headquarters Address   Street Address City Country Company HQ   
</t>
  </si>
  <si>
    <t>39-40 Hosur Road KIADB Industrial Area, 
Phase 2, Electronic City, Bangalore,
Karnataka 560100
India</t>
  </si>
  <si>
    <t xml:space="preserve">
              6.5. 
               Is your company publicly or privately owned?
</t>
  </si>
  <si>
    <t>Public</t>
  </si>
  <si>
    <t xml:space="preserve">
              6.6. 
              Years company in business
</t>
  </si>
  <si>
    <t xml:space="preserve">Aurigene has greater than 20 years of experience as a CRDMO partner for global companies in providing customized solutions. </t>
  </si>
  <si>
    <t xml:space="preserve">
              6.7. 
              Parent company name and address
</t>
  </si>
  <si>
    <t xml:space="preserve">Dr. Reddy's Laboratories Ltd. 8-2-337, Road No. 3, Banjara Hills, Hyderabad Telangana 500034, INDIA </t>
  </si>
  <si>
    <t xml:space="preserve">
              6.8. 
              Affiliates, Subsidiaries, Joint ventures or Strategic Alliances
</t>
  </si>
  <si>
    <t>Company has no affiliates, subsidiaries, joint ventures or strategic alliances from the inception (16 September 2019).</t>
  </si>
  <si>
    <t xml:space="preserve">
              6.9. 
              Company names previously used
</t>
  </si>
  <si>
    <t xml:space="preserve">Company name remains same from the inception. </t>
  </si>
  <si>
    <t xml:space="preserve">
              6.10. 
              If permissible, identify your company's top five customers. 
</t>
  </si>
  <si>
    <t>Considering the confidentiality agreement, Aurigene is unable to disclose customer related information.</t>
  </si>
  <si>
    <t xml:space="preserve">
              6.11. 
              Please provide the percentage of your company's total revenue that each of your top five customers represent (customer names may be blinded if necessary) 
</t>
  </si>
  <si>
    <t>1. Client 1 - 18%
2. Client 2 - 15%
3. Client 3 - 04%
4. Client 4 - 04%
5. Client 5 - 03%</t>
  </si>
  <si>
    <t xml:space="preserve">
              6.12. 
              Identify your company's top five competitors.
</t>
  </si>
  <si>
    <t>Syngene International Ltd, Aragen Life Sciences, Jubilant Biosys, Sai Lifesciences</t>
  </si>
  <si>
    <t xml:space="preserve">
              6.13. 
              Acquisitions In the past 2-3 years, were you acquired? Did you acquire any companies?
</t>
  </si>
  <si>
    <t>7. Staff/ Recruiting &amp; Development/ Turnover</t>
  </si>
  <si>
    <t xml:space="preserve">
              7.1. 
              Please provide the total number of employees in your company.
</t>
  </si>
  <si>
    <t>881 as on 31 Dec 2023.  Expect to increase around 1,000 FTEs by Mar 2024.</t>
  </si>
  <si>
    <t xml:space="preserve">
              7.2. 
              Please specify total number lab staff in your company.
</t>
  </si>
  <si>
    <t>654 as on 31 Dec 2023.</t>
  </si>
  <si>
    <t xml:space="preserve">
              7.3. 
              Please provide the break down of your lab staff by resource type (chemistry, biology, etc.)
</t>
  </si>
  <si>
    <t xml:space="preserve">
              7.4. 
              Of the staff that you use to provide chemistry services to your clients, please enter the percent that are full-time employees.
</t>
  </si>
  <si>
    <t xml:space="preserve">
              7.5. 
              What is the ratio of PhD chemists to Masters chemists to Bachelor chemists?
</t>
  </si>
  <si>
    <t xml:space="preserve">
              7.6. 
              How do you define PhD/ Masters equivalent chemists?
</t>
  </si>
  <si>
    <t xml:space="preserve">
              7.7. 
              What is the average education level of non-PhD chemists?
</t>
  </si>
  <si>
    <t>The average education level of non-PhD chemists is Master of Sciences (MS)</t>
  </si>
  <si>
    <t xml:space="preserve">
              7.8. 
              Describe the circumstances under which your company would use a subcontractor, affiliate, or 3rd party.
</t>
  </si>
  <si>
    <t>Contractual employees are used only for facility management services.</t>
  </si>
  <si>
    <t xml:space="preserve">
              7.9. 
              If your company uses subcontractors, please provide the details and nature of the arrangements, including details on how the confidentiality of the information provided to them is maintained, as well as how you ensure they are appropriately trained and compliant with applicable regulations, SOPs, etc.
</t>
  </si>
  <si>
    <t>Not Applicable.</t>
  </si>
  <si>
    <t xml:space="preserve">
              7.10. 
              Where are your chemists trained?
</t>
  </si>
  <si>
    <t>We hire trained chemist from reputed institutions.
Trainings -
- Classroom and Online modules 
- hands-on training
- Peer learning (Buddy)</t>
  </si>
  <si>
    <t xml:space="preserve">
              7.11. 
              From which universities do you predominantly recruit?
</t>
  </si>
  <si>
    <t xml:space="preserve">We recruit our entry-level chemists from reputable universities across India. The universities are selected based on reputation of their chemistry program. Students are selected based on a rigorous assessment process. Many of our staff members have graduated from institutions within India such as Fergusson College, Bangalore University, Mysore University, Delhi University, Calcutta University, Hyderabad Central University, and others. For senior positions, we conduct lateral hires, and many colleagues are recruited after their postdoctoral exposure at US and European universities. </t>
  </si>
  <si>
    <t xml:space="preserve">
              7.12. 
              What, if any, notable professors have your staff been trained by?
</t>
  </si>
  <si>
    <t>Dr Kaless, U. Hannover, Dr Kundig, U. Geneva, Dr Sharma, IICT, HYD, Dr Parker, Durham U, Dr Estour, IRCOF, Dr V. J. Hruby, U. Arizona</t>
  </si>
  <si>
    <t xml:space="preserve">
              7.13. 
              Please describe your resourcing strategy - how do you recruit, screen, acquire, and retain talent?
</t>
  </si>
  <si>
    <t xml:space="preserve">
              7.14. 
              How often does your company recruit new talent?
</t>
  </si>
  <si>
    <t xml:space="preserve">Based on anticipated hiring needs / ramp up request from client, recruitment starts. 
</t>
  </si>
  <si>
    <t xml:space="preserve">
              7.15. 
              What is your company's success rate in recruiting new talent and how is this calculated?
</t>
  </si>
  <si>
    <t>Lead time to resource: 17 days 
Service Level Agreement adherence: &gt;90%
Key Talent retention: &gt;90%</t>
  </si>
  <si>
    <t xml:space="preserve">
              7.16. 
              How many of your lab staff have international experience and please list what countries they have worked in.
</t>
  </si>
  <si>
    <t>We have 36 lab staff with international experience. Out of which most of them have worked in US and Europe.</t>
  </si>
  <si>
    <t xml:space="preserve">
              7.17. 
              What percentage of your lab staff employees' time is spent in the lab?
</t>
  </si>
  <si>
    <t>80% of the time will be spent in Lab and 20% time will be spent on other scientific activities.</t>
  </si>
  <si>
    <t xml:space="preserve">
              7.18. 
              What is the average level of your staff's project experience, in particular the senior chemists? (i.e. years of project work, types of chemistry, biological target classes worked on, etc.)
</t>
  </si>
  <si>
    <t xml:space="preserve">&gt;10 yr. 
Heterocycle, TPD, glues, peptide, lipid, oligosaccharide, phosphoramidite.
Kinase, proteases, GTPases, oncology, inflammation.
</t>
  </si>
  <si>
    <t xml:space="preserve">
              7.19. 
              What is your employee % annual turnover rate?
</t>
  </si>
  <si>
    <t xml:space="preserve">
              7.20. 
              What is your employee % annual turnover rate for staff at a group leader level or higher?
</t>
  </si>
  <si>
    <t xml:space="preserve">Attrition at group Leader level in medicinal chemistry: &lt;5%  </t>
  </si>
  <si>
    <t xml:space="preserve">
              7.21. 
              Please provide a detailed description of how your company calculates turnover and whether or not any type of turnover is excluded from the calculation.
</t>
  </si>
  <si>
    <t xml:space="preserve">
              7.22. 
              What is the average tenure of your employees with the company? Please provide for each resource type/level.
</t>
  </si>
  <si>
    <t>Entry level - 3 years
Specialist Level - 9.7 years
Leadership Level - 9.5 years</t>
  </si>
  <si>
    <t xml:space="preserve">
              7.23. 
              What efforts does your company make to increase employee retention?
</t>
  </si>
  <si>
    <t>Role based compensation philosophy and salary structure. 
Reward-Recognition process.
"You study, we Support" - higher education policy.</t>
  </si>
  <si>
    <t xml:space="preserve">8. Supply Chain Management </t>
  </si>
  <si>
    <t xml:space="preserve">
              8.1. 
              How does your company manage Supply Chain ( materials, reagents)? Please, include your current primary sources.
</t>
  </si>
  <si>
    <t>1. We have more than thousand partners onboarded into our system.
2. We use end to end digital P2P processes and the latest SAP version tool.
3. We have all the paid databases for sourcing and procurement. 
 We have well set processes in place. Based on the category of the material, we have different procedures of onboarding sources.
4. We have channels across the globe and can handle any logistics. 
5. Also, we hold 100,000 SKUs in stock all the time on our portal. Apart from these, we have a network connected across Dr. Reddy's Laboratories to access materials.</t>
  </si>
  <si>
    <t xml:space="preserve">
              8.2. 
              What policies have you implemented to manage SC?
</t>
  </si>
  <si>
    <t xml:space="preserve">
              8.3. 
              Vendor management Are you using scoring matrices, KPIs?  Describe your SRM (Supplier Relationship Management) look like?
</t>
  </si>
  <si>
    <t>We have well set vendor onboarding processes in place.  For R&amp;D, we have a techno-commercial evaluation mechanism wherein we qualify vendors on technical, commercial and financial aspects. 
For GMP and commercial supplies, we have specific vendor rating metrics.</t>
  </si>
  <si>
    <t xml:space="preserve">
              8.4. 
              Describe any additional products, services, new technologies/ equipment, etc. that your company intends to provide in the next 2-3 years.
</t>
  </si>
  <si>
    <t>We have plans to enhance our capabilities and services on multiple fronts. In FY-24-25, we will be expanding the lab space at our Hyderabad facility to accommodate an additional 70 chemists. We are also adding extra lab space for biologics, addressing various Biologics requirements, including GMP scale Protein and ADC synthesis. Additionally, we are augmenting our analytical capability by incorporating two SFCs and one NMR instruments.
In the Oligonucleotide space, we are working towards establishing a GMP scale manufacturing facility through collaboration with a partner. Furthermore, we are set to offer services in AI-ML, virtual library, and DEL space as part of our strategic plan.</t>
  </si>
  <si>
    <t xml:space="preserve">
              8.5. 
              Describe the trends and changes you see happening in this industry. Please define the key drivers, and what your company is doing to adapt and stay competitive.
</t>
  </si>
  <si>
    <t>After pandemic situation, the industry saw a movement towards digitalization. We were the first to implement Digital P2P and paper free processes starting from agreements to invoice processing and payments.
Furthermore, during the pandemic time, the CRO industry faced challenges with respect to availability of materials. To mitigate this risk, we consciously made agreements with most of the channel partners and service partners to ensure the continuous availability of raw materials. We have also established partnership with multiple sources in each area to minimize the supply chain risk.  To increase efficiency, we are establishing digital platforms in supply chain logistics division as well.</t>
  </si>
  <si>
    <t xml:space="preserve">
              8.6. 
              Describe how your company keeps at the forefront of industry trends, market dynamics, &amp; competition, on behalf of your customers.
</t>
  </si>
  <si>
    <t>9. Cost</t>
  </si>
  <si>
    <t xml:space="preserve">
              9.1. 
              Provide a summary of your FTE proposal; items and services included in your rates. (What is exactly included in FTE rate?) 
</t>
  </si>
  <si>
    <t>Cost of the following items are included in FTE rate: 
-Standard chemicals and consumables
-Chiral separation up to 25 mg output
-One room temperature shipment per week 
-Deployment of a project manager to co-ordinate operational aspects of the project
-Experimental procedures fully documented in notebooks 
-Dedicated share point on need basis</t>
  </si>
  <si>
    <t xml:space="preserve">
              9.2. 
              Define what analytical work and process safety work is included in FTE rate.
</t>
  </si>
  <si>
    <t>Analytical and safety related work are included as part of the FTE rate. Any special studies like XRD and large-scale chiral separation will be outsourced and billed at actuals.</t>
  </si>
  <si>
    <t xml:space="preserve">
              9.3. 
              What's excluded from FTE rate?
</t>
  </si>
  <si>
    <t xml:space="preserve">
              9.4. 
              Are managers or team leaders included in FTE fee (are they included as part of FTEs fee or is there an extra charge for that person?)
</t>
  </si>
  <si>
    <t>Managers or team leaders are part of FTE price.</t>
  </si>
  <si>
    <t xml:space="preserve">
              9.5. 
              Provide your rubric/ breakdown for Reagent and SFC Costs. Indicate clearly which materials are included and excluded.
</t>
  </si>
  <si>
    <t>10. Chemistry Capabilities in Detail</t>
  </si>
  <si>
    <t xml:space="preserve">
              10.1. 
              Do you have experience with small molecule, protein degraders, and peptides? Please provide specific examples of expertise and case studies if available.
</t>
  </si>
  <si>
    <t>10.2. Synthetic and Medicinal Chemistry Capability</t>
  </si>
  <si>
    <t>Please provide details on the capabilities that support both synthetic and medicinal chemistry. 
If the following capabilities are available, please provide details on expertise, instrumentation (including automation), and capacity for the following: </t>
  </si>
  <si>
    <t xml:space="preserve">
              10.2.1. 
              High Throughput Experimentation (HTE) and Catalyst Screening
</t>
  </si>
  <si>
    <t>We have established a dedicated facility for catalyst screening for various reactions, such as Suzuki coupling, Buchwald coupling, and amide bond formation. In any scheme, if the first few attempts do not work, we take the help of parallel reaction screening. Within 24 hours, we are able to screen 24-28 different catalysts in parallel and determine the best yield for a certain reaction. Once the best condition is established, we can proceed with the scale-up.
We do not have a high-throughput experimentation facility.</t>
  </si>
  <si>
    <t xml:space="preserve">
              10.2.2. 
              Parallel Medicinal Chemistry (PMC) libraries and High Throughput Purification (HTP)
</t>
  </si>
  <si>
    <t>We have a focused library synthesis capability at our Bangalore site. This lab is equipped for conducting parallel reactions, parallel workup, and performing parallel purification with Mass-directed HPLC. We have expert chemists who can conduct 16-24 reactions per day in a parallel fashion.</t>
  </si>
  <si>
    <t xml:space="preserve">
              10.2.3. 
              Analytical Chemistry and Purification; HPLC (normal and reverse phase), Super Critical Fluid (SFC), and other liquid purification methods
</t>
  </si>
  <si>
    <t>We have a centralized state-of-the-art analytical capability. All kinds of chiral and achiral purification, ranging from small to large scale (2 mg to 25 gm), can be performed at our dedicated SFC facility. This facility has three SFC machines with more than 15 different chiral stationary phases to separate almost all kinds of enantiomer and diastereomeric mixtures. Our centralized reverse-phase HPLC facility features more than 15 HPLC machines from Agilent, Shimadzu, and Waters. Most of our final compounds are purified with over 95% purity using the reverse-phase HPLC facility. Every lab is equipped with MPLC, which is used for purifying intermediates. The general practice is to purify every intermediate to above 80% purity before proceeding to the next steps.</t>
  </si>
  <si>
    <t xml:space="preserve">
              10.2.4. 
              Peptide Chemistry and Unnatural Amino Acid (UAA) building block inventories
</t>
  </si>
  <si>
    <t xml:space="preserve">
              10.2.5. 
              Flow Chemistry, Photochemistry, and Electrochemistry
</t>
  </si>
  <si>
    <t xml:space="preserve">
              10.3. 
              Describe how state of the art chemistry is routinely utilized by chemistry teams to solve problems
</t>
  </si>
  <si>
    <t xml:space="preserve">
              10.4. 
              Describe examples of integrating human dose predictions into the medicinal chemistry optimization strategies
</t>
  </si>
  <si>
    <t>For medicinal chemistry optimization in the lead and candidate nomination stage, we keep an eye on the human dose prediction of the compound. Algorithms for human dose predictions are developed based on in-vitro in-vivo correlations (IVIVC) that integrate metabolism/clearance patterns across multiple species and matrices. This process takes into account the free fraction and distribution, wherever applicable.
Drug-induced liver injury (DILI) poses a significant concern arising from reactive metabolites. There is a correlation between a higher dose requirement and DILI, so our aim is to develop New Chemical Entities (NCE) with high potency to minimize the required dose per kilogram of body weight.
Additionally, if the project requires an intravenous formulation, we ensure that aqueous solubility is at the forefront of our medicinal chemistry efforts. Throughout the candidate selection stage, considerations such as human dose requirements are ingrained in the design-make-test cycle.</t>
  </si>
  <si>
    <t xml:space="preserve">
              10.5. 
              Does the medicinal chemistry team use machine learning tools and predictive software to design molecules? If so, please provide specific examples and/or case studies.
</t>
  </si>
  <si>
    <t>Medicinal chemistry activity is supported by CADD and informatics team. Broadly CADD and informatics team provide support to various modalities namely small molecule, peptides, target protein degradation, siRNA and Oligonucleotide designs. CADD and Informatics infrastructure in equipped with commercial (Schrodinger, Molsoft, Nanome and Cresset) and opensource (GROMACS, OenMM, KNIME, Datawarrior etc.) software. Team has access to high end workstation with GPU and access to cloud for computation. Range of tools and techniques including machine learning methods are used to support discovery projects. Methods/techniques used for compound design and optimizations across modalities are:
Small molecule: 
•	Multi-Parameter Optimization
•	De Novo Design/Generative Models 
•	Active Learning
•	Multibillion Virtual Screening
•	MD Simulations, MM-GBSA, FEP
•	Residence time calculations
Peptide: 
•	Structure Prediction
•	Protein-Protein Interactions (PPIs)
•	Protein Hotspot Prediction 
•	Generative Peptide Design
•	Peptide Property Optimization
•	Mutational scanning
•	MD Simulations, MM-GBSA, FEP
TPD:
•	PROTAC and molecular glue design
•	Ternary complex prediction
•	MD Simulations, MM-GBSA, FEP
•	Potency optimization
•	DNN based Protein Degradation Predictions
In Silico ADME:
•	ML based ADMETox prediction
•	Profile QSAR (pQSAR)
•	ADMET property Optimization</t>
  </si>
  <si>
    <t xml:space="preserve">
              10.6. 
              What informatics platforms are used for multiparameter drug design, data integration, and visualization?
</t>
  </si>
  <si>
    <t>For data integration and SAR understanding, we utilize databases such as CDD Vault, provided by our clients. Additionally, we have an in-house solution developed with the assistance of a local vendor for compound management and data integration. In addition, we leverage open-source software such as GROMACS, OpenMM, KNIME, Datawarrior, etc.</t>
  </si>
  <si>
    <t xml:space="preserve">
              10.7. 
              Describe the infrastructure available to support chemistry programs? Please include specific details for Data Integrity &amp; Storage, IP protection and security, Electronic Lab Notebook (ELN), and compound logistics
</t>
  </si>
  <si>
    <t xml:space="preserve">
              10.8. 
              Describe specific examples of reducing the Design-Make-Test-Analyze (DMTA) cycle times for chemistry collaborations
</t>
  </si>
  <si>
    <t>In the Design stage, we create, capture, and track all design compounds, gaining a comprehensive view of these designs along with any associated hypotheses or challenges. Following internal discussions, designs are shared with collaborators. Within 1-2 days, decisions regarding the design, synthesis, and test cycle are made.
Once the compounds are synthesized and registered, they undergo a testing cycle.
Finally, at the end of the DMTA cycle, we analyze the findings and leverage this knowledge to shape the next round of compound design. This iterative process aims to reduce the number of cycles required to identify the perfect drug candidate. We employ standard tools to streamline the DMTA cycle, ensuring it takes no longer than two weeks.</t>
  </si>
  <si>
    <t xml:space="preserve">
              10.9. 
              Describe how performance is measured in terms of productivity and efficiency
</t>
  </si>
  <si>
    <t>We conduct a weekly productivity metrics measurement, encompassing a chemist-wise deliverables assessment, which includes the number of final compounds shipped, the number of reactions done, and the number of successful steps carried out. 
our standard productivity measurement criteria for every chemist are 44 reactions, 18-20 successful steps, 3-4 final compounds/ month.</t>
  </si>
  <si>
    <t xml:space="preserve">
              10.10. 
              Please share the Business Continuity Plans that are in place to maintain workforce and supply chains in the event of a global public health crisis or geopolitical event
</t>
  </si>
  <si>
    <t>Aurigene has implemented effective measures for business continuity in both the workforce and supply chain, drawing lessons from recent global health crises. Here's a concise summary of our practices for future Business Continuity Plans (BCP):
Workforce Continuity:
1. Remote Work Infrastructure:  All non-lab roles have laptops and security software for working remotely.
2. Employee Communication:
   - Utilizing Teams, WhatsApp, and Google Meet ensures efficient communication during crises.
3. Cross-Training:
   - Chemists on the same project share information to each other, reducing dependence on specific individuals for seamless project delivery.
4. Flexible Work Policies:
   - Labs operate flexibly from 6 AM to 10 PM, allowing less people at workplace at any given time. Supply Chain Continuity:
1. Diversification of Suppliers:
   - We are not dependent on specific suppliers from a particular country. Currently, we source 40-50% of our chemicals from various suppliers in India. Our efficient supply chain management extends to sourcing chemicals from the USA, Europe, and China. In the event of restrictions, we can quickly focus on a certain geography for all our chemical needs.
2. Stock and Inventory:
   - We maintain a robust inventory of chemicals in two separate locations around 600 KM apart in two Indian cities. Chemicals at both sites are accessible to chemists from both locations. In any eventuality, we can operate from one location for months while bringing the second location back into action.</t>
  </si>
  <si>
    <t xml:space="preserve">
              10.11. 
              What differentiates your Synthetic and Medicinal Chemistry offering from the competition?
</t>
  </si>
  <si>
    <t>Below are a few key differentiators for Aurigene's medicinal chemistry offerings:
1. Qualifications and Experience of the Team: All our chemists hold M.Sc degrees, and the average industrial experience of our team is 7.2 years.
2. Innovative Technologies: Well-versed in multiple modalities such as Peptide, Oligonucleotide, LNP, and ADC. Experience includes working in various chemistries like Nucleotide, Phosphoramidite, Carbomimetics, and Peptidomimetics. Exposure to various drug discovery targets.
3. Customization/ Flexibility: Aurigene offers personalized solutions tailored to the specific needs and goals of each project. For example, high-potent labs or scale-up R &amp; D may be required for certain kinds of work, and Aurigene readily offers those solutions.
4. Collaborative Approach: Many clients have been working with us for more than a decade due to our collaborative working relationship, ensuring a better understanding and achievement of project objectives.
5. Comprehensive Services: Aurigene provides a wide range of services covering various aspects of medicinal chemistry, from hit identification to lead optimization and beyond. Our access to GMP facilities puts us in a unique position to offer end-to-end services up to commercial products.
6. Track Record of Success: Aurigene successfully worked on 75 integrated discovery projects and filing 15 INDs.
7. Regulatory Compliance: Aurigene ensures that its medicinal chemistry services align with regulatory standards and guidelines. In our many years of operation, we have never received any notice from any authority regarding regulatory violations.
8. Focus on Safety and Sustainability: Aurigene is committed to safety and sustainable practices in drug development. We have ceased all practices that could compromise the safety of our people or the environment.
9. We provide customised services as standalone and integrated FTE arrangement. Based on client/ project needs, we provide standard rate card for few specific studies in FFS arrangement.</t>
  </si>
  <si>
    <t xml:space="preserve">
              10.12. 
              What's the ratio of analytical support you have for x# of chemists ( chemistry teams)?
</t>
  </si>
  <si>
    <t>Bid Details</t>
  </si>
  <si>
    <t>ID</t>
  </si>
  <si>
    <t>FTE Tiers ( #s)</t>
  </si>
  <si>
    <t>Year 1 Price per FTE for 12 months (USD)</t>
  </si>
  <si>
    <t>Year 2 Price per FTE for 12 months (USD)</t>
  </si>
  <si>
    <t>Year 3 Price per FTE for 12 months (USD)</t>
  </si>
  <si>
    <t>Extended Price (USD)</t>
  </si>
  <si>
    <t>Level of Scientist: education and years of experience</t>
  </si>
  <si>
    <t>Notes</t>
  </si>
  <si>
    <t>Experience Level 1 (High)</t>
  </si>
  <si>
    <t>up to 10</t>
  </si>
  <si>
    <t>Aurigene reserves the right to revisit the FTE rates annually which shall be based on consumer price index of India and INR-USD forex rate correlation. For the purposes of model here, we have considered a 4% net increase for year 2 and 3.</t>
  </si>
  <si>
    <t>10-25</t>
  </si>
  <si>
    <t>26-50</t>
  </si>
  <si>
    <t>51-100</t>
  </si>
  <si>
    <t>101-150</t>
  </si>
  <si>
    <t>151-200</t>
  </si>
  <si>
    <t>Experience Level 2 (Mid)</t>
  </si>
  <si>
    <t>Experience Level 3 (Low)</t>
  </si>
  <si>
    <t>rfp_id</t>
  </si>
  <si>
    <t>bid_id</t>
  </si>
  <si>
    <t>current_time</t>
  </si>
  <si>
    <t>2023-12-08 03:12:07 UTC</t>
  </si>
  <si>
    <t>tab_mapping</t>
  </si>
  <si>
    <t>{"Instructions":"Instructions","Terms of Participation":"Terms of Participation","Message Center":"Message Center","Extra Data":"Extra Data","Questionnaire":"Questionnaire","Details":"Bid Details"}</t>
  </si>
  <si>
    <t>No, but we do respond to the CDP investor questionnaire (please write company name in comments)</t>
  </si>
  <si>
    <t>No, we do not currently report any data to CDP (please detail if emissions data is reported elsewhere)</t>
  </si>
  <si>
    <t>No, we are willing to undertake and EcoVadis assessment</t>
  </si>
  <si>
    <t>No, we have an alternative 3rd party assessment for our company (please detail in comments and attach)</t>
  </si>
  <si>
    <t>No, we are not willing to undertake an EcoVadis assessment</t>
  </si>
  <si>
    <t>No, we do not make a formal human right commitment and we cannot provide evidence on how we implement this commitment in our operations and business relationships.</t>
  </si>
  <si>
    <t>Large business</t>
  </si>
  <si>
    <t>Small business</t>
  </si>
  <si>
    <t>Black/African American</t>
  </si>
  <si>
    <t>Asian-Indian American</t>
  </si>
  <si>
    <t>Asian-Pacific American</t>
  </si>
  <si>
    <t>Hispanic American</t>
  </si>
  <si>
    <t>Native American</t>
  </si>
  <si>
    <t>Other</t>
  </si>
  <si>
    <t>Private</t>
  </si>
  <si>
    <t>Small Disadvantaged Business (SDB)</t>
  </si>
  <si>
    <t>8(a)</t>
  </si>
  <si>
    <t>HUBZone</t>
  </si>
  <si>
    <t xml:space="preserve">APSL is a part of EcoVadis assessment, which is done at the group level in the parent company, Dr. Reddy's Laboratories Limited.
</t>
  </si>
  <si>
    <t xml:space="preserve">we are certified with ISO 14001:2015 (Environmental management systems) in the year 2023. 
Annual report published for the financial year 2023 has all details of certifications/ memberships related to environmental, human rights, social and ethical practices. Please refer below link for annual report
https://www.drreddys.com/cms/cms/sites/default/files/2023-07/Dr.%20Reddy%E2%80%99s%20Integrated%20Annual%20Report%202022-23_0.pdf
</t>
  </si>
  <si>
    <t>APSL has a dedicated Quality Assurance team which has formalized a well-defined quality assurance program to ensures providing sustainable and high-quality standard of services / goods.  
1. Conduct of facility audits:
To include audit of training and evaluation, equipment qualification/calibration/maintenance, environmental monitoring records, equipment usage records etc.
2. Study specific audits: Auditing in-life phase, raw data audit and report audit for GLP studies. 
3. Implementing in-house SOPs:
To Non-GLP studies which are intended for Regulatory submission. For such studies, Study plans / protocols are prepared and followed; equipment are calibrated, trained personnel are involved in the study. 
QA audits are conducted as per in-house SOPs based on the directives of management.
Additionally, quality control checks are part of system to deliver quality data to client.</t>
  </si>
  <si>
    <t xml:space="preserve">We have established SOP on Disaster Management and Business continuity on various aspects. It defines the level 1 and 2 types of categorized disaster such as fire, theft, floods, cyclone, power shut down, server breakdown, computer breakdown, network breakdown, software breakdown, virus, spam, hacking, infection to animal colonies etc.
It broadly covers all the aspects on how to combat disaster and ensure business continuity. </t>
  </si>
  <si>
    <t>Below listed SOPs categorize the disasters based on the type and level of threats.  Also these SOPs describe disaster recovery team and its responsibilities, preventive measures, immediate course of action, recovery and restoration of facility/ services to ensure the uninterrupted supply of goods and services to clients.  Disaster Management and Business Continuity Plan (SOP-GLP-MG-0014), Disaster Management of ELN (SOP-GLB-IT-0012), Document Management System (SOP-GLB-QA-0001), Change Management system (SOP-GLB-QA-0003), Handling of Incidents (SOP-GLB-QA-0004). 
Supply chain management: We have multiple vendors from different geographies and for scale up batches, we keep at least two sources. In logistics, we always mitigate the risk with multiple channel partners.</t>
  </si>
  <si>
    <t xml:space="preserve">We will provide dedicated FTEs, Team Lead and project manager once we receive project confirmation. 
We can deploy up to 25 chemistry FTEs by re-deploying in-house resources to start the project immediately. We provide dedicated chemistry labs and analytical support to JNJ project. To start a program with &gt;25 FTEs , we will require 2-3 months for recruitment and training. Upon completion of training, chemists will be allowed to initiate the work in the lab. </t>
  </si>
  <si>
    <t>The biggest challenges we face during implementation include the breakdown of critical instruments and the scarcity of certain raw materials or consumables. Other potential challenge is the dependency on critical personnel and their unanticipated prolonged absence due to unexpected circumstances. To circumvent these challenges, we have put mitigation strategies in place in addition to finding alternative ways to deliver high quality solutions on time.</t>
  </si>
  <si>
    <t>Aurigene has always strived to be a leading solution provider in terms of innovation and acceleration of novel drug discovery research. 
New Modalities: 
PROTAC, DUBTAC, molecular glues, riboTACS, ATTEC and AUTAC, peptides, peptide-drug conjugation, Oligo-drug conjugation, ADC, high-potent molecules, photoredox chemistry, electro organic chemistry, LNP, phosphoramidites and Oligonucleotides. 
Available technologies: 
Reaxys, Scifinder, Synthia, reaction screening platform, SFC for chiral separation and purification, MPLC in all labs, Mass directed purification.</t>
  </si>
  <si>
    <t xml:space="preserve">Currently we have CADD division who provide support for designing target compounds. we are in the process of building our own AI-assisted drug discovery platform to support discovery projects.   
</t>
  </si>
  <si>
    <t>Aurigene Pharmaceutical Services Ltd (APSL) is a stepdown subsidiary of Dr. Reddy's Laboratories Ltd</t>
  </si>
  <si>
    <t>No acquisition occurred in the past 2-3 years.</t>
  </si>
  <si>
    <t>Chemistry - 355, Biology - 79, NBE Services - 37, Others -183 as on 31 Dec 2023. Expected to increase up to 15% lab staffs in each service by Mar 2024.</t>
  </si>
  <si>
    <t>100% (We have only full-time employees for client projects).</t>
  </si>
  <si>
    <t>1:9 (Ph D to M Sc). We do not have any bachelor’s degree staff in our lab.</t>
  </si>
  <si>
    <t>M Sc + 10 years of Experience has been considered as PhD equivalent</t>
  </si>
  <si>
    <t>Annual headcount planning process based on business visibility in a starting point of our recruitment strategy.
Dynamic resourcing model has been created keeping in view various business factors and is reviewed with CFT (Cross functional Team) comprising of Operations, Business development, Finance and HR teams. 
We have set up a Biweekly review mechanism to exercise tight control over resource availability and do right estimation of resources to meet business requirements. 
Given that this a niche industry and talent availability is a challenge, we have worked out a model wherein employees across different experience ranges starting from freshers up to 10 years of experience are deployed at the bench level. 
Campus drives, Walk-in drives, employee referrals and online job portals are key sources of hiring.
We carry out Proactive hiring to ensure timely availability of resources.
The company also has a process of identifying list of key talent annually and ring fencing them through various means. Business leaders along with HR teams engage with the talent and use tools like higher education, rewards, differentiated compensation, progression, etc. to retain them.</t>
  </si>
  <si>
    <t>YTD Attrition: 20% as against the current industry trend of &gt;25% at bench chemist level in the country.</t>
  </si>
  <si>
    <t>Number of employees left / Average number of employees present till date for the selected period. No exclusion in turnover calculation.</t>
  </si>
  <si>
    <t>For reducing Supply Chain TAT,  
1. We have a well-set purchase manual in place. 
2. We have governance mechanisms to handle the P2P process
3. We also have system hygiene tracking mechanism. 
4. We adhere to local government regulations across the globe.
We follow as per the purchase manual and is in line with our parent company. Apart from this, we also have guideline documents available like well-set quality SOPs (plant specific) and qualification procedures.</t>
  </si>
  <si>
    <t xml:space="preserve">Our Supply Chain is completely digitalized and there is no manual intervention. Based on the active analysis of geo-political environments, we always ensure to work with sustainable partners from different geographies for de-risking the material supplies.
</t>
  </si>
  <si>
    <t xml:space="preserve">Aurigene has been operating in the small molecule and peptide space for over two decades. Aurigene successfully worked on 75 integrated discovery projects and filed 15 INDs in small molecule and peptide modalities. 
Additionally, we have been involved in various targeted protein degradation space (PROTAC, DUBTAC, molecular glues, RIBOTAC, ATTEC and AUTAC) for almost a decade. 
Our capabilities in computer-aided drug design (CADD), chemistry, and analytics are well-equipped for the design, synthesis, purification, and testing of protein degraders. 
Over the years, we have gained a deep understanding of the intricacies involved in creating degraders and have successfully run integrated discovery projects in the degrader space (three separate slides attached for the case study in each space). </t>
  </si>
  <si>
    <t>We've maintained a peptide lab for over 20 years, and many of our chemists in this lab have been part of Aurigene for more than a decade. With our cumulative experience and a state-of-the-art facility, we can address any peptide chemistry requirement, spanning from research to manufacturing scale. In our Bangalore facility, we employ both solid-phase and solution-phase techniques, accommodating scales from 20 mg to 5 g of pure peptide. We use manual methods up to 30 mmol scale and we also have multiple CEM Automated Microwave Peptide Synthesizers. 
Additional dedicated equipment for peptide facility includes :
- Lyophilizer 
- Analytical HPLCs 
- Preparative HPLCs  
- LC-MS with Single Quad Mass Spectrometer
Our domain expertise covers various peptide types up to 78 amino acids linear, cyclic and bicyclic peptides at 20-50 mg scale. Further to this, we perform N-alkylated amino acids, D-amino acids, depsipeptides, and peptidomimetics such as lactam, stapled, di-sulfide, -CH2 bridged disulfide, thioether, head-to-tail, side chain to side chain, side chain to head/tail, and combinations.
We excel in conjugation and derivatization, encompassing Maleimide, lactam, click, ester, PEG, lipid, DOTA, oligonucleotides, bio-isosteres, and fluorescent probes. Our expertise extends to backbone modification, including N-methylated amino acids, multiple N-methylated amino acids containing peptides, optimized coupling to N-methylated amino acids, global deprotection at lower temperatures, depsipeptides, head-to-tail cyclization, and Lys-Valinomycin.
Furthermore, we specialize in synthesizing small molecules and peptidomimetics that antagonize protein-protein interfaces. We maintain a stock of all natural and unnatural amino acids regularly used in peptide chemistry. Upon receiving requirements, we can initiate projects immediately without waiting for raw material procurement.</t>
  </si>
  <si>
    <t xml:space="preserve">We have a dedicated flow chemistry facility at our manufacturing labs. In our R&amp;D facility, we have multiple photo reactors and electro-syn reactors. Over the last 10 years, we have been working on photo redox reactions and have gained experience in conducting reactions using different kinds of catalysts and various length of visible light. </t>
  </si>
  <si>
    <t>Aurigene boasts a state-of-the-art chemistry facility. We have 35 Modular labs with 9-10 fume hood in each lab. Each lab is equipped with a normal-phase MPLC, four rotary evaporators, ample reaction vessels, and multiple heating blocks for parallel reactions. Chemists have access to a walk-in LCMS, reverse-phase HPLC, MPLC, mass-directed HPLC, robotic arm microwave synthesizers, Parr Shaker, Auto Claves, Ozonator. Reaction and catalyst screening facility is routinely used wherever required. Chemists can quickly understand the reaction progress by LCMS, separate compounds rapidly by mass-directed HPLC, and utilize the parallel reaction screening facility when optimization is needed. With access to a Photoredox reactor, chemists are able to conduct reactions that may be difficult in a conventional setup. Every chemist has access to Scifinder and Reaxsys, enabling them to independently design and troubleshoot their schemes.</t>
  </si>
  <si>
    <t>Aurigene will ensure that all Intellectual Property (IP) generated during the term of this project is transferred to JNJ, who will exclusively own all data generated for the project(s). We recognize the value of IP for its collaborators and takes necessary measures (exemplified below) to secure it. 
We have standard practices in place for Data integrity and follow the ALCOA+ principles for implementing best practices for data documentation and maintaining data integrity.
To maintain the confidentiality of client data, Aurigene has appropriate systems and processes in place.
Aurigene is ISO27001 certified for ISMS (Information Security Management System) for data and cyber security. We communicate though secure channel using SSL/TLS protocols and secure file transfer and other security controls are there in line with ISO 27001 security control.
Best in class security tools like Zscaler and Crowd strike are used for security at the end user level. 
Data is backed up daily incrementally followed by full data backup on a weekly basis.  
We have Secure SharePoint and File server for storing, project/experiment/customer wise data separation. 
We have project drive/ file server for specific project with access provided only to the project team members.
We have different tools for data management, for documents and workflow.
All servers are in dedicated server room with authorized and limited access - Physical security, LAN virtual segregation VLANs, Access control and role base access are in place for logical security.
AD and Azure authentication are in place. Onboarding and offboarding process followed. Access to the information is provided after following the defined approval process. And also access reviews are done at regular intervals.
We provide access from external network by using VPN only and to protect sensitive information.
Share folder, E-Rooms, Egnyte, Box etc. and customer's own platforms. We do have our own SharePoint, which can be enabled per collaborator requirements.
We use ELN (Perkin Elmer’s) internally for all projects, but our biggest collaborators provide their own ELN (Signals and Perkin Elmer etc)
We also have an internal audit team (GLP-QA and NON GLP – IPM) to performs periodic audits to ensure data compliance, and maintenance of data quality and integrity.
Compound logistics are managed by a dedicated team. It will be spearheaded by the project manager, who will be the single point of contact for compound logistics.</t>
  </si>
  <si>
    <t xml:space="preserve">Below is the ratio of analytical instruments    
LCMS (1:35); HPLC (1:50); Preparative HPLC (1: 15); NMR (1:80); SFC (1:115); Mass directed purification (1:100); Adequate level of other equipment GC, DSC, FTIR, KF, SOR etc. </t>
  </si>
  <si>
    <t>Each project shall have a team composition of billable bench scientists in a ratio of 1:5 [Phd/Post Doc (1): MS (5)], distinguishing between PhD/Postdoc professionals with a minimum of 2-3 years of relevant industrial experience and MS professionals with 8-10 years of pertinent industrial expertise. The team will be supervised by a seasoned PhD/Postdoc leader boasting 8-10 years of experience. It's important to note that such leaders will not be billed to J&amp;J as per our policy</t>
  </si>
  <si>
    <t>Cost of the following items are excluded in FTE rate:
-All project specific reagents, columns, chemicals, and consumables.		
-Scale up and purification of target above 1 g.
-Licensing cost for proprietary reagents, kits and animals. 
-Shipment of one per week is included in the FTE cost and any additional shipments will be charged.	
-Dry ice / temperature-controlled/data logger (special) shipment.
-Customs duty and clearance charges for chemicals shipped by client.
-Any outsourced study cost will be billed at actuals.
- Any applicable taxes
-All pass-through cost will have an administrative fee of 10%.
-Aurigene reserves the right to revisit the FTE rates annually which shall be based on consumer price index of India and INR-USD forex rate correlation. For the purposes of model here, we have considered a 4% net increase for year 2 and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</si>
</sst>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16" x14ac:knownFonts="1">
    <font>
      <sz val="11"/>
      <name val="Arial"/>
      <family val="1"/>
    </font>
    <font>
      <b/>
      <sz val="16"/>
      <name val="Calibri"/>
      <family val="1"/>
    </font>
    <font>
      <b/>
      <sz val="14"/>
      <name val="Calibri"/>
      <family val="1"/>
    </font>
    <font>
      <sz val="14"/>
      <name val="Calibri"/>
      <family val="1"/>
    </font>
    <font>
      <sz val="22"/>
      <color rgb="FFFFFFFF"/>
      <name val="Calibri"/>
      <family val="1"/>
    </font>
    <font>
      <u/>
      <sz val="14"/>
      <color rgb="FF0000FF"/>
      <name val="Calibri"/>
      <family val="1"/>
    </font>
    <font>
      <sz val="11"/>
      <name val="Calibri"/>
      <family val="1"/>
    </font>
    <font>
      <u/>
      <sz val="11"/>
      <name val="Calibri"/>
      <family val="1"/>
    </font>
    <font>
      <sz val="16"/>
      <color rgb="FFFFFFFF"/>
      <name val="Calibri"/>
      <family val="1"/>
    </font>
    <font>
      <sz val="14"/>
      <color rgb="FF333333"/>
      <name val="Calibri"/>
      <family val="1"/>
    </font>
    <font>
      <sz val="12"/>
      <name val="Calibri"/>
      <family val="2"/>
      <charset val="1"/>
    </font>
    <font>
      <sz val="12"/>
      <color rgb="FF000000"/>
      <name val="Calibri"/>
      <family val="2"/>
      <charset val="1"/>
    </font>
    <font>
      <sz val="14"/>
      <name val="Calibri"/>
      <family val="2"/>
    </font>
    <font>
      <sz val="14"/>
      <color rgb="FF000000"/>
      <name val="Calibri"/>
      <family val="2"/>
    </font>
    <font>
      <sz val="14"/>
      <color rgb="FF000000"/>
      <name val="Calibri"/>
      <family val="1"/>
    </font>
    <font>
      <sz val="14"/>
      <color rgb="FF000000"/>
      <name val="Calibri"/>
      <charset val="1"/>
    </font>
  </fonts>
  <fills count="7">
    <fill>
      <patternFill patternType="none"/>
    </fill>
    <fill>
      <patternFill patternType="gray125"/>
    </fill>
    <fill>
      <patternFill patternType="solid">
        <fgColor rgb="FF0875E1"/>
      </patternFill>
    </fill>
    <fill>
      <patternFill patternType="solid">
        <fgColor rgb="FFEBEBEB"/>
      </patternFill>
    </fill>
    <fill>
      <patternFill patternType="solid">
        <fgColor rgb="FFDFEBF7"/>
      </patternFill>
    </fill>
    <fill>
      <patternFill patternType="solid">
        <fgColor rgb="FFDFEBF7"/>
        <bgColor indexed="64"/>
      </patternFill>
    </fill>
    <fill>
      <patternFill patternType="solid">
        <fgColor rgb="FFDFEBF7"/>
        <bgColor rgb="FF000000"/>
      </patternFill>
    </fill>
  </fills>
  <borders count="9">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s>
  <cellStyleXfs count="1">
    <xf numFmtId="0" fontId="0" fillId="0" borderId="0"/>
  </cellStyleXfs>
  <cellXfs count="39">
    <xf numFmtId="0" fontId="0" fillId="0" borderId="0" xfId="0"/>
    <xf numFmtId="0" fontId="1" fillId="0" borderId="0" xfId="0" applyFont="1"/>
    <xf numFmtId="0" fontId="2" fillId="0" borderId="0" xfId="0" applyFont="1"/>
    <xf numFmtId="0" fontId="3" fillId="0" borderId="0" xfId="0" applyFont="1"/>
    <xf numFmtId="0" fontId="5" fillId="0" borderId="0" xfId="0" applyFont="1"/>
    <xf numFmtId="0" fontId="6" fillId="0" borderId="0" xfId="0" applyFont="1" applyAlignment="1">
      <alignment vertical="center" wrapText="1"/>
    </xf>
    <xf numFmtId="0" fontId="7" fillId="0" borderId="0" xfId="0" applyFont="1" applyAlignment="1">
      <alignment vertical="center" wrapText="1"/>
    </xf>
    <xf numFmtId="0" fontId="9" fillId="0" borderId="0" xfId="0" applyFont="1"/>
    <xf numFmtId="0" fontId="4" fillId="2" borderId="0" xfId="0" applyFont="1" applyFill="1"/>
    <xf numFmtId="0" fontId="3" fillId="4" borderId="3" xfId="0" applyFont="1" applyFill="1" applyBorder="1" applyProtection="1">
      <protection locked="0"/>
    </xf>
    <xf numFmtId="0" fontId="3" fillId="0" borderId="0" xfId="0" applyFont="1" applyAlignment="1">
      <alignment vertical="top" wrapText="1"/>
    </xf>
    <xf numFmtId="49" fontId="3" fillId="4" borderId="3" xfId="0" applyNumberFormat="1" applyFont="1" applyFill="1" applyBorder="1" applyAlignment="1" applyProtection="1">
      <alignment vertical="center" wrapText="1"/>
      <protection locked="0"/>
    </xf>
    <xf numFmtId="0" fontId="6" fillId="0" borderId="1" xfId="0" applyFont="1" applyBorder="1" applyAlignment="1">
      <alignment vertical="center" wrapText="1"/>
    </xf>
    <xf numFmtId="0" fontId="6" fillId="0" borderId="2" xfId="0" applyFont="1" applyBorder="1" applyAlignment="1">
      <alignment vertical="center" wrapText="1"/>
    </xf>
    <xf numFmtId="0" fontId="3" fillId="4" borderId="3" xfId="0" applyFont="1" applyFill="1" applyBorder="1" applyAlignment="1" applyProtection="1">
      <alignment horizontal="center" vertical="center"/>
      <protection locked="0"/>
    </xf>
    <xf numFmtId="0" fontId="6" fillId="0" borderId="3" xfId="0" applyFont="1" applyBorder="1" applyAlignment="1">
      <alignment vertical="center" wrapText="1"/>
    </xf>
    <xf numFmtId="0" fontId="8" fillId="2" borderId="0" xfId="0" applyFont="1" applyFill="1" applyAlignment="1">
      <alignment vertical="center" wrapText="1"/>
    </xf>
    <xf numFmtId="0" fontId="3" fillId="3" borderId="3" xfId="0" applyFont="1" applyFill="1" applyBorder="1" applyAlignment="1">
      <alignment wrapText="1"/>
    </xf>
    <xf numFmtId="164" fontId="3" fillId="4" borderId="3" xfId="0" applyNumberFormat="1" applyFont="1" applyFill="1" applyBorder="1" applyProtection="1">
      <protection locked="0"/>
    </xf>
    <xf numFmtId="164" fontId="3" fillId="3" borderId="3" xfId="0" applyNumberFormat="1" applyFont="1" applyFill="1" applyBorder="1" applyAlignment="1">
      <alignment wrapText="1"/>
    </xf>
    <xf numFmtId="49" fontId="3" fillId="4" borderId="3" xfId="0" applyNumberFormat="1" applyFont="1" applyFill="1" applyBorder="1" applyProtection="1">
      <protection locked="0"/>
    </xf>
    <xf numFmtId="49" fontId="10" fillId="4" borderId="3" xfId="0" applyNumberFormat="1" applyFont="1" applyFill="1" applyBorder="1" applyAlignment="1" applyProtection="1">
      <alignment vertical="center" wrapText="1"/>
      <protection locked="0"/>
    </xf>
    <xf numFmtId="49" fontId="11" fillId="5" borderId="4" xfId="0" applyNumberFormat="1" applyFont="1" applyFill="1" applyBorder="1" applyAlignment="1" applyProtection="1">
      <alignment vertical="center" wrapText="1"/>
      <protection locked="0"/>
    </xf>
    <xf numFmtId="49" fontId="12" fillId="6" borderId="5" xfId="0" applyNumberFormat="1" applyFont="1" applyFill="1" applyBorder="1" applyAlignment="1" applyProtection="1">
      <alignment vertical="center" wrapText="1"/>
      <protection locked="0"/>
    </xf>
    <xf numFmtId="49" fontId="13" fillId="6" borderId="4" xfId="0" applyNumberFormat="1" applyFont="1" applyFill="1" applyBorder="1" applyAlignment="1" applyProtection="1">
      <alignment vertical="center" wrapText="1"/>
      <protection locked="0"/>
    </xf>
    <xf numFmtId="49" fontId="3" fillId="6" borderId="3" xfId="0" applyNumberFormat="1" applyFont="1" applyFill="1" applyBorder="1" applyAlignment="1" applyProtection="1">
      <alignment vertical="center" wrapText="1"/>
      <protection locked="0"/>
    </xf>
    <xf numFmtId="49" fontId="3" fillId="6" borderId="6" xfId="0" applyNumberFormat="1" applyFont="1" applyFill="1" applyBorder="1" applyAlignment="1" applyProtection="1">
      <alignment vertical="center" wrapText="1"/>
      <protection locked="0"/>
    </xf>
    <xf numFmtId="49" fontId="12" fillId="6" borderId="4" xfId="0" applyNumberFormat="1" applyFont="1" applyFill="1" applyBorder="1" applyAlignment="1" applyProtection="1">
      <alignment vertical="center" wrapText="1"/>
      <protection locked="0"/>
    </xf>
    <xf numFmtId="49" fontId="14" fillId="6" borderId="4" xfId="0" applyNumberFormat="1" applyFont="1" applyFill="1" applyBorder="1" applyAlignment="1" applyProtection="1">
      <alignment vertical="center" wrapText="1"/>
      <protection locked="0"/>
    </xf>
    <xf numFmtId="49" fontId="3" fillId="6" borderId="4" xfId="0" applyNumberFormat="1" applyFont="1" applyFill="1" applyBorder="1" applyAlignment="1" applyProtection="1">
      <alignment vertical="center" wrapText="1"/>
      <protection locked="0"/>
    </xf>
    <xf numFmtId="164" fontId="3" fillId="6" borderId="3" xfId="0" applyNumberFormat="1" applyFont="1" applyFill="1" applyBorder="1" applyProtection="1">
      <protection locked="0"/>
    </xf>
    <xf numFmtId="164" fontId="3" fillId="6" borderId="7" xfId="0" applyNumberFormat="1" applyFont="1" applyFill="1" applyBorder="1" applyProtection="1">
      <protection locked="0"/>
    </xf>
    <xf numFmtId="164" fontId="3" fillId="6" borderId="6" xfId="0" applyNumberFormat="1" applyFont="1" applyFill="1" applyBorder="1" applyProtection="1">
      <protection locked="0"/>
    </xf>
    <xf numFmtId="164" fontId="3" fillId="6" borderId="8" xfId="0" applyNumberFormat="1" applyFont="1" applyFill="1" applyBorder="1" applyProtection="1">
      <protection locked="0"/>
    </xf>
    <xf numFmtId="49" fontId="3" fillId="6" borderId="3" xfId="0" applyNumberFormat="1" applyFont="1" applyFill="1" applyBorder="1" applyProtection="1">
      <protection locked="0"/>
    </xf>
    <xf numFmtId="49" fontId="3" fillId="6" borderId="6" xfId="0" applyNumberFormat="1" applyFont="1" applyFill="1" applyBorder="1" applyProtection="1">
      <protection locked="0"/>
    </xf>
    <xf numFmtId="49" fontId="15" fillId="4" borderId="3" xfId="0" applyNumberFormat="1" applyFont="1" applyFill="1" applyBorder="1" applyProtection="1">
      <protection locked="0"/>
    </xf>
    <xf numFmtId="0" fontId="1" fillId="0" borderId="0" xfId="0" applyFont="1" applyAlignment="1"/>
    <xf numFmtId="49" fontId="13" fillId="4" borderId="3" xfId="0" applyNumberFormat="1" applyFont="1" applyFill="1" applyBorder="1" applyProtection="1">
      <protection locked="0"/>
    </xf>
  </cellXfs>
  <cellStyles count="1">
    <cellStyle name="Normal" xfId="0" builtinId="0"/>
  </cellStyles>
  <dxfs count="7">
    <dxf>
      <font>
        <sz val="14"/>
        <color rgb="FFA93226"/>
        <name val="Calibri"/>
        <family val="1"/>
      </font>
      <fill>
        <patternFill patternType="solid">
          <bgColor rgb="FFF1948A"/>
        </patternFill>
      </fill>
      <border>
        <left style="thin">
          <color rgb="FF000000"/>
        </left>
        <right style="thin">
          <color rgb="FF000000"/>
        </right>
        <top style="thin">
          <color rgb="FF000000"/>
        </top>
        <bottom style="thin">
          <color rgb="FF000000"/>
        </bottom>
      </border>
      <protection locked="0"/>
    </dxf>
    <dxf>
      <font>
        <sz val="14"/>
        <color rgb="FFA93226"/>
        <name val="Calibri"/>
        <family val="1"/>
      </font>
      <fill>
        <patternFill patternType="solid">
          <bgColor rgb="FFF1948A"/>
        </patternFill>
      </fill>
      <border>
        <left style="thin">
          <color rgb="FF000000"/>
        </left>
        <right style="thin">
          <color rgb="FF000000"/>
        </right>
        <top style="thin">
          <color rgb="FF000000"/>
        </top>
        <bottom style="thin">
          <color rgb="FF000000"/>
        </bottom>
      </border>
      <protection locked="0"/>
    </dxf>
    <dxf>
      <font>
        <sz val="14"/>
        <color rgb="FFA93226"/>
        <name val="Calibri"/>
        <family val="1"/>
      </font>
      <fill>
        <patternFill patternType="solid">
          <bgColor rgb="FFF1948A"/>
        </patternFill>
      </fill>
      <border>
        <left style="thin">
          <color rgb="FF000000"/>
        </left>
        <right style="thin">
          <color rgb="FF000000"/>
        </right>
        <top style="thin">
          <color rgb="FF000000"/>
        </top>
        <bottom style="thin">
          <color rgb="FF000000"/>
        </bottom>
      </border>
      <protection locked="0"/>
    </dxf>
    <dxf>
      <font>
        <sz val="14"/>
        <color rgb="FFA93226"/>
        <name val="Calibri"/>
        <family val="1"/>
      </font>
      <fill>
        <patternFill patternType="solid">
          <bgColor rgb="FFF1948A"/>
        </patternFill>
      </fill>
      <border>
        <left style="thin">
          <color rgb="FF000000"/>
        </left>
        <right style="thin">
          <color rgb="FF000000"/>
        </right>
        <top style="thin">
          <color rgb="FF000000"/>
        </top>
        <bottom style="thin">
          <color rgb="FF000000"/>
        </bottom>
      </border>
      <protection locked="0"/>
    </dxf>
    <dxf>
      <font>
        <sz val="14"/>
        <color rgb="FFA93226"/>
        <name val="Calibri"/>
        <family val="1"/>
      </font>
      <fill>
        <patternFill patternType="solid">
          <bgColor rgb="FFF1948A"/>
        </patternFill>
      </fill>
      <border>
        <left style="thin">
          <color rgb="FF000000"/>
        </left>
        <right style="thin">
          <color rgb="FF000000"/>
        </right>
        <top style="thin">
          <color rgb="FF000000"/>
        </top>
        <bottom style="thin">
          <color rgb="FF000000"/>
        </bottom>
      </border>
      <protection locked="0"/>
    </dxf>
    <dxf>
      <font>
        <sz val="14"/>
        <color rgb="FFA93226"/>
        <name val="Calibri"/>
        <family val="1"/>
      </font>
      <fill>
        <patternFill patternType="solid">
          <bgColor rgb="FFF1948A"/>
        </patternFill>
      </fill>
      <border>
        <left style="thin">
          <color rgb="FF000000"/>
        </left>
        <right style="thin">
          <color rgb="FF000000"/>
        </right>
        <top style="thin">
          <color rgb="FF000000"/>
        </top>
        <bottom style="thin">
          <color rgb="FF000000"/>
        </bottom>
      </border>
      <protection locked="0"/>
    </dxf>
    <dxf>
      <font>
        <sz val="14"/>
        <color rgb="FFA93226"/>
        <name val="Calibri"/>
        <family val="1"/>
      </font>
      <fill>
        <patternFill patternType="solid">
          <bgColor rgb="FFF1948A"/>
        </patternFill>
      </fill>
      <border>
        <left style="thin">
          <color rgb="FF000000"/>
        </left>
        <right style="thin">
          <color rgb="FF000000"/>
        </right>
        <top style="thin">
          <color rgb="FF000000"/>
        </top>
        <bottom style="thin">
          <color rgb="FF000000"/>
        </bottom>
      </border>
      <protection locked="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us.workdayspend.com/bids/2926112" TargetMode="External"/><Relationship Id="rId1" Type="http://schemas.openxmlformats.org/officeDocument/2006/relationships/hyperlink" Target="https://us.workdayspend.com/bids/2926112"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us.workdayspend.com/bids/2926112/questions" TargetMode="External"/></Relationships>
</file>

<file path=xl/worksheets/_rels/sheet4.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us.workdayspend.com/bids/2926112/questionnaire/responses/4328499/questionnaire/templates/990636/sections/4185300" TargetMode="External"/><Relationship Id="rId7" Type="http://schemas.openxmlformats.org/officeDocument/2006/relationships/hyperlink" Target="https://us.workdayspend.com/bids/2926112/questionnaire/responses/4328499/questionnaire/templates/990636/sections/4185304" TargetMode="External"/><Relationship Id="rId2" Type="http://schemas.openxmlformats.org/officeDocument/2006/relationships/hyperlink" Target="https://us.workdayspend.com/bids/2926112/questionnaire/responses/4328499/questionnaire/templates/990636/sections/4185300" TargetMode="External"/><Relationship Id="rId1" Type="http://schemas.openxmlformats.org/officeDocument/2006/relationships/hyperlink" Target="https://us.workdayspend.com/bids/2926112/questionnaire/responses/4328499/questionnaire/templates/990636/sections/4185299" TargetMode="External"/><Relationship Id="rId6" Type="http://schemas.openxmlformats.org/officeDocument/2006/relationships/hyperlink" Target="https://us.workdayspend.com/bids/2926112/questionnaire/responses/4328499/questionnaire/templates/990636/sections/4185306" TargetMode="External"/><Relationship Id="rId5" Type="http://schemas.openxmlformats.org/officeDocument/2006/relationships/hyperlink" Target="https://us.workdayspend.com/bids/2926112/questionnaire/responses/4328499/questionnaire/templates/990636/sections/4185303" TargetMode="External"/><Relationship Id="rId4" Type="http://schemas.openxmlformats.org/officeDocument/2006/relationships/hyperlink" Target="https://us.workdayspend.com/bids/2926112/questionnaire/responses/4328499/questionnaire/templates/990636/sections/418530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6"/>
  <sheetViews>
    <sheetView showGridLines="0" showOutlineSymbols="0" showWhiteSpace="0" workbookViewId="0"/>
  </sheetViews>
  <sheetFormatPr defaultRowHeight="14.25" x14ac:dyDescent="0.2"/>
  <cols>
    <col min="1" max="1" width="10" bestFit="1" customWidth="1"/>
    <col min="2" max="2" width="100" bestFit="1" customWidth="1"/>
    <col min="3" max="8" width="10" bestFit="1" customWidth="1"/>
    <col min="9" max="11" width="0" hidden="1"/>
    <col min="12" max="12" width="36" bestFit="1" customWidth="1"/>
  </cols>
  <sheetData>
    <row r="1" spans="1:12" ht="21" x14ac:dyDescent="0.35">
      <c r="A1" s="1" t="s">
        <v>0</v>
      </c>
      <c r="B1" s="1"/>
      <c r="C1" s="1"/>
      <c r="D1" s="1"/>
      <c r="E1" s="1"/>
      <c r="F1" s="1"/>
      <c r="G1" s="1"/>
      <c r="H1" s="1"/>
      <c r="I1" s="1"/>
      <c r="J1" s="1"/>
      <c r="K1" s="1"/>
      <c r="L1" s="1" t="s">
        <v>1</v>
      </c>
    </row>
    <row r="2" spans="1:12" ht="18.75" x14ac:dyDescent="0.3">
      <c r="A2" s="2" t="s">
        <v>2</v>
      </c>
    </row>
    <row r="3" spans="1:12" ht="18.75" x14ac:dyDescent="0.3">
      <c r="A3" s="3" t="s">
        <v>3</v>
      </c>
    </row>
    <row r="7" spans="1:12" ht="28.5" x14ac:dyDescent="0.45">
      <c r="A7" s="8" t="s">
        <v>4</v>
      </c>
      <c r="B7" s="8"/>
      <c r="C7" s="8"/>
      <c r="D7" s="8"/>
      <c r="E7" s="8"/>
      <c r="F7" s="8"/>
      <c r="G7" s="8"/>
      <c r="H7" s="8"/>
      <c r="I7" s="8"/>
      <c r="J7" s="8"/>
      <c r="K7" s="8"/>
    </row>
    <row r="9" spans="1:12" ht="18.75" x14ac:dyDescent="0.3">
      <c r="A9" s="3" t="s">
        <v>5</v>
      </c>
    </row>
    <row r="10" spans="1:12" ht="18.75" x14ac:dyDescent="0.3">
      <c r="A10" s="4"/>
      <c r="B10" s="4" t="s">
        <v>6</v>
      </c>
    </row>
    <row r="12" spans="1:12" ht="18.75" x14ac:dyDescent="0.3">
      <c r="A12" s="3" t="s">
        <v>7</v>
      </c>
    </row>
    <row r="14" spans="1:12" ht="18.75" x14ac:dyDescent="0.3">
      <c r="A14" s="3" t="s">
        <v>8</v>
      </c>
    </row>
    <row r="15" spans="1:12" ht="18.75" x14ac:dyDescent="0.3">
      <c r="B15" s="9" t="s">
        <v>9</v>
      </c>
    </row>
    <row r="17" spans="1:12" ht="18.75" x14ac:dyDescent="0.3">
      <c r="A17" s="3" t="s">
        <v>10</v>
      </c>
    </row>
    <row r="18" spans="1:12" ht="18.75" x14ac:dyDescent="0.3">
      <c r="A18" s="4"/>
      <c r="B18" s="4" t="s">
        <v>6</v>
      </c>
    </row>
    <row r="20" spans="1:12" ht="18.75" x14ac:dyDescent="0.3">
      <c r="A20" s="3" t="s">
        <v>11</v>
      </c>
    </row>
    <row r="21" spans="1:12" ht="18.75" x14ac:dyDescent="0.3">
      <c r="A21" s="3"/>
      <c r="B21" s="3" t="s">
        <v>12</v>
      </c>
    </row>
    <row r="23" spans="1:12" ht="18.75" x14ac:dyDescent="0.3">
      <c r="A23" s="3" t="s">
        <v>13</v>
      </c>
    </row>
    <row r="25" spans="1:12" ht="28.5" x14ac:dyDescent="0.45">
      <c r="A25" s="8" t="s">
        <v>14</v>
      </c>
      <c r="B25" s="8"/>
      <c r="C25" s="8"/>
      <c r="D25" s="8"/>
      <c r="E25" s="8"/>
      <c r="F25" s="8"/>
      <c r="G25" s="8"/>
      <c r="H25" s="8"/>
      <c r="I25" s="8"/>
      <c r="J25" s="8"/>
      <c r="K25" s="8"/>
    </row>
    <row r="26" spans="1:12" ht="409.5" x14ac:dyDescent="0.2">
      <c r="A26" s="10"/>
      <c r="B26" s="10" t="s">
        <v>15</v>
      </c>
      <c r="C26" s="10"/>
      <c r="D26" s="10"/>
      <c r="E26" s="10"/>
      <c r="F26" s="10"/>
      <c r="G26" s="10"/>
      <c r="H26" s="10"/>
      <c r="I26" s="10"/>
      <c r="J26" s="10"/>
      <c r="K26" s="10"/>
      <c r="L26" s="10"/>
    </row>
    <row r="27" spans="1:12" ht="28.5" x14ac:dyDescent="0.45">
      <c r="A27" s="8" t="s">
        <v>16</v>
      </c>
      <c r="B27" s="8"/>
      <c r="C27" s="8"/>
      <c r="D27" s="8"/>
      <c r="E27" s="8"/>
      <c r="F27" s="8"/>
      <c r="G27" s="8"/>
      <c r="H27" s="8"/>
      <c r="I27" s="8"/>
      <c r="J27" s="8"/>
      <c r="K27" s="8"/>
    </row>
    <row r="28" spans="1:12" ht="18.75" x14ac:dyDescent="0.3">
      <c r="A28" s="2"/>
      <c r="B28" s="2" t="s">
        <v>17</v>
      </c>
    </row>
    <row r="29" spans="1:12" ht="18.75" x14ac:dyDescent="0.3">
      <c r="A29" s="3"/>
      <c r="B29" s="3" t="s">
        <v>18</v>
      </c>
    </row>
    <row r="30" spans="1:12" ht="18.75" x14ac:dyDescent="0.3">
      <c r="A30" s="2"/>
      <c r="B30" s="2" t="s">
        <v>19</v>
      </c>
    </row>
    <row r="31" spans="1:12" ht="18.75" x14ac:dyDescent="0.3">
      <c r="A31" s="3"/>
      <c r="B31" s="3" t="s">
        <v>20</v>
      </c>
    </row>
    <row r="32" spans="1:12" ht="18.75" x14ac:dyDescent="0.3">
      <c r="A32" s="2"/>
      <c r="B32" s="2" t="s">
        <v>21</v>
      </c>
    </row>
    <row r="33" spans="1:11" ht="18.75" x14ac:dyDescent="0.3">
      <c r="A33" s="3"/>
      <c r="B33" s="3" t="s">
        <v>22</v>
      </c>
    </row>
    <row r="35" spans="1:11" ht="28.5" x14ac:dyDescent="0.45">
      <c r="A35" s="8" t="s">
        <v>23</v>
      </c>
      <c r="B35" s="8"/>
      <c r="C35" s="8"/>
      <c r="D35" s="8"/>
      <c r="E35" s="8"/>
      <c r="F35" s="8"/>
      <c r="G35" s="8"/>
      <c r="H35" s="8"/>
      <c r="I35" s="8"/>
      <c r="J35" s="8"/>
      <c r="K35" s="8"/>
    </row>
    <row r="36" spans="1:11" ht="18.75" x14ac:dyDescent="0.3">
      <c r="A36" s="3"/>
      <c r="B36" s="3" t="s">
        <v>24</v>
      </c>
    </row>
  </sheetData>
  <sheetProtection password="C77B" sheet="1"/>
  <hyperlinks>
    <hyperlink ref="B10" r:id="rId1" xr:uid="{00000000-0004-0000-0000-000000000000}"/>
    <hyperlink ref="B18" r:id="rId2" xr:uid="{00000000-0004-0000-0000-000001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2"/>
  <sheetViews>
    <sheetView showOutlineSymbols="0" showWhiteSpace="0" topLeftCell="A19" workbookViewId="0"/>
  </sheetViews>
  <sheetFormatPr defaultRowHeight="14.25" x14ac:dyDescent="0.2"/>
  <cols>
    <col min="1" max="1" width="100" bestFit="1" customWidth="1"/>
  </cols>
  <sheetData>
    <row r="1" spans="1:1" ht="28.5" x14ac:dyDescent="0.45">
      <c r="A1" s="8" t="s">
        <v>25</v>
      </c>
    </row>
    <row r="2" spans="1:1" ht="18.75" x14ac:dyDescent="0.2">
      <c r="A2" s="10"/>
    </row>
    <row r="4" spans="1:1" ht="37.5" x14ac:dyDescent="0.2">
      <c r="A4" s="10" t="s">
        <v>26</v>
      </c>
    </row>
    <row r="6" spans="1:1" ht="28.5" x14ac:dyDescent="0.45">
      <c r="A6" s="8" t="s">
        <v>27</v>
      </c>
    </row>
    <row r="7" spans="1:1" ht="18.75" x14ac:dyDescent="0.2">
      <c r="A7" s="10" t="s">
        <v>28</v>
      </c>
    </row>
    <row r="8" spans="1:1" ht="18.75" x14ac:dyDescent="0.2">
      <c r="A8" s="10" t="s">
        <v>29</v>
      </c>
    </row>
    <row r="9" spans="1:1" ht="37.5" x14ac:dyDescent="0.2">
      <c r="A9" s="10" t="s">
        <v>30</v>
      </c>
    </row>
    <row r="10" spans="1:1" ht="56.25" x14ac:dyDescent="0.2">
      <c r="A10" s="10" t="s">
        <v>31</v>
      </c>
    </row>
    <row r="11" spans="1:1" ht="56.25" x14ac:dyDescent="0.2">
      <c r="A11" s="10" t="s">
        <v>32</v>
      </c>
    </row>
    <row r="12" spans="1:1" ht="56.25" x14ac:dyDescent="0.2">
      <c r="A12" s="10" t="s">
        <v>33</v>
      </c>
    </row>
    <row r="13" spans="1:1" ht="18.75" x14ac:dyDescent="0.2">
      <c r="A13" s="10" t="s">
        <v>34</v>
      </c>
    </row>
    <row r="14" spans="1:1" ht="112.5" x14ac:dyDescent="0.2">
      <c r="A14" s="10" t="s">
        <v>35</v>
      </c>
    </row>
    <row r="15" spans="1:1" ht="75" x14ac:dyDescent="0.2">
      <c r="A15" s="10" t="s">
        <v>36</v>
      </c>
    </row>
    <row r="16" spans="1:1" ht="112.5" x14ac:dyDescent="0.2">
      <c r="A16" s="10" t="s">
        <v>37</v>
      </c>
    </row>
    <row r="17" spans="1:1" ht="56.25" x14ac:dyDescent="0.2">
      <c r="A17" s="10" t="s">
        <v>38</v>
      </c>
    </row>
    <row r="18" spans="1:1" ht="37.5" x14ac:dyDescent="0.2">
      <c r="A18" s="10" t="s">
        <v>39</v>
      </c>
    </row>
    <row r="19" spans="1:1" ht="93.75" x14ac:dyDescent="0.2">
      <c r="A19" s="10" t="s">
        <v>40</v>
      </c>
    </row>
    <row r="20" spans="1:1" ht="75" x14ac:dyDescent="0.2">
      <c r="A20" s="10" t="s">
        <v>41</v>
      </c>
    </row>
    <row r="21" spans="1:1" ht="18.75" x14ac:dyDescent="0.2">
      <c r="A21" s="10" t="s">
        <v>42</v>
      </c>
    </row>
    <row r="22" spans="1:1" ht="37.5" x14ac:dyDescent="0.2">
      <c r="A22" s="10" t="s">
        <v>43</v>
      </c>
    </row>
  </sheetData>
  <sheetProtection password="C77B" sheet="1"/>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
  <sheetViews>
    <sheetView showGridLines="0" showOutlineSymbols="0" showWhiteSpace="0" workbookViewId="0">
      <selection sqref="A1:B1"/>
    </sheetView>
  </sheetViews>
  <sheetFormatPr defaultRowHeight="14.25" x14ac:dyDescent="0.2"/>
  <cols>
    <col min="1" max="1" width="20" bestFit="1" customWidth="1"/>
    <col min="2" max="2" width="100" bestFit="1" customWidth="1"/>
    <col min="3" max="3" width="36" bestFit="1" customWidth="1"/>
  </cols>
  <sheetData>
    <row r="1" spans="1:3" ht="21" x14ac:dyDescent="0.35">
      <c r="A1" s="37" t="s">
        <v>0</v>
      </c>
      <c r="B1" s="37"/>
      <c r="C1" s="1" t="s">
        <v>1</v>
      </c>
    </row>
    <row r="2" spans="1:3" ht="18.75" x14ac:dyDescent="0.3">
      <c r="A2" s="3" t="s">
        <v>44</v>
      </c>
    </row>
    <row r="3" spans="1:3" ht="18.75" x14ac:dyDescent="0.3">
      <c r="A3" s="4" t="s">
        <v>45</v>
      </c>
    </row>
  </sheetData>
  <sheetProtection password="C77B" sheet="1"/>
  <mergeCells count="1">
    <mergeCell ref="A1:B1"/>
  </mergeCells>
  <hyperlinks>
    <hyperlink ref="A3" r:id="rId1" xr:uid="{00000000-0004-0000-0200-000000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49"/>
  <sheetViews>
    <sheetView showGridLines="0" tabSelected="1" showOutlineSymbols="0" showWhiteSpace="0" topLeftCell="A131" zoomScale="70" zoomScaleNormal="70" workbookViewId="0">
      <selection activeCell="F126" sqref="F126"/>
    </sheetView>
  </sheetViews>
  <sheetFormatPr defaultRowHeight="14.25" x14ac:dyDescent="0.2"/>
  <cols>
    <col min="1" max="1" width="60" bestFit="1" customWidth="1"/>
    <col min="2" max="3" width="0" hidden="1" bestFit="1" customWidth="1"/>
    <col min="4" max="4" width="15" bestFit="1" customWidth="1"/>
    <col min="5" max="5" width="5" bestFit="1" customWidth="1"/>
    <col min="6" max="7" width="60" bestFit="1" customWidth="1"/>
  </cols>
  <sheetData>
    <row r="1" spans="1:7" ht="21" x14ac:dyDescent="0.35">
      <c r="A1" s="1" t="s">
        <v>0</v>
      </c>
      <c r="B1" s="1"/>
      <c r="C1" s="1" t="s">
        <v>1</v>
      </c>
    </row>
    <row r="2" spans="1:7" ht="21" x14ac:dyDescent="0.35">
      <c r="A2" s="1" t="s">
        <v>46</v>
      </c>
    </row>
    <row r="4" spans="1:7" ht="18.75" x14ac:dyDescent="0.3">
      <c r="A4" s="2" t="s">
        <v>47</v>
      </c>
    </row>
    <row r="5" spans="1:7" ht="18.75" x14ac:dyDescent="0.3">
      <c r="A5" s="3" t="s">
        <v>48</v>
      </c>
    </row>
    <row r="7" spans="1:7" ht="28.5" x14ac:dyDescent="0.45">
      <c r="A7" s="8" t="s">
        <v>49</v>
      </c>
      <c r="B7" s="8"/>
      <c r="C7" s="8"/>
      <c r="D7" s="8"/>
      <c r="E7" s="8"/>
      <c r="F7" s="8"/>
      <c r="G7" s="8"/>
    </row>
    <row r="8" spans="1:7" ht="225" x14ac:dyDescent="0.2">
      <c r="A8" s="10" t="s">
        <v>50</v>
      </c>
    </row>
    <row r="9" spans="1:7" x14ac:dyDescent="0.2">
      <c r="F9" t="s">
        <v>51</v>
      </c>
      <c r="G9" t="s">
        <v>52</v>
      </c>
    </row>
    <row r="10" spans="1:7" ht="150" x14ac:dyDescent="0.2">
      <c r="A10" s="5" t="s">
        <v>53</v>
      </c>
      <c r="B10" s="5">
        <v>31720800</v>
      </c>
      <c r="C10" s="5" t="s">
        <v>54</v>
      </c>
      <c r="D10" s="5" t="s">
        <v>55</v>
      </c>
      <c r="E10" s="5"/>
      <c r="F10" s="11" t="s">
        <v>56</v>
      </c>
      <c r="G10" s="5"/>
    </row>
    <row r="11" spans="1:7" ht="28.5" x14ac:dyDescent="0.45">
      <c r="A11" s="8" t="s">
        <v>57</v>
      </c>
      <c r="B11" s="8"/>
      <c r="C11" s="8"/>
      <c r="D11" s="8"/>
      <c r="E11" s="8"/>
      <c r="F11" s="8"/>
      <c r="G11" s="8"/>
    </row>
    <row r="12" spans="1:7" ht="18.75" x14ac:dyDescent="0.2">
      <c r="A12" s="10" t="s">
        <v>58</v>
      </c>
    </row>
    <row r="13" spans="1:7" x14ac:dyDescent="0.2">
      <c r="F13" t="s">
        <v>51</v>
      </c>
      <c r="G13" t="s">
        <v>52</v>
      </c>
    </row>
    <row r="14" spans="1:7" ht="75" x14ac:dyDescent="0.2">
      <c r="A14" s="5" t="s">
        <v>59</v>
      </c>
      <c r="B14" s="5">
        <v>31720814</v>
      </c>
      <c r="C14" s="5" t="s">
        <v>54</v>
      </c>
      <c r="D14" s="5" t="s">
        <v>55</v>
      </c>
      <c r="E14" s="5"/>
      <c r="F14" s="11" t="s">
        <v>56</v>
      </c>
      <c r="G14" s="5"/>
    </row>
    <row r="15" spans="1:7" ht="15" x14ac:dyDescent="0.2">
      <c r="A15" s="6" t="s">
        <v>60</v>
      </c>
    </row>
    <row r="16" spans="1:7" ht="45" x14ac:dyDescent="0.2">
      <c r="A16" s="5" t="s">
        <v>61</v>
      </c>
    </row>
    <row r="17" spans="1:7" ht="105" x14ac:dyDescent="0.2">
      <c r="A17" s="5" t="s">
        <v>62</v>
      </c>
      <c r="B17" s="5">
        <v>31720801</v>
      </c>
      <c r="C17" s="5" t="s">
        <v>54</v>
      </c>
      <c r="D17" s="5" t="s">
        <v>55</v>
      </c>
      <c r="E17" s="5"/>
      <c r="F17" s="11" t="s">
        <v>63</v>
      </c>
      <c r="G17" s="5"/>
    </row>
    <row r="18" spans="1:7" ht="105" x14ac:dyDescent="0.2">
      <c r="A18" s="5" t="s">
        <v>64</v>
      </c>
      <c r="B18" s="5">
        <v>31720802</v>
      </c>
      <c r="C18" s="5" t="s">
        <v>54</v>
      </c>
      <c r="D18" s="5" t="s">
        <v>65</v>
      </c>
      <c r="E18" s="12"/>
      <c r="F18" s="13" t="s">
        <v>66</v>
      </c>
      <c r="G18" s="5"/>
    </row>
    <row r="19" spans="1:7" ht="18.75" x14ac:dyDescent="0.2">
      <c r="A19" s="5" t="s">
        <v>67</v>
      </c>
      <c r="B19" s="5">
        <v>42016989</v>
      </c>
      <c r="C19" s="5" t="s">
        <v>68</v>
      </c>
      <c r="D19" s="5" t="s">
        <v>67</v>
      </c>
      <c r="E19" s="14"/>
      <c r="F19" s="15" t="s">
        <v>69</v>
      </c>
    </row>
    <row r="20" spans="1:7" ht="18.75" x14ac:dyDescent="0.2">
      <c r="A20" s="5" t="s">
        <v>67</v>
      </c>
      <c r="B20" s="5">
        <v>42016990</v>
      </c>
      <c r="C20" s="5" t="s">
        <v>68</v>
      </c>
      <c r="D20" s="5" t="s">
        <v>67</v>
      </c>
      <c r="E20" s="14"/>
      <c r="F20" s="15" t="s">
        <v>70</v>
      </c>
    </row>
    <row r="21" spans="1:7" ht="18.75" x14ac:dyDescent="0.2">
      <c r="A21" s="5" t="s">
        <v>67</v>
      </c>
      <c r="B21" s="5">
        <v>42016991</v>
      </c>
      <c r="C21" s="5" t="s">
        <v>68</v>
      </c>
      <c r="D21" s="5" t="s">
        <v>67</v>
      </c>
      <c r="E21" s="14"/>
      <c r="F21" s="15" t="s">
        <v>71</v>
      </c>
    </row>
    <row r="22" spans="1:7" ht="18.75" x14ac:dyDescent="0.2">
      <c r="A22" s="5" t="s">
        <v>67</v>
      </c>
      <c r="B22" s="5">
        <v>42016992</v>
      </c>
      <c r="C22" s="5" t="s">
        <v>68</v>
      </c>
      <c r="D22" s="5" t="s">
        <v>67</v>
      </c>
      <c r="E22" s="14"/>
      <c r="F22" s="15" t="s">
        <v>72</v>
      </c>
    </row>
    <row r="23" spans="1:7" ht="18.75" x14ac:dyDescent="0.2">
      <c r="A23" s="5" t="s">
        <v>67</v>
      </c>
      <c r="B23" s="5">
        <v>42016993</v>
      </c>
      <c r="C23" s="5" t="s">
        <v>68</v>
      </c>
      <c r="D23" s="5" t="s">
        <v>67</v>
      </c>
      <c r="E23" s="14"/>
      <c r="F23" s="15" t="s">
        <v>73</v>
      </c>
    </row>
    <row r="24" spans="1:7" ht="18.75" x14ac:dyDescent="0.2">
      <c r="A24" s="5" t="s">
        <v>67</v>
      </c>
      <c r="B24" s="5">
        <v>42016994</v>
      </c>
      <c r="C24" s="5" t="s">
        <v>68</v>
      </c>
      <c r="D24" s="5" t="s">
        <v>67</v>
      </c>
      <c r="E24" s="14"/>
      <c r="F24" s="15" t="s">
        <v>74</v>
      </c>
    </row>
    <row r="25" spans="1:7" ht="18.75" x14ac:dyDescent="0.2">
      <c r="A25" s="5" t="s">
        <v>67</v>
      </c>
      <c r="B25" s="5">
        <v>42016995</v>
      </c>
      <c r="C25" s="5" t="s">
        <v>68</v>
      </c>
      <c r="D25" s="5" t="s">
        <v>67</v>
      </c>
      <c r="E25" s="14" t="s">
        <v>75</v>
      </c>
      <c r="F25" s="15" t="s">
        <v>63</v>
      </c>
    </row>
    <row r="26" spans="1:7" ht="90" x14ac:dyDescent="0.2">
      <c r="A26" s="5" t="s">
        <v>76</v>
      </c>
      <c r="B26" s="5">
        <v>31720803</v>
      </c>
      <c r="C26" s="5" t="s">
        <v>54</v>
      </c>
      <c r="D26" s="5" t="s">
        <v>77</v>
      </c>
      <c r="E26" s="5"/>
      <c r="F26" s="11"/>
      <c r="G26" s="5"/>
    </row>
    <row r="27" spans="1:7" ht="90" x14ac:dyDescent="0.2">
      <c r="A27" s="5" t="s">
        <v>78</v>
      </c>
      <c r="B27" s="5">
        <v>31720804</v>
      </c>
      <c r="C27" s="5" t="s">
        <v>54</v>
      </c>
      <c r="D27" s="5" t="s">
        <v>79</v>
      </c>
      <c r="E27" s="12"/>
      <c r="F27" s="13" t="s">
        <v>66</v>
      </c>
      <c r="G27" s="5"/>
    </row>
    <row r="28" spans="1:7" ht="30" x14ac:dyDescent="0.2">
      <c r="A28" s="5" t="s">
        <v>67</v>
      </c>
      <c r="B28" s="5">
        <v>42017002</v>
      </c>
      <c r="C28" s="5" t="s">
        <v>68</v>
      </c>
      <c r="D28" s="5" t="s">
        <v>67</v>
      </c>
      <c r="E28" s="14"/>
      <c r="F28" s="15" t="s">
        <v>80</v>
      </c>
    </row>
    <row r="29" spans="1:7" ht="30" x14ac:dyDescent="0.2">
      <c r="A29" s="5" t="s">
        <v>67</v>
      </c>
      <c r="B29" s="5">
        <v>42017003</v>
      </c>
      <c r="C29" s="5" t="s">
        <v>68</v>
      </c>
      <c r="D29" s="5" t="s">
        <v>67</v>
      </c>
      <c r="E29" s="14"/>
      <c r="F29" s="15" t="s">
        <v>81</v>
      </c>
    </row>
    <row r="30" spans="1:7" ht="30" x14ac:dyDescent="0.2">
      <c r="A30" s="5" t="s">
        <v>67</v>
      </c>
      <c r="B30" s="5">
        <v>42017004</v>
      </c>
      <c r="C30" s="5" t="s">
        <v>68</v>
      </c>
      <c r="D30" s="5" t="s">
        <v>67</v>
      </c>
      <c r="E30" s="14"/>
      <c r="F30" s="15" t="s">
        <v>82</v>
      </c>
    </row>
    <row r="31" spans="1:7" ht="30" x14ac:dyDescent="0.2">
      <c r="A31" s="5" t="s">
        <v>67</v>
      </c>
      <c r="B31" s="5">
        <v>42017005</v>
      </c>
      <c r="C31" s="5" t="s">
        <v>68</v>
      </c>
      <c r="D31" s="5" t="s">
        <v>67</v>
      </c>
      <c r="E31" s="14"/>
      <c r="F31" s="15" t="s">
        <v>83</v>
      </c>
    </row>
    <row r="32" spans="1:7" ht="18.75" x14ac:dyDescent="0.2">
      <c r="A32" s="5" t="s">
        <v>67</v>
      </c>
      <c r="B32" s="5">
        <v>42017006</v>
      </c>
      <c r="C32" s="5" t="s">
        <v>68</v>
      </c>
      <c r="D32" s="5" t="s">
        <v>67</v>
      </c>
      <c r="E32" s="14"/>
      <c r="F32" s="15" t="s">
        <v>84</v>
      </c>
    </row>
    <row r="33" spans="1:7" ht="75" x14ac:dyDescent="0.2">
      <c r="A33" s="5" t="s">
        <v>85</v>
      </c>
      <c r="B33" s="5">
        <v>31720805</v>
      </c>
      <c r="C33" s="5" t="s">
        <v>54</v>
      </c>
      <c r="D33" s="5" t="s">
        <v>86</v>
      </c>
      <c r="E33" s="5"/>
      <c r="F33" s="10" t="s">
        <v>87</v>
      </c>
    </row>
    <row r="34" spans="1:7" ht="75" x14ac:dyDescent="0.2">
      <c r="A34" s="5" t="s">
        <v>88</v>
      </c>
      <c r="B34" s="5">
        <v>31720806</v>
      </c>
      <c r="C34" s="5" t="s">
        <v>54</v>
      </c>
      <c r="D34" s="5" t="s">
        <v>77</v>
      </c>
      <c r="E34" s="5"/>
      <c r="F34" s="11"/>
      <c r="G34" s="5"/>
    </row>
    <row r="35" spans="1:7" ht="75" x14ac:dyDescent="0.2">
      <c r="A35" s="5" t="s">
        <v>89</v>
      </c>
      <c r="B35" s="5">
        <v>31720807</v>
      </c>
      <c r="C35" s="5" t="s">
        <v>54</v>
      </c>
      <c r="D35" s="5" t="s">
        <v>86</v>
      </c>
      <c r="E35" s="5"/>
      <c r="F35" s="10" t="s">
        <v>87</v>
      </c>
    </row>
    <row r="37" spans="1:7" ht="15" x14ac:dyDescent="0.2">
      <c r="A37" s="6" t="s">
        <v>90</v>
      </c>
    </row>
    <row r="38" spans="1:7" ht="45" x14ac:dyDescent="0.2">
      <c r="A38" s="5" t="s">
        <v>91</v>
      </c>
    </row>
    <row r="39" spans="1:7" ht="105" x14ac:dyDescent="0.2">
      <c r="A39" s="5" t="s">
        <v>92</v>
      </c>
      <c r="B39" s="5">
        <v>31720808</v>
      </c>
      <c r="C39" s="5" t="s">
        <v>54</v>
      </c>
      <c r="D39" s="5" t="s">
        <v>55</v>
      </c>
      <c r="E39" s="5"/>
      <c r="F39" s="11" t="s">
        <v>93</v>
      </c>
      <c r="G39" s="11"/>
    </row>
    <row r="40" spans="1:7" ht="135" x14ac:dyDescent="0.2">
      <c r="A40" s="5" t="s">
        <v>94</v>
      </c>
      <c r="B40" s="5">
        <v>31720809</v>
      </c>
      <c r="C40" s="5" t="s">
        <v>54</v>
      </c>
      <c r="D40" s="5" t="s">
        <v>77</v>
      </c>
      <c r="E40" s="5"/>
      <c r="F40" s="11" t="s">
        <v>93</v>
      </c>
      <c r="G40" s="11" t="s">
        <v>95</v>
      </c>
    </row>
    <row r="41" spans="1:7" ht="75" x14ac:dyDescent="0.2">
      <c r="A41" s="5" t="s">
        <v>96</v>
      </c>
      <c r="B41" s="5">
        <v>31720810</v>
      </c>
      <c r="C41" s="5" t="s">
        <v>54</v>
      </c>
      <c r="D41" s="5" t="s">
        <v>77</v>
      </c>
      <c r="E41" s="5"/>
      <c r="F41" s="11" t="s">
        <v>93</v>
      </c>
      <c r="G41" s="11" t="s">
        <v>95</v>
      </c>
    </row>
    <row r="42" spans="1:7" ht="90" x14ac:dyDescent="0.2">
      <c r="A42" s="5" t="s">
        <v>97</v>
      </c>
      <c r="B42" s="5">
        <v>31720811</v>
      </c>
      <c r="C42" s="5" t="s">
        <v>54</v>
      </c>
      <c r="D42" s="5" t="s">
        <v>55</v>
      </c>
      <c r="E42" s="5"/>
      <c r="F42" s="11" t="s">
        <v>93</v>
      </c>
      <c r="G42" s="5"/>
    </row>
    <row r="43" spans="1:7" ht="75" x14ac:dyDescent="0.2">
      <c r="A43" s="5" t="s">
        <v>98</v>
      </c>
      <c r="B43" s="5">
        <v>31720812</v>
      </c>
      <c r="C43" s="5" t="s">
        <v>54</v>
      </c>
      <c r="D43" s="5" t="s">
        <v>55</v>
      </c>
      <c r="E43" s="5"/>
      <c r="F43" s="11" t="s">
        <v>93</v>
      </c>
      <c r="G43" s="5"/>
    </row>
    <row r="44" spans="1:7" ht="75" x14ac:dyDescent="0.2">
      <c r="A44" s="5" t="s">
        <v>99</v>
      </c>
      <c r="B44" s="5">
        <v>31720813</v>
      </c>
      <c r="C44" s="5" t="s">
        <v>54</v>
      </c>
      <c r="D44" s="5" t="s">
        <v>55</v>
      </c>
      <c r="E44" s="5"/>
      <c r="F44" s="11" t="s">
        <v>56</v>
      </c>
      <c r="G44" s="5"/>
    </row>
    <row r="46" spans="1:7" ht="28.5" x14ac:dyDescent="0.45">
      <c r="A46" s="8" t="s">
        <v>100</v>
      </c>
      <c r="B46" s="8"/>
      <c r="C46" s="8"/>
      <c r="D46" s="8"/>
      <c r="E46" s="8"/>
      <c r="F46" s="8"/>
      <c r="G46" s="8"/>
    </row>
    <row r="47" spans="1:7" x14ac:dyDescent="0.2">
      <c r="F47" t="s">
        <v>51</v>
      </c>
      <c r="G47" t="s">
        <v>52</v>
      </c>
    </row>
    <row r="48" spans="1:7" ht="180" x14ac:dyDescent="0.2">
      <c r="A48" s="5" t="s">
        <v>101</v>
      </c>
      <c r="B48" s="5">
        <v>31720818</v>
      </c>
      <c r="C48" s="5" t="s">
        <v>54</v>
      </c>
      <c r="D48" s="5" t="s">
        <v>55</v>
      </c>
      <c r="E48" s="5"/>
      <c r="F48" s="11" t="s">
        <v>102</v>
      </c>
      <c r="G48" s="11" t="s">
        <v>296</v>
      </c>
    </row>
    <row r="49" spans="1:7" ht="195" x14ac:dyDescent="0.2">
      <c r="A49" s="5" t="s">
        <v>103</v>
      </c>
      <c r="B49" s="5">
        <v>31720815</v>
      </c>
      <c r="C49" s="5" t="s">
        <v>54</v>
      </c>
      <c r="D49" s="5" t="s">
        <v>55</v>
      </c>
      <c r="E49" s="5"/>
      <c r="F49" s="11" t="s">
        <v>104</v>
      </c>
      <c r="G49" s="11" t="s">
        <v>105</v>
      </c>
    </row>
    <row r="50" spans="1:7" ht="165" x14ac:dyDescent="0.2">
      <c r="A50" s="5" t="s">
        <v>106</v>
      </c>
      <c r="B50" s="5">
        <v>31720819</v>
      </c>
      <c r="C50" s="5" t="s">
        <v>54</v>
      </c>
      <c r="D50" s="5" t="s">
        <v>55</v>
      </c>
      <c r="E50" s="5"/>
      <c r="F50" s="11" t="s">
        <v>107</v>
      </c>
      <c r="G50" s="5"/>
    </row>
    <row r="51" spans="1:7" ht="225" x14ac:dyDescent="0.2">
      <c r="A51" s="5" t="s">
        <v>108</v>
      </c>
      <c r="B51" s="5">
        <v>31720816</v>
      </c>
      <c r="C51" s="5" t="s">
        <v>54</v>
      </c>
      <c r="D51" s="5" t="s">
        <v>109</v>
      </c>
      <c r="E51" s="5"/>
      <c r="F51" s="11" t="s">
        <v>297</v>
      </c>
      <c r="G51" s="5"/>
    </row>
    <row r="52" spans="1:7" ht="75" x14ac:dyDescent="0.2">
      <c r="A52" s="5" t="s">
        <v>110</v>
      </c>
      <c r="B52" s="5">
        <v>31720817</v>
      </c>
      <c r="C52" s="5" t="s">
        <v>54</v>
      </c>
      <c r="D52" s="5" t="s">
        <v>86</v>
      </c>
      <c r="E52" s="5"/>
      <c r="F52" s="10" t="s">
        <v>87</v>
      </c>
    </row>
    <row r="53" spans="1:7" ht="28.5" x14ac:dyDescent="0.45">
      <c r="A53" s="8" t="s">
        <v>111</v>
      </c>
      <c r="B53" s="8"/>
      <c r="C53" s="8"/>
      <c r="D53" s="8"/>
      <c r="E53" s="8"/>
      <c r="F53" s="8"/>
      <c r="G53" s="8"/>
    </row>
    <row r="54" spans="1:7" x14ac:dyDescent="0.2">
      <c r="F54" t="s">
        <v>51</v>
      </c>
      <c r="G54" t="s">
        <v>52</v>
      </c>
    </row>
    <row r="55" spans="1:7" ht="375" x14ac:dyDescent="0.2">
      <c r="A55" s="5" t="s">
        <v>112</v>
      </c>
      <c r="B55" s="5">
        <v>31720824</v>
      </c>
      <c r="C55" s="5" t="s">
        <v>54</v>
      </c>
      <c r="D55" s="5" t="s">
        <v>109</v>
      </c>
      <c r="E55" s="5"/>
      <c r="F55" s="11" t="s">
        <v>113</v>
      </c>
      <c r="G55" s="5"/>
    </row>
    <row r="56" spans="1:7" ht="356.25" x14ac:dyDescent="0.2">
      <c r="A56" s="5" t="s">
        <v>114</v>
      </c>
      <c r="B56" s="5">
        <v>31720825</v>
      </c>
      <c r="C56" s="5" t="s">
        <v>54</v>
      </c>
      <c r="D56" s="5" t="s">
        <v>109</v>
      </c>
      <c r="E56" s="5"/>
      <c r="F56" s="11" t="s">
        <v>298</v>
      </c>
      <c r="G56" s="5"/>
    </row>
    <row r="57" spans="1:7" ht="168.75" x14ac:dyDescent="0.2">
      <c r="A57" s="5" t="s">
        <v>115</v>
      </c>
      <c r="B57" s="5">
        <v>31720826</v>
      </c>
      <c r="C57" s="5" t="s">
        <v>54</v>
      </c>
      <c r="D57" s="5" t="s">
        <v>109</v>
      </c>
      <c r="E57" s="5"/>
      <c r="F57" s="11" t="s">
        <v>299</v>
      </c>
      <c r="G57" s="5"/>
    </row>
    <row r="58" spans="1:7" ht="356.25" x14ac:dyDescent="0.2">
      <c r="A58" s="5" t="s">
        <v>116</v>
      </c>
      <c r="B58" s="5">
        <v>31720827</v>
      </c>
      <c r="C58" s="5" t="s">
        <v>54</v>
      </c>
      <c r="D58" s="5" t="s">
        <v>109</v>
      </c>
      <c r="E58" s="5"/>
      <c r="F58" s="11" t="s">
        <v>117</v>
      </c>
      <c r="G58" s="5"/>
    </row>
    <row r="59" spans="1:7" ht="300" x14ac:dyDescent="0.2">
      <c r="A59" s="5" t="s">
        <v>118</v>
      </c>
      <c r="B59" s="5">
        <v>31720828</v>
      </c>
      <c r="C59" s="5" t="s">
        <v>54</v>
      </c>
      <c r="D59" s="5" t="s">
        <v>109</v>
      </c>
      <c r="E59" s="5"/>
      <c r="F59" s="11" t="s">
        <v>300</v>
      </c>
      <c r="G59" s="5"/>
    </row>
    <row r="60" spans="1:7" ht="28.5" x14ac:dyDescent="0.45">
      <c r="A60" s="8" t="s">
        <v>119</v>
      </c>
      <c r="B60" s="8"/>
      <c r="C60" s="8"/>
      <c r="D60" s="8"/>
      <c r="E60" s="8"/>
      <c r="F60" s="8"/>
      <c r="G60" s="8"/>
    </row>
    <row r="61" spans="1:7" x14ac:dyDescent="0.2">
      <c r="F61" t="s">
        <v>51</v>
      </c>
      <c r="G61" t="s">
        <v>52</v>
      </c>
    </row>
    <row r="62" spans="1:7" ht="168.75" x14ac:dyDescent="0.2">
      <c r="A62" s="5" t="s">
        <v>120</v>
      </c>
      <c r="B62" s="5">
        <v>31720829</v>
      </c>
      <c r="C62" s="5" t="s">
        <v>54</v>
      </c>
      <c r="D62" s="5" t="s">
        <v>109</v>
      </c>
      <c r="E62" s="5"/>
      <c r="F62" s="25" t="s">
        <v>301</v>
      </c>
      <c r="G62" s="5"/>
    </row>
    <row r="63" spans="1:7" ht="150" x14ac:dyDescent="0.2">
      <c r="A63" s="5" t="s">
        <v>121</v>
      </c>
      <c r="B63" s="5">
        <v>31720830</v>
      </c>
      <c r="C63" s="5" t="s">
        <v>54</v>
      </c>
      <c r="D63" s="5" t="s">
        <v>122</v>
      </c>
      <c r="E63" s="5"/>
      <c r="F63" s="26" t="s">
        <v>123</v>
      </c>
      <c r="G63" s="5"/>
    </row>
    <row r="64" spans="1:7" ht="168.75" x14ac:dyDescent="0.2">
      <c r="A64" s="5" t="s">
        <v>124</v>
      </c>
      <c r="B64" s="5">
        <v>31720831</v>
      </c>
      <c r="C64" s="5" t="s">
        <v>54</v>
      </c>
      <c r="D64" s="5" t="s">
        <v>122</v>
      </c>
      <c r="E64" s="5"/>
      <c r="F64" s="26" t="s">
        <v>125</v>
      </c>
      <c r="G64" s="5"/>
    </row>
    <row r="65" spans="1:7" ht="168.75" x14ac:dyDescent="0.2">
      <c r="A65" s="5" t="s">
        <v>126</v>
      </c>
      <c r="B65" s="5">
        <v>31720832</v>
      </c>
      <c r="C65" s="5" t="s">
        <v>54</v>
      </c>
      <c r="D65" s="5" t="s">
        <v>122</v>
      </c>
      <c r="E65" s="5"/>
      <c r="F65" s="26" t="s">
        <v>302</v>
      </c>
      <c r="G65" s="5"/>
    </row>
    <row r="66" spans="1:7" ht="75" x14ac:dyDescent="0.2">
      <c r="A66" s="5" t="s">
        <v>127</v>
      </c>
      <c r="B66" s="5">
        <v>31720836</v>
      </c>
      <c r="C66" s="5" t="s">
        <v>54</v>
      </c>
      <c r="D66" s="5" t="s">
        <v>128</v>
      </c>
      <c r="E66" s="5"/>
      <c r="F66" s="10" t="s">
        <v>87</v>
      </c>
    </row>
    <row r="67" spans="1:7" ht="131.25" x14ac:dyDescent="0.2">
      <c r="A67" s="5" t="s">
        <v>129</v>
      </c>
      <c r="B67" s="5">
        <v>31720833</v>
      </c>
      <c r="C67" s="5" t="s">
        <v>54</v>
      </c>
      <c r="D67" s="5" t="s">
        <v>109</v>
      </c>
      <c r="E67" s="5"/>
      <c r="F67" s="25" t="s">
        <v>130</v>
      </c>
      <c r="G67" s="5"/>
    </row>
    <row r="68" spans="1:7" ht="243.75" x14ac:dyDescent="0.2">
      <c r="A68" s="5" t="s">
        <v>131</v>
      </c>
      <c r="B68" s="5">
        <v>31720834</v>
      </c>
      <c r="C68" s="5" t="s">
        <v>54</v>
      </c>
      <c r="D68" s="5" t="s">
        <v>109</v>
      </c>
      <c r="E68" s="5"/>
      <c r="F68" s="26" t="s">
        <v>303</v>
      </c>
      <c r="G68" s="5"/>
    </row>
    <row r="69" spans="1:7" ht="93.75" x14ac:dyDescent="0.2">
      <c r="A69" s="5" t="s">
        <v>132</v>
      </c>
      <c r="B69" s="5">
        <v>31720835</v>
      </c>
      <c r="C69" s="5" t="s">
        <v>54</v>
      </c>
      <c r="D69" s="5" t="s">
        <v>109</v>
      </c>
      <c r="E69" s="5"/>
      <c r="F69" s="26" t="s">
        <v>304</v>
      </c>
      <c r="G69" s="5"/>
    </row>
    <row r="70" spans="1:7" ht="28.5" x14ac:dyDescent="0.45">
      <c r="A70" s="8" t="s">
        <v>133</v>
      </c>
      <c r="B70" s="8"/>
      <c r="C70" s="8"/>
      <c r="D70" s="8"/>
      <c r="E70" s="8"/>
      <c r="F70" s="8"/>
      <c r="G70" s="8"/>
    </row>
    <row r="71" spans="1:7" x14ac:dyDescent="0.2">
      <c r="F71" t="s">
        <v>51</v>
      </c>
      <c r="G71" t="s">
        <v>52</v>
      </c>
    </row>
    <row r="72" spans="1:7" ht="60" x14ac:dyDescent="0.2">
      <c r="A72" s="5" t="s">
        <v>134</v>
      </c>
      <c r="B72" s="5">
        <v>31766774</v>
      </c>
      <c r="C72" s="5" t="s">
        <v>54</v>
      </c>
      <c r="D72" s="5" t="s">
        <v>65</v>
      </c>
      <c r="E72" s="12"/>
      <c r="F72" s="13" t="s">
        <v>66</v>
      </c>
      <c r="G72" s="5"/>
    </row>
    <row r="73" spans="1:7" ht="18.75" x14ac:dyDescent="0.2">
      <c r="A73" s="5" t="s">
        <v>67</v>
      </c>
      <c r="B73" s="5">
        <v>42680013</v>
      </c>
      <c r="C73" s="5" t="s">
        <v>68</v>
      </c>
      <c r="D73" s="5" t="s">
        <v>67</v>
      </c>
      <c r="E73" s="14" t="s">
        <v>75</v>
      </c>
      <c r="F73" s="15" t="s">
        <v>135</v>
      </c>
    </row>
    <row r="74" spans="1:7" ht="18.75" x14ac:dyDescent="0.2">
      <c r="A74" s="5" t="s">
        <v>67</v>
      </c>
      <c r="B74" s="5">
        <v>42680014</v>
      </c>
      <c r="C74" s="5" t="s">
        <v>68</v>
      </c>
      <c r="D74" s="5" t="s">
        <v>67</v>
      </c>
      <c r="E74" s="14"/>
      <c r="F74" s="15" t="s">
        <v>136</v>
      </c>
    </row>
    <row r="75" spans="1:7" ht="18.75" x14ac:dyDescent="0.2">
      <c r="A75" s="5" t="s">
        <v>67</v>
      </c>
      <c r="B75" s="5">
        <v>42680015</v>
      </c>
      <c r="C75" s="5" t="s">
        <v>68</v>
      </c>
      <c r="D75" s="5" t="s">
        <v>67</v>
      </c>
      <c r="E75" s="14"/>
      <c r="F75" s="15" t="s">
        <v>137</v>
      </c>
    </row>
    <row r="76" spans="1:7" ht="18.75" x14ac:dyDescent="0.2">
      <c r="A76" s="5" t="s">
        <v>67</v>
      </c>
      <c r="B76" s="5">
        <v>42680016</v>
      </c>
      <c r="C76" s="5" t="s">
        <v>68</v>
      </c>
      <c r="D76" s="5" t="s">
        <v>67</v>
      </c>
      <c r="E76" s="14"/>
      <c r="F76" s="15" t="s">
        <v>138</v>
      </c>
    </row>
    <row r="77" spans="1:7" ht="60" x14ac:dyDescent="0.2">
      <c r="A77" s="5" t="s">
        <v>139</v>
      </c>
      <c r="B77" s="5">
        <v>31756741</v>
      </c>
      <c r="C77" s="5" t="s">
        <v>54</v>
      </c>
      <c r="D77" s="5" t="s">
        <v>140</v>
      </c>
      <c r="E77" s="5"/>
      <c r="F77" s="11" t="s">
        <v>141</v>
      </c>
      <c r="G77" s="5"/>
    </row>
    <row r="78" spans="1:7" ht="60" x14ac:dyDescent="0.2">
      <c r="A78" s="5" t="s">
        <v>142</v>
      </c>
      <c r="B78" s="5">
        <v>32042910</v>
      </c>
      <c r="C78" s="5" t="s">
        <v>54</v>
      </c>
      <c r="D78" s="5" t="s">
        <v>143</v>
      </c>
      <c r="E78" s="5"/>
      <c r="F78" s="11" t="s">
        <v>144</v>
      </c>
      <c r="G78" s="5"/>
    </row>
    <row r="79" spans="1:7" ht="75" x14ac:dyDescent="0.2">
      <c r="A79" s="5" t="s">
        <v>145</v>
      </c>
      <c r="B79" s="5">
        <v>31756738</v>
      </c>
      <c r="C79" s="5" t="s">
        <v>54</v>
      </c>
      <c r="D79" s="5" t="s">
        <v>140</v>
      </c>
      <c r="E79" s="5"/>
      <c r="F79" s="11" t="s">
        <v>146</v>
      </c>
      <c r="G79" s="5"/>
    </row>
    <row r="80" spans="1:7" ht="60" x14ac:dyDescent="0.2">
      <c r="A80" s="5" t="s">
        <v>147</v>
      </c>
      <c r="B80" s="5">
        <v>31756747</v>
      </c>
      <c r="C80" s="5" t="s">
        <v>54</v>
      </c>
      <c r="D80" s="5" t="s">
        <v>55</v>
      </c>
      <c r="E80" s="5"/>
      <c r="F80" s="11" t="s">
        <v>148</v>
      </c>
      <c r="G80" s="11" t="s">
        <v>305</v>
      </c>
    </row>
    <row r="81" spans="1:7" ht="60" x14ac:dyDescent="0.2">
      <c r="A81" s="5" t="s">
        <v>149</v>
      </c>
      <c r="B81" s="5">
        <v>31756748</v>
      </c>
      <c r="C81" s="5" t="s">
        <v>54</v>
      </c>
      <c r="D81" s="5" t="s">
        <v>140</v>
      </c>
      <c r="E81" s="5"/>
      <c r="F81" s="11" t="s">
        <v>150</v>
      </c>
      <c r="G81" s="5"/>
    </row>
    <row r="82" spans="1:7" ht="60" x14ac:dyDescent="0.2">
      <c r="A82" s="5" t="s">
        <v>151</v>
      </c>
      <c r="B82" s="5">
        <v>31756749</v>
      </c>
      <c r="C82" s="5" t="s">
        <v>54</v>
      </c>
      <c r="D82" s="5" t="s">
        <v>140</v>
      </c>
      <c r="E82" s="5"/>
      <c r="F82" s="11" t="s">
        <v>152</v>
      </c>
      <c r="G82" s="5"/>
    </row>
    <row r="83" spans="1:7" ht="60" x14ac:dyDescent="0.2">
      <c r="A83" s="5" t="s">
        <v>153</v>
      </c>
      <c r="B83" s="5">
        <v>31756750</v>
      </c>
      <c r="C83" s="5" t="s">
        <v>54</v>
      </c>
      <c r="D83" s="5" t="s">
        <v>140</v>
      </c>
      <c r="E83" s="5"/>
      <c r="F83" s="11" t="s">
        <v>154</v>
      </c>
      <c r="G83" s="5"/>
    </row>
    <row r="84" spans="1:7" ht="60" x14ac:dyDescent="0.2">
      <c r="A84" s="5" t="s">
        <v>155</v>
      </c>
      <c r="B84" s="5">
        <v>31756751</v>
      </c>
      <c r="C84" s="5" t="s">
        <v>54</v>
      </c>
      <c r="D84" s="5" t="s">
        <v>140</v>
      </c>
      <c r="E84" s="5"/>
      <c r="F84" s="11" t="s">
        <v>156</v>
      </c>
      <c r="G84" s="5"/>
    </row>
    <row r="85" spans="1:7" ht="60" x14ac:dyDescent="0.2">
      <c r="A85" s="5" t="s">
        <v>157</v>
      </c>
      <c r="B85" s="5">
        <v>31756752</v>
      </c>
      <c r="C85" s="5" t="s">
        <v>54</v>
      </c>
      <c r="D85" s="5" t="s">
        <v>143</v>
      </c>
      <c r="E85" s="5"/>
      <c r="F85" s="11" t="s">
        <v>158</v>
      </c>
      <c r="G85" s="5"/>
    </row>
    <row r="86" spans="1:7" ht="93.75" x14ac:dyDescent="0.2">
      <c r="A86" s="5" t="s">
        <v>159</v>
      </c>
      <c r="B86" s="5">
        <v>31756753</v>
      </c>
      <c r="C86" s="5" t="s">
        <v>54</v>
      </c>
      <c r="D86" s="5" t="s">
        <v>143</v>
      </c>
      <c r="E86" s="5"/>
      <c r="F86" s="11" t="s">
        <v>160</v>
      </c>
      <c r="G86" s="5"/>
    </row>
    <row r="87" spans="1:7" ht="60" x14ac:dyDescent="0.2">
      <c r="A87" s="5" t="s">
        <v>161</v>
      </c>
      <c r="B87" s="5">
        <v>31756754</v>
      </c>
      <c r="C87" s="5" t="s">
        <v>54</v>
      </c>
      <c r="D87" s="5" t="s">
        <v>140</v>
      </c>
      <c r="E87" s="5"/>
      <c r="F87" s="11" t="s">
        <v>162</v>
      </c>
      <c r="G87" s="5"/>
    </row>
    <row r="88" spans="1:7" ht="75" x14ac:dyDescent="0.2">
      <c r="A88" s="5" t="s">
        <v>163</v>
      </c>
      <c r="B88" s="5">
        <v>31886043</v>
      </c>
      <c r="C88" s="5" t="s">
        <v>54</v>
      </c>
      <c r="D88" s="5" t="s">
        <v>140</v>
      </c>
      <c r="E88" s="5"/>
      <c r="F88" s="11" t="s">
        <v>306</v>
      </c>
      <c r="G88" s="5"/>
    </row>
    <row r="89" spans="1:7" ht="28.5" x14ac:dyDescent="0.45">
      <c r="A89" s="8" t="s">
        <v>164</v>
      </c>
      <c r="B89" s="8"/>
      <c r="C89" s="8"/>
      <c r="D89" s="8"/>
      <c r="E89" s="8"/>
      <c r="F89" s="8"/>
      <c r="G89" s="8"/>
    </row>
    <row r="90" spans="1:7" x14ac:dyDescent="0.2">
      <c r="F90" t="s">
        <v>51</v>
      </c>
      <c r="G90" t="s">
        <v>52</v>
      </c>
    </row>
    <row r="91" spans="1:7" ht="60" x14ac:dyDescent="0.2">
      <c r="A91" s="5" t="s">
        <v>165</v>
      </c>
      <c r="B91" s="5">
        <v>31756795</v>
      </c>
      <c r="C91" s="5" t="s">
        <v>54</v>
      </c>
      <c r="D91" s="5" t="s">
        <v>140</v>
      </c>
      <c r="E91" s="5"/>
      <c r="F91" s="23" t="s">
        <v>166</v>
      </c>
      <c r="G91" s="5"/>
    </row>
    <row r="92" spans="1:7" ht="60" x14ac:dyDescent="0.2">
      <c r="A92" s="5" t="s">
        <v>167</v>
      </c>
      <c r="B92" s="5">
        <v>31756796</v>
      </c>
      <c r="C92" s="5" t="s">
        <v>54</v>
      </c>
      <c r="D92" s="5" t="s">
        <v>140</v>
      </c>
      <c r="E92" s="5"/>
      <c r="F92" s="24" t="s">
        <v>168</v>
      </c>
      <c r="G92" s="5"/>
    </row>
    <row r="93" spans="1:7" ht="75" x14ac:dyDescent="0.2">
      <c r="A93" s="5" t="s">
        <v>169</v>
      </c>
      <c r="B93" s="5">
        <v>31756797</v>
      </c>
      <c r="C93" s="5" t="s">
        <v>54</v>
      </c>
      <c r="D93" s="5" t="s">
        <v>109</v>
      </c>
      <c r="E93" s="5"/>
      <c r="F93" s="24" t="s">
        <v>307</v>
      </c>
      <c r="G93" s="5"/>
    </row>
    <row r="94" spans="1:7" ht="75" x14ac:dyDescent="0.2">
      <c r="A94" s="5" t="s">
        <v>170</v>
      </c>
      <c r="B94" s="5">
        <v>31756798</v>
      </c>
      <c r="C94" s="5" t="s">
        <v>54</v>
      </c>
      <c r="D94" s="5" t="s">
        <v>140</v>
      </c>
      <c r="E94" s="5"/>
      <c r="F94" s="24" t="s">
        <v>308</v>
      </c>
      <c r="G94" s="5"/>
    </row>
    <row r="95" spans="1:7" ht="75" x14ac:dyDescent="0.2">
      <c r="A95" s="5" t="s">
        <v>171</v>
      </c>
      <c r="B95" s="5">
        <v>31756799</v>
      </c>
      <c r="C95" s="5" t="s">
        <v>54</v>
      </c>
      <c r="D95" s="5" t="s">
        <v>140</v>
      </c>
      <c r="E95" s="5"/>
      <c r="F95" s="24" t="s">
        <v>309</v>
      </c>
      <c r="G95" s="5"/>
    </row>
    <row r="96" spans="1:7" ht="60" x14ac:dyDescent="0.2">
      <c r="A96" s="5" t="s">
        <v>172</v>
      </c>
      <c r="B96" s="5">
        <v>31756800</v>
      </c>
      <c r="C96" s="5" t="s">
        <v>54</v>
      </c>
      <c r="D96" s="5" t="s">
        <v>140</v>
      </c>
      <c r="E96" s="5"/>
      <c r="F96" s="24" t="s">
        <v>310</v>
      </c>
      <c r="G96" s="5"/>
    </row>
    <row r="97" spans="1:7" ht="60" x14ac:dyDescent="0.2">
      <c r="A97" s="5" t="s">
        <v>173</v>
      </c>
      <c r="B97" s="5">
        <v>31756801</v>
      </c>
      <c r="C97" s="5" t="s">
        <v>54</v>
      </c>
      <c r="D97" s="5" t="s">
        <v>140</v>
      </c>
      <c r="E97" s="5"/>
      <c r="F97" s="24" t="s">
        <v>174</v>
      </c>
      <c r="G97" s="5"/>
    </row>
    <row r="98" spans="1:7" ht="75" x14ac:dyDescent="0.2">
      <c r="A98" s="5" t="s">
        <v>175</v>
      </c>
      <c r="B98" s="5">
        <v>31756802</v>
      </c>
      <c r="C98" s="5" t="s">
        <v>54</v>
      </c>
      <c r="D98" s="5" t="s">
        <v>140</v>
      </c>
      <c r="E98" s="5"/>
      <c r="F98" s="24" t="s">
        <v>176</v>
      </c>
      <c r="G98" s="5"/>
    </row>
    <row r="99" spans="1:7" ht="120" x14ac:dyDescent="0.2">
      <c r="A99" s="5" t="s">
        <v>177</v>
      </c>
      <c r="B99" s="5">
        <v>31756803</v>
      </c>
      <c r="C99" s="5" t="s">
        <v>54</v>
      </c>
      <c r="D99" s="5" t="s">
        <v>109</v>
      </c>
      <c r="E99" s="5"/>
      <c r="F99" s="25" t="s">
        <v>178</v>
      </c>
      <c r="G99" s="5"/>
    </row>
    <row r="100" spans="1:7" ht="93.75" x14ac:dyDescent="0.2">
      <c r="A100" s="5" t="s">
        <v>179</v>
      </c>
      <c r="B100" s="5">
        <v>31756805</v>
      </c>
      <c r="C100" s="5" t="s">
        <v>54</v>
      </c>
      <c r="D100" s="5" t="s">
        <v>140</v>
      </c>
      <c r="E100" s="5"/>
      <c r="F100" s="26" t="s">
        <v>180</v>
      </c>
      <c r="G100" s="5"/>
    </row>
    <row r="101" spans="1:7" ht="206.25" x14ac:dyDescent="0.2">
      <c r="A101" s="5" t="s">
        <v>181</v>
      </c>
      <c r="B101" s="5">
        <v>31756806</v>
      </c>
      <c r="C101" s="5" t="s">
        <v>54</v>
      </c>
      <c r="D101" s="5" t="s">
        <v>122</v>
      </c>
      <c r="E101" s="5"/>
      <c r="F101" s="26" t="s">
        <v>182</v>
      </c>
      <c r="G101" s="5"/>
    </row>
    <row r="102" spans="1:7" ht="60" x14ac:dyDescent="0.2">
      <c r="A102" s="5" t="s">
        <v>183</v>
      </c>
      <c r="B102" s="5">
        <v>31756807</v>
      </c>
      <c r="C102" s="5" t="s">
        <v>54</v>
      </c>
      <c r="D102" s="5" t="s">
        <v>143</v>
      </c>
      <c r="E102" s="5"/>
      <c r="F102" s="26" t="s">
        <v>184</v>
      </c>
      <c r="G102" s="5"/>
    </row>
    <row r="103" spans="1:7" ht="409.5" x14ac:dyDescent="0.2">
      <c r="A103" s="5" t="s">
        <v>185</v>
      </c>
      <c r="B103" s="5">
        <v>31756808</v>
      </c>
      <c r="C103" s="5" t="s">
        <v>54</v>
      </c>
      <c r="D103" s="5" t="s">
        <v>109</v>
      </c>
      <c r="E103" s="5"/>
      <c r="F103" s="26" t="s">
        <v>311</v>
      </c>
      <c r="G103" s="5"/>
    </row>
    <row r="104" spans="1:7" ht="60" x14ac:dyDescent="0.2">
      <c r="A104" s="5" t="s">
        <v>186</v>
      </c>
      <c r="B104" s="5">
        <v>31756809</v>
      </c>
      <c r="C104" s="5" t="s">
        <v>54</v>
      </c>
      <c r="D104" s="5" t="s">
        <v>140</v>
      </c>
      <c r="E104" s="5"/>
      <c r="F104" s="28" t="s">
        <v>187</v>
      </c>
      <c r="G104" s="5"/>
    </row>
    <row r="105" spans="1:7" ht="75" x14ac:dyDescent="0.2">
      <c r="A105" s="5" t="s">
        <v>188</v>
      </c>
      <c r="B105" s="5">
        <v>31756810</v>
      </c>
      <c r="C105" s="5" t="s">
        <v>54</v>
      </c>
      <c r="D105" s="5" t="s">
        <v>140</v>
      </c>
      <c r="E105" s="5"/>
      <c r="F105" s="24" t="s">
        <v>189</v>
      </c>
      <c r="G105" s="5"/>
    </row>
    <row r="106" spans="1:7" ht="75" x14ac:dyDescent="0.2">
      <c r="A106" s="5" t="s">
        <v>190</v>
      </c>
      <c r="B106" s="5">
        <v>31756811</v>
      </c>
      <c r="C106" s="5" t="s">
        <v>54</v>
      </c>
      <c r="D106" s="5" t="s">
        <v>140</v>
      </c>
      <c r="E106" s="5"/>
      <c r="F106" s="27" t="s">
        <v>191</v>
      </c>
      <c r="G106" s="5"/>
    </row>
    <row r="107" spans="1:7" ht="75.75" thickBot="1" x14ac:dyDescent="0.25">
      <c r="A107" s="5" t="s">
        <v>192</v>
      </c>
      <c r="B107" s="5">
        <v>31756812</v>
      </c>
      <c r="C107" s="5" t="s">
        <v>54</v>
      </c>
      <c r="D107" s="5" t="s">
        <v>140</v>
      </c>
      <c r="E107" s="5"/>
      <c r="F107" s="24" t="s">
        <v>193</v>
      </c>
      <c r="G107" s="5"/>
    </row>
    <row r="108" spans="1:7" ht="93.75" x14ac:dyDescent="0.2">
      <c r="A108" s="5" t="s">
        <v>194</v>
      </c>
      <c r="B108" s="5">
        <v>31756813</v>
      </c>
      <c r="C108" s="5" t="s">
        <v>54</v>
      </c>
      <c r="D108" s="5" t="s">
        <v>140</v>
      </c>
      <c r="E108" s="5"/>
      <c r="F108" s="28" t="s">
        <v>195</v>
      </c>
      <c r="G108" s="5"/>
    </row>
    <row r="109" spans="1:7" ht="60" x14ac:dyDescent="0.2">
      <c r="A109" s="5" t="s">
        <v>196</v>
      </c>
      <c r="B109" s="5">
        <v>31756816</v>
      </c>
      <c r="C109" s="5" t="s">
        <v>54</v>
      </c>
      <c r="D109" s="5" t="s">
        <v>140</v>
      </c>
      <c r="E109" s="5"/>
      <c r="F109" s="29" t="s">
        <v>312</v>
      </c>
      <c r="G109" s="5"/>
    </row>
    <row r="110" spans="1:7" ht="75" x14ac:dyDescent="0.2">
      <c r="A110" s="5" t="s">
        <v>197</v>
      </c>
      <c r="B110" s="5">
        <v>31756817</v>
      </c>
      <c r="C110" s="5" t="s">
        <v>54</v>
      </c>
      <c r="D110" s="5" t="s">
        <v>140</v>
      </c>
      <c r="E110" s="5"/>
      <c r="F110" s="24" t="s">
        <v>198</v>
      </c>
      <c r="G110" s="5"/>
    </row>
    <row r="111" spans="1:7" ht="90" x14ac:dyDescent="0.2">
      <c r="A111" s="5" t="s">
        <v>199</v>
      </c>
      <c r="B111" s="5">
        <v>31756818</v>
      </c>
      <c r="C111" s="5" t="s">
        <v>54</v>
      </c>
      <c r="D111" s="5" t="s">
        <v>140</v>
      </c>
      <c r="E111" s="5"/>
      <c r="F111" s="24" t="s">
        <v>313</v>
      </c>
      <c r="G111" s="5"/>
    </row>
    <row r="112" spans="1:7" ht="75" x14ac:dyDescent="0.2">
      <c r="A112" s="5" t="s">
        <v>200</v>
      </c>
      <c r="B112" s="5">
        <v>31756819</v>
      </c>
      <c r="C112" s="5" t="s">
        <v>54</v>
      </c>
      <c r="D112" s="5" t="s">
        <v>140</v>
      </c>
      <c r="E112" s="5"/>
      <c r="F112" s="25" t="s">
        <v>201</v>
      </c>
      <c r="G112" s="5"/>
    </row>
    <row r="113" spans="1:7" ht="75" x14ac:dyDescent="0.2">
      <c r="A113" s="5" t="s">
        <v>202</v>
      </c>
      <c r="B113" s="5">
        <v>31756820</v>
      </c>
      <c r="C113" s="5" t="s">
        <v>54</v>
      </c>
      <c r="D113" s="5" t="s">
        <v>140</v>
      </c>
      <c r="E113" s="5"/>
      <c r="F113" s="26" t="s">
        <v>203</v>
      </c>
      <c r="G113" s="5"/>
    </row>
    <row r="114" spans="1:7" ht="28.5" x14ac:dyDescent="0.45">
      <c r="A114" s="8" t="s">
        <v>204</v>
      </c>
      <c r="B114" s="8"/>
      <c r="C114" s="8"/>
      <c r="D114" s="8"/>
      <c r="E114" s="8"/>
      <c r="F114" s="8"/>
      <c r="G114" s="8"/>
    </row>
    <row r="115" spans="1:7" x14ac:dyDescent="0.2">
      <c r="F115" t="s">
        <v>51</v>
      </c>
      <c r="G115" t="s">
        <v>52</v>
      </c>
    </row>
    <row r="116" spans="1:7" ht="157.5" x14ac:dyDescent="0.2">
      <c r="A116" s="5" t="s">
        <v>205</v>
      </c>
      <c r="B116" s="5">
        <v>31756846</v>
      </c>
      <c r="C116" s="5" t="s">
        <v>54</v>
      </c>
      <c r="D116" s="5" t="s">
        <v>109</v>
      </c>
      <c r="E116" s="5"/>
      <c r="F116" s="21" t="s">
        <v>206</v>
      </c>
      <c r="G116" s="5"/>
    </row>
    <row r="117" spans="1:7" ht="141.75" x14ac:dyDescent="0.2">
      <c r="A117" s="5" t="s">
        <v>207</v>
      </c>
      <c r="B117" s="5">
        <v>31756847</v>
      </c>
      <c r="C117" s="5" t="s">
        <v>54</v>
      </c>
      <c r="D117" s="5" t="s">
        <v>109</v>
      </c>
      <c r="E117" s="5"/>
      <c r="F117" s="22" t="s">
        <v>314</v>
      </c>
      <c r="G117" s="5"/>
    </row>
    <row r="118" spans="1:7" ht="112.5" x14ac:dyDescent="0.2">
      <c r="A118" s="5" t="s">
        <v>208</v>
      </c>
      <c r="B118" s="5">
        <v>31914519</v>
      </c>
      <c r="C118" s="5" t="s">
        <v>54</v>
      </c>
      <c r="D118" s="5" t="s">
        <v>109</v>
      </c>
      <c r="E118" s="5"/>
      <c r="F118" s="11" t="s">
        <v>209</v>
      </c>
      <c r="G118" s="5"/>
    </row>
    <row r="119" spans="1:7" ht="243.75" x14ac:dyDescent="0.2">
      <c r="A119" s="5" t="s">
        <v>210</v>
      </c>
      <c r="B119" s="5">
        <v>31756851</v>
      </c>
      <c r="C119" s="5" t="s">
        <v>54</v>
      </c>
      <c r="D119" s="5" t="s">
        <v>109</v>
      </c>
      <c r="E119" s="5"/>
      <c r="F119" s="11" t="s">
        <v>211</v>
      </c>
      <c r="G119" s="5"/>
    </row>
    <row r="120" spans="1:7" ht="243.75" x14ac:dyDescent="0.2">
      <c r="A120" s="5" t="s">
        <v>212</v>
      </c>
      <c r="B120" s="5">
        <v>31756853</v>
      </c>
      <c r="C120" s="5" t="s">
        <v>54</v>
      </c>
      <c r="D120" s="5" t="s">
        <v>109</v>
      </c>
      <c r="E120" s="5"/>
      <c r="F120" s="11" t="s">
        <v>213</v>
      </c>
      <c r="G120" s="5"/>
    </row>
    <row r="121" spans="1:7" ht="112.5" x14ac:dyDescent="0.2">
      <c r="A121" s="5" t="s">
        <v>214</v>
      </c>
      <c r="B121" s="5">
        <v>31756855</v>
      </c>
      <c r="C121" s="5" t="s">
        <v>54</v>
      </c>
      <c r="D121" s="5" t="s">
        <v>109</v>
      </c>
      <c r="E121" s="5"/>
      <c r="F121" s="11" t="s">
        <v>315</v>
      </c>
      <c r="G121" s="5"/>
    </row>
    <row r="122" spans="1:7" ht="28.5" x14ac:dyDescent="0.45">
      <c r="A122" s="8" t="s">
        <v>215</v>
      </c>
      <c r="B122" s="8"/>
      <c r="C122" s="8"/>
      <c r="D122" s="8"/>
      <c r="E122" s="8"/>
      <c r="F122" s="8"/>
      <c r="G122" s="8"/>
    </row>
    <row r="123" spans="1:7" x14ac:dyDescent="0.2">
      <c r="F123" t="s">
        <v>51</v>
      </c>
      <c r="G123" t="s">
        <v>52</v>
      </c>
    </row>
    <row r="124" spans="1:7" ht="150" x14ac:dyDescent="0.2">
      <c r="A124" s="5" t="s">
        <v>216</v>
      </c>
      <c r="B124" s="5">
        <v>31720820</v>
      </c>
      <c r="C124" s="5" t="s">
        <v>54</v>
      </c>
      <c r="D124" s="5" t="s">
        <v>109</v>
      </c>
      <c r="E124" s="5"/>
      <c r="F124" s="11" t="s">
        <v>217</v>
      </c>
      <c r="G124" s="5"/>
    </row>
    <row r="125" spans="1:7" ht="75" x14ac:dyDescent="0.2">
      <c r="A125" s="5" t="s">
        <v>218</v>
      </c>
      <c r="B125" s="5">
        <v>32043594</v>
      </c>
      <c r="C125" s="5" t="s">
        <v>54</v>
      </c>
      <c r="D125" s="5" t="s">
        <v>109</v>
      </c>
      <c r="E125" s="5"/>
      <c r="F125" s="11" t="s">
        <v>219</v>
      </c>
      <c r="G125" s="5"/>
    </row>
    <row r="126" spans="1:7" ht="375" x14ac:dyDescent="0.2">
      <c r="A126" s="5" t="s">
        <v>220</v>
      </c>
      <c r="B126" s="5">
        <v>32143980</v>
      </c>
      <c r="C126" s="5" t="s">
        <v>54</v>
      </c>
      <c r="D126" s="5" t="s">
        <v>109</v>
      </c>
      <c r="E126" s="5"/>
      <c r="F126" s="11" t="s">
        <v>323</v>
      </c>
      <c r="G126" s="5"/>
    </row>
    <row r="127" spans="1:7" ht="75" x14ac:dyDescent="0.2">
      <c r="A127" s="5" t="s">
        <v>221</v>
      </c>
      <c r="B127" s="5">
        <v>32143981</v>
      </c>
      <c r="C127" s="5" t="s">
        <v>54</v>
      </c>
      <c r="D127" s="5" t="s">
        <v>109</v>
      </c>
      <c r="E127" s="5"/>
      <c r="F127" s="11" t="s">
        <v>222</v>
      </c>
      <c r="G127" s="5"/>
    </row>
    <row r="128" spans="1:7" ht="75" x14ac:dyDescent="0.2">
      <c r="A128" s="5" t="s">
        <v>223</v>
      </c>
      <c r="B128" s="5">
        <v>32158374</v>
      </c>
      <c r="C128" s="5" t="s">
        <v>54</v>
      </c>
      <c r="D128" s="5" t="s">
        <v>128</v>
      </c>
      <c r="E128" s="5"/>
      <c r="F128" s="10" t="s">
        <v>87</v>
      </c>
    </row>
    <row r="129" spans="1:7" ht="28.5" x14ac:dyDescent="0.45">
      <c r="A129" s="8" t="s">
        <v>224</v>
      </c>
      <c r="B129" s="8"/>
      <c r="C129" s="8"/>
      <c r="D129" s="8"/>
      <c r="E129" s="8"/>
      <c r="F129" s="8"/>
      <c r="G129" s="8"/>
    </row>
    <row r="130" spans="1:7" x14ac:dyDescent="0.2">
      <c r="F130" t="s">
        <v>51</v>
      </c>
      <c r="G130" t="s">
        <v>52</v>
      </c>
    </row>
    <row r="131" spans="1:7" ht="281.25" x14ac:dyDescent="0.2">
      <c r="A131" s="5" t="s">
        <v>225</v>
      </c>
      <c r="B131" s="5">
        <v>32143993</v>
      </c>
      <c r="C131" s="5" t="s">
        <v>54</v>
      </c>
      <c r="D131" s="5" t="s">
        <v>109</v>
      </c>
      <c r="E131" s="5"/>
      <c r="F131" s="11" t="s">
        <v>316</v>
      </c>
      <c r="G131" s="5"/>
    </row>
    <row r="132" spans="1:7" ht="15" x14ac:dyDescent="0.2">
      <c r="A132" s="6" t="s">
        <v>226</v>
      </c>
    </row>
    <row r="133" spans="1:7" ht="75" x14ac:dyDescent="0.2">
      <c r="A133" s="5" t="s">
        <v>227</v>
      </c>
    </row>
    <row r="134" spans="1:7" ht="187.5" x14ac:dyDescent="0.2">
      <c r="A134" s="5" t="s">
        <v>228</v>
      </c>
      <c r="B134" s="5">
        <v>32143995</v>
      </c>
      <c r="C134" s="5" t="s">
        <v>54</v>
      </c>
      <c r="D134" s="5" t="s">
        <v>109</v>
      </c>
      <c r="E134" s="5"/>
      <c r="F134" s="11" t="s">
        <v>229</v>
      </c>
      <c r="G134" s="5"/>
    </row>
    <row r="135" spans="1:7" ht="112.5" x14ac:dyDescent="0.2">
      <c r="A135" s="5" t="s">
        <v>230</v>
      </c>
      <c r="B135" s="5">
        <v>32143996</v>
      </c>
      <c r="C135" s="5" t="s">
        <v>54</v>
      </c>
      <c r="D135" s="5" t="s">
        <v>109</v>
      </c>
      <c r="E135" s="5"/>
      <c r="F135" s="11" t="s">
        <v>231</v>
      </c>
      <c r="G135" s="5"/>
    </row>
    <row r="136" spans="1:7" ht="262.5" x14ac:dyDescent="0.2">
      <c r="A136" s="5" t="s">
        <v>232</v>
      </c>
      <c r="B136" s="5">
        <v>32143997</v>
      </c>
      <c r="C136" s="5" t="s">
        <v>54</v>
      </c>
      <c r="D136" s="5" t="s">
        <v>109</v>
      </c>
      <c r="E136" s="5"/>
      <c r="F136" s="11" t="s">
        <v>233</v>
      </c>
      <c r="G136" s="5"/>
    </row>
    <row r="137" spans="1:7" ht="409.5" x14ac:dyDescent="0.2">
      <c r="A137" s="5" t="s">
        <v>234</v>
      </c>
      <c r="B137" s="5">
        <v>32143998</v>
      </c>
      <c r="C137" s="5" t="s">
        <v>54</v>
      </c>
      <c r="D137" s="5" t="s">
        <v>109</v>
      </c>
      <c r="E137" s="5"/>
      <c r="F137" s="11" t="s">
        <v>317</v>
      </c>
      <c r="G137" s="5"/>
    </row>
    <row r="138" spans="1:7" ht="131.25" x14ac:dyDescent="0.2">
      <c r="A138" s="5" t="s">
        <v>235</v>
      </c>
      <c r="B138" s="5">
        <v>32143999</v>
      </c>
      <c r="C138" s="5" t="s">
        <v>54</v>
      </c>
      <c r="D138" s="5" t="s">
        <v>109</v>
      </c>
      <c r="E138" s="5"/>
      <c r="F138" s="11" t="s">
        <v>318</v>
      </c>
      <c r="G138" s="5"/>
    </row>
    <row r="140" spans="1:7" ht="318.75" x14ac:dyDescent="0.2">
      <c r="A140" s="5" t="s">
        <v>236</v>
      </c>
      <c r="B140" s="5">
        <v>32144000</v>
      </c>
      <c r="C140" s="5" t="s">
        <v>54</v>
      </c>
      <c r="D140" s="5" t="s">
        <v>109</v>
      </c>
      <c r="E140" s="5"/>
      <c r="F140" s="11" t="s">
        <v>319</v>
      </c>
      <c r="G140" s="5"/>
    </row>
    <row r="141" spans="1:7" ht="356.25" x14ac:dyDescent="0.2">
      <c r="A141" s="5" t="s">
        <v>237</v>
      </c>
      <c r="B141" s="5">
        <v>32144001</v>
      </c>
      <c r="C141" s="5" t="s">
        <v>54</v>
      </c>
      <c r="D141" s="5" t="s">
        <v>109</v>
      </c>
      <c r="E141" s="5"/>
      <c r="F141" s="11" t="s">
        <v>238</v>
      </c>
      <c r="G141" s="5"/>
    </row>
    <row r="142" spans="1:7" ht="409.5" x14ac:dyDescent="0.2">
      <c r="A142" s="5" t="s">
        <v>239</v>
      </c>
      <c r="B142" s="5">
        <v>32144002</v>
      </c>
      <c r="C142" s="5" t="s">
        <v>54</v>
      </c>
      <c r="D142" s="5" t="s">
        <v>109</v>
      </c>
      <c r="E142" s="5"/>
      <c r="F142" s="11" t="s">
        <v>240</v>
      </c>
      <c r="G142" s="5"/>
    </row>
    <row r="143" spans="1:7" ht="131.25" x14ac:dyDescent="0.2">
      <c r="A143" s="5" t="s">
        <v>241</v>
      </c>
      <c r="B143" s="5">
        <v>32144003</v>
      </c>
      <c r="C143" s="5" t="s">
        <v>54</v>
      </c>
      <c r="D143" s="5" t="s">
        <v>109</v>
      </c>
      <c r="E143" s="5"/>
      <c r="F143" s="11" t="s">
        <v>242</v>
      </c>
      <c r="G143" s="5"/>
    </row>
    <row r="144" spans="1:7" ht="409.5" x14ac:dyDescent="0.2">
      <c r="A144" s="5" t="s">
        <v>243</v>
      </c>
      <c r="B144" s="5">
        <v>32144004</v>
      </c>
      <c r="C144" s="5" t="s">
        <v>54</v>
      </c>
      <c r="D144" s="5" t="s">
        <v>109</v>
      </c>
      <c r="E144" s="5"/>
      <c r="F144" s="11" t="s">
        <v>320</v>
      </c>
      <c r="G144" s="5"/>
    </row>
    <row r="145" spans="1:7" ht="281.25" x14ac:dyDescent="0.2">
      <c r="A145" s="5" t="s">
        <v>244</v>
      </c>
      <c r="B145" s="5">
        <v>32144005</v>
      </c>
      <c r="C145" s="5" t="s">
        <v>54</v>
      </c>
      <c r="D145" s="5" t="s">
        <v>109</v>
      </c>
      <c r="E145" s="5"/>
      <c r="F145" s="11" t="s">
        <v>245</v>
      </c>
      <c r="G145" s="5"/>
    </row>
    <row r="146" spans="1:7" ht="150" x14ac:dyDescent="0.2">
      <c r="A146" s="5" t="s">
        <v>246</v>
      </c>
      <c r="B146" s="5">
        <v>32144006</v>
      </c>
      <c r="C146" s="5" t="s">
        <v>54</v>
      </c>
      <c r="D146" s="5" t="s">
        <v>109</v>
      </c>
      <c r="E146" s="5"/>
      <c r="F146" s="11" t="s">
        <v>247</v>
      </c>
      <c r="G146" s="5"/>
    </row>
    <row r="147" spans="1:7" ht="409.5" x14ac:dyDescent="0.2">
      <c r="A147" s="5" t="s">
        <v>248</v>
      </c>
      <c r="B147" s="5">
        <v>32144007</v>
      </c>
      <c r="C147" s="5" t="s">
        <v>54</v>
      </c>
      <c r="D147" s="5" t="s">
        <v>109</v>
      </c>
      <c r="E147" s="5"/>
      <c r="F147" s="11" t="s">
        <v>249</v>
      </c>
      <c r="G147" s="5"/>
    </row>
    <row r="148" spans="1:7" ht="409.5" x14ac:dyDescent="0.2">
      <c r="A148" s="5" t="s">
        <v>250</v>
      </c>
      <c r="B148" s="5">
        <v>32144008</v>
      </c>
      <c r="C148" s="5" t="s">
        <v>54</v>
      </c>
      <c r="D148" s="5" t="s">
        <v>109</v>
      </c>
      <c r="E148" s="5"/>
      <c r="F148" s="11" t="s">
        <v>251</v>
      </c>
      <c r="G148" s="5"/>
    </row>
    <row r="149" spans="1:7" ht="93.75" x14ac:dyDescent="0.2">
      <c r="A149" s="5" t="s">
        <v>252</v>
      </c>
      <c r="B149" s="5">
        <v>32144009</v>
      </c>
      <c r="C149" s="5" t="s">
        <v>54</v>
      </c>
      <c r="D149" s="5" t="s">
        <v>109</v>
      </c>
      <c r="E149" s="5"/>
      <c r="F149" s="11" t="s">
        <v>321</v>
      </c>
      <c r="G149" s="5"/>
    </row>
  </sheetData>
  <sheetProtection password="C77B" sheet="1"/>
  <conditionalFormatting sqref="F77:F79">
    <cfRule type="expression" dxfId="6" priority="1">
      <formula>LEN(F77)&gt;140</formula>
    </cfRule>
  </conditionalFormatting>
  <conditionalFormatting sqref="F81:F88">
    <cfRule type="expression" dxfId="5" priority="4">
      <formula>LEN(F81)&gt;140</formula>
    </cfRule>
  </conditionalFormatting>
  <conditionalFormatting sqref="F91:F92">
    <cfRule type="expression" dxfId="4" priority="12">
      <formula>LEN(F91)&gt;140</formula>
    </cfRule>
  </conditionalFormatting>
  <conditionalFormatting sqref="F94:F98">
    <cfRule type="expression" dxfId="3" priority="14">
      <formula>LEN(F94)&gt;140</formula>
    </cfRule>
  </conditionalFormatting>
  <conditionalFormatting sqref="F100">
    <cfRule type="expression" dxfId="2" priority="19">
      <formula>LEN(F100)&gt;140</formula>
    </cfRule>
  </conditionalFormatting>
  <conditionalFormatting sqref="F102">
    <cfRule type="expression" dxfId="1" priority="20">
      <formula>LEN(F102)&gt;140</formula>
    </cfRule>
  </conditionalFormatting>
  <conditionalFormatting sqref="F104:F113">
    <cfRule type="expression" dxfId="0" priority="21">
      <formula>LEN(F104)&gt;140</formula>
    </cfRule>
  </conditionalFormatting>
  <dataValidations count="1">
    <dataValidation type="textLength" allowBlank="1" showInputMessage="1" showErrorMessage="1" error="Short answers cannot be longer than 140 characters" sqref="F77:F79 F81:F88" xr:uid="{00000000-0002-0000-0300-000011000000}">
      <formula1>1</formula1>
      <formula2>140</formula2>
    </dataValidation>
  </dataValidations>
  <hyperlinks>
    <hyperlink ref="A10" r:id="rId1" location="question-31720800" xr:uid="{00000000-0004-0000-0300-000000000000}"/>
    <hyperlink ref="A12" r:id="rId2" xr:uid="{00000000-0004-0000-0300-000001000000}"/>
    <hyperlink ref="F33" r:id="rId3" location="question-31720805" xr:uid="{00000000-0004-0000-0300-000002000000}"/>
    <hyperlink ref="F35" r:id="rId4" location="question-31720807" xr:uid="{00000000-0004-0000-0300-000003000000}"/>
    <hyperlink ref="F52" r:id="rId5" location="question-31720817" xr:uid="{00000000-0004-0000-0300-000004000000}"/>
    <hyperlink ref="F66" r:id="rId6" location="question-31720836" xr:uid="{00000000-0004-0000-0300-000005000000}"/>
    <hyperlink ref="F128" r:id="rId7" location="question-32158374" xr:uid="{00000000-0004-0000-0300-000006000000}"/>
  </hyperlinks>
  <pageMargins left="0.75" right="0.75" top="1" bottom="1" header="0.5" footer="0.5"/>
  <pageSetup orientation="portrait" r:id="rId8"/>
  <extLst>
    <ext xmlns:x14="http://schemas.microsoft.com/office/spreadsheetml/2009/9/main" uri="{CCE6A557-97BC-4b89-ADB6-D9C93CAAB3DF}">
      <x14:dataValidations xmlns:xm="http://schemas.microsoft.com/office/excel/2006/main" count="18">
        <x14:dataValidation type="list" allowBlank="1" showInputMessage="1" showErrorMessage="1" error="Please use the dropdown selector to choose a valid option" promptTitle="Multiple Choice" prompt="Please select a valid option" xr:uid="{00000000-0002-0000-0300-000000000000}">
          <x14:formula1>
            <xm:f>'Extra Data'!$A$18:$A$18</xm:f>
          </x14:formula1>
          <xm:sqref>F10</xm:sqref>
        </x14:dataValidation>
        <x14:dataValidation type="list" allowBlank="1" showInputMessage="1" showErrorMessage="1" error="Please use the dropdown selector to choose a valid option" promptTitle="Multiple Choice" prompt="Please select a valid option" xr:uid="{00000000-0002-0000-0300-000001000000}">
          <x14:formula1>
            <xm:f>'Extra Data'!$A$19:$B$19</xm:f>
          </x14:formula1>
          <xm:sqref>F14</xm:sqref>
        </x14:dataValidation>
        <x14:dataValidation type="list" allowBlank="1" showInputMessage="1" showErrorMessage="1" error="Please use the dropdown selector to choose a valid option" promptTitle="Multiple Choice" prompt="Please select a valid option" xr:uid="{00000000-0002-0000-0300-000002000000}">
          <x14:formula1>
            <xm:f>'Extra Data'!$A$5:$C$5</xm:f>
          </x14:formula1>
          <xm:sqref>F17</xm:sqref>
        </x14:dataValidation>
        <x14:dataValidation type="list" allowBlank="1" showInputMessage="1" showErrorMessage="1" error="Please use the dropdown selector to choose a valid option" promptTitle="Multiple Choice" prompt="Please select a valid option" xr:uid="{00000000-0002-0000-0300-000003000000}">
          <x14:formula1>
            <xm:f>'Extra Data'!$A$8:$B$8</xm:f>
          </x14:formula1>
          <xm:sqref>E19:E25</xm:sqref>
        </x14:dataValidation>
        <x14:dataValidation type="list" allowBlank="1" showInputMessage="1" showErrorMessage="1" error="Please use the dropdown selector to choose a valid option" promptTitle="Multiple Choice" prompt="Please select a valid option" xr:uid="{00000000-0002-0000-0300-000004000000}">
          <x14:formula1>
            <xm:f>'Extra Data'!$A$10:$F$10</xm:f>
          </x14:formula1>
          <xm:sqref>F26</xm:sqref>
        </x14:dataValidation>
        <x14:dataValidation type="list" allowBlank="1" showInputMessage="1" showErrorMessage="1" error="Please use the dropdown selector to choose a valid option" promptTitle="Multiple Choice" prompt="Please select a valid option" xr:uid="{00000000-0002-0000-0300-000005000000}">
          <x14:formula1>
            <xm:f>'Extra Data'!$A$12:$B$12</xm:f>
          </x14:formula1>
          <xm:sqref>E28:E32</xm:sqref>
        </x14:dataValidation>
        <x14:dataValidation type="list" allowBlank="1" showInputMessage="1" showErrorMessage="1" error="Please use the dropdown selector to choose a valid option" promptTitle="Multiple Choice" prompt="Please select a valid option" xr:uid="{00000000-0002-0000-0300-000006000000}">
          <x14:formula1>
            <xm:f>'Extra Data'!$A$16:$C$16</xm:f>
          </x14:formula1>
          <xm:sqref>F34</xm:sqref>
        </x14:dataValidation>
        <x14:dataValidation type="list" allowBlank="1" showInputMessage="1" showErrorMessage="1" error="Please use the dropdown selector to choose a valid option" promptTitle="Multiple Choice" prompt="Please select a valid option" xr:uid="{00000000-0002-0000-0300-000007000000}">
          <x14:formula1>
            <xm:f>'Extra Data'!$A$6:$B$6</xm:f>
          </x14:formula1>
          <xm:sqref>F39</xm:sqref>
        </x14:dataValidation>
        <x14:dataValidation type="list" allowBlank="1" showInputMessage="1" showErrorMessage="1" error="Please use the dropdown selector to choose a valid option" promptTitle="Multiple Choice" prompt="Please select a valid option" xr:uid="{00000000-0002-0000-0300-000008000000}">
          <x14:formula1>
            <xm:f>'Extra Data'!$A$9:$B$9</xm:f>
          </x14:formula1>
          <xm:sqref>F40</xm:sqref>
        </x14:dataValidation>
        <x14:dataValidation type="list" allowBlank="1" showInputMessage="1" showErrorMessage="1" error="Please use the dropdown selector to choose a valid option" promptTitle="Multiple Choice" prompt="Please select a valid option" xr:uid="{00000000-0002-0000-0300-000009000000}">
          <x14:formula1>
            <xm:f>'Extra Data'!$A$11:$B$11</xm:f>
          </x14:formula1>
          <xm:sqref>F41</xm:sqref>
        </x14:dataValidation>
        <x14:dataValidation type="list" allowBlank="1" showInputMessage="1" showErrorMessage="1" error="Please use the dropdown selector to choose a valid option" promptTitle="Multiple Choice" prompt="Please select a valid option" xr:uid="{00000000-0002-0000-0300-00000A000000}">
          <x14:formula1>
            <xm:f>'Extra Data'!$A$13:$B$13</xm:f>
          </x14:formula1>
          <xm:sqref>F42</xm:sqref>
        </x14:dataValidation>
        <x14:dataValidation type="list" allowBlank="1" showInputMessage="1" showErrorMessage="1" error="Please use the dropdown selector to choose a valid option" promptTitle="Multiple Choice" prompt="Please select a valid option" xr:uid="{00000000-0002-0000-0300-00000B000000}">
          <x14:formula1>
            <xm:f>'Extra Data'!$A$14:$B$14</xm:f>
          </x14:formula1>
          <xm:sqref>F43</xm:sqref>
        </x14:dataValidation>
        <x14:dataValidation type="list" allowBlank="1" showInputMessage="1" showErrorMessage="1" error="Please use the dropdown selector to choose a valid option" promptTitle="Multiple Choice" prompt="Please select a valid option" xr:uid="{00000000-0002-0000-0300-00000C000000}">
          <x14:formula1>
            <xm:f>'Extra Data'!$A$17:$B$17</xm:f>
          </x14:formula1>
          <xm:sqref>F44</xm:sqref>
        </x14:dataValidation>
        <x14:dataValidation type="list" allowBlank="1" showInputMessage="1" showErrorMessage="1" error="Please use the dropdown selector to choose a valid option" promptTitle="Multiple Choice" prompt="Please select a valid option" xr:uid="{00000000-0002-0000-0300-00000D000000}">
          <x14:formula1>
            <xm:f>'Extra Data'!$A$3:$D$3</xm:f>
          </x14:formula1>
          <xm:sqref>F48</xm:sqref>
        </x14:dataValidation>
        <x14:dataValidation type="list" allowBlank="1" showInputMessage="1" showErrorMessage="1" error="Please use the dropdown selector to choose a valid option" promptTitle="Multiple Choice" prompt="Please select a valid option" xr:uid="{00000000-0002-0000-0300-00000E000000}">
          <x14:formula1>
            <xm:f>'Extra Data'!$A$2:$C$2</xm:f>
          </x14:formula1>
          <xm:sqref>F49</xm:sqref>
        </x14:dataValidation>
        <x14:dataValidation type="list" allowBlank="1" showInputMessage="1" showErrorMessage="1" error="Please use the dropdown selector to choose a valid option" promptTitle="Multiple Choice" prompt="Please select a valid option" xr:uid="{00000000-0002-0000-0300-00000F000000}">
          <x14:formula1>
            <xm:f>'Extra Data'!$A$4:$B$4</xm:f>
          </x14:formula1>
          <xm:sqref>F50</xm:sqref>
        </x14:dataValidation>
        <x14:dataValidation type="list" allowBlank="1" showInputMessage="1" showErrorMessage="1" error="Please use the dropdown selector to choose a valid option" promptTitle="Multiple Choice" prompt="Please select a valid option" xr:uid="{00000000-0002-0000-0300-000010000000}">
          <x14:formula1>
            <xm:f>'Extra Data'!$A$7:$B$7</xm:f>
          </x14:formula1>
          <xm:sqref>E73:E76</xm:sqref>
        </x14:dataValidation>
        <x14:dataValidation type="list" allowBlank="1" showInputMessage="1" showErrorMessage="1" error="Please use the dropdown selector to choose a valid option" promptTitle="Multiple Choice" prompt="Please select a valid option" xr:uid="{00000000-0002-0000-0300-000014000000}">
          <x14:formula1>
            <xm:f>'Extra Data'!$A$15:$B$15</xm:f>
          </x14:formula1>
          <xm:sqref>F80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
  <sheetViews>
    <sheetView showOutlineSymbols="0" showWhiteSpace="0" workbookViewId="0">
      <selection activeCell="A5" sqref="A5"/>
    </sheetView>
  </sheetViews>
  <sheetFormatPr defaultRowHeight="14.25" x14ac:dyDescent="0.2"/>
  <cols>
    <col min="1" max="1" width="100" bestFit="1" customWidth="1"/>
    <col min="2" max="11" width="0" hidden="1"/>
  </cols>
  <sheetData>
    <row r="1" spans="1:11" ht="28.5" x14ac:dyDescent="0.45">
      <c r="A1" s="8" t="s">
        <v>253</v>
      </c>
      <c r="B1" s="8"/>
      <c r="C1" s="8"/>
      <c r="D1" s="8"/>
      <c r="E1" s="8"/>
      <c r="F1" s="8"/>
      <c r="G1" s="8"/>
      <c r="H1" s="8"/>
      <c r="I1" s="8"/>
      <c r="J1" s="8"/>
      <c r="K1" s="8"/>
    </row>
    <row r="2" spans="1:11" ht="18.75" x14ac:dyDescent="0.2">
      <c r="A2" s="10"/>
    </row>
  </sheetData>
  <sheetProtection password="C77B" sheet="1"/>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4"/>
  <sheetViews>
    <sheetView showOutlineSymbols="0" showWhiteSpace="0" topLeftCell="D1" zoomScale="60" zoomScaleNormal="60" workbookViewId="0">
      <selection activeCell="F10" sqref="F10"/>
    </sheetView>
  </sheetViews>
  <sheetFormatPr defaultRowHeight="14.25" x14ac:dyDescent="0.2"/>
  <cols>
    <col min="1" max="1" width="0" hidden="1" bestFit="1" customWidth="1"/>
    <col min="2" max="2" width="39.25" bestFit="1" customWidth="1"/>
    <col min="3" max="5" width="68.75" bestFit="1" customWidth="1"/>
    <col min="6" max="6" width="36.75" bestFit="1" customWidth="1"/>
    <col min="7" max="7" width="89.625" bestFit="1" customWidth="1"/>
    <col min="8" max="8" width="12.75" bestFit="1" customWidth="1"/>
  </cols>
  <sheetData>
    <row r="1" spans="1:8" ht="21" x14ac:dyDescent="0.2">
      <c r="A1" s="16" t="s">
        <v>254</v>
      </c>
      <c r="B1" s="16" t="s">
        <v>255</v>
      </c>
      <c r="C1" s="16" t="s">
        <v>256</v>
      </c>
      <c r="D1" s="16" t="s">
        <v>257</v>
      </c>
      <c r="E1" s="16" t="s">
        <v>258</v>
      </c>
      <c r="F1" s="16" t="s">
        <v>259</v>
      </c>
      <c r="G1" s="16" t="s">
        <v>260</v>
      </c>
      <c r="H1" s="16" t="s">
        <v>261</v>
      </c>
    </row>
    <row r="2" spans="1:8" ht="18.75" x14ac:dyDescent="0.3">
      <c r="A2" s="7"/>
      <c r="B2" s="7" t="s">
        <v>262</v>
      </c>
    </row>
    <row r="3" spans="1:8" ht="18.75" x14ac:dyDescent="0.3">
      <c r="A3" s="17">
        <v>20563313</v>
      </c>
      <c r="B3" s="17" t="s">
        <v>263</v>
      </c>
      <c r="C3" s="30">
        <v>70000</v>
      </c>
      <c r="D3" s="31">
        <v>72800</v>
      </c>
      <c r="E3" s="31">
        <v>75750</v>
      </c>
      <c r="F3" s="19">
        <f t="shared" ref="F3:F8" si="0">IF(OR(INDEX(Year1PricePerFteFor12Months_a53,ROW())="-",ISBLANK(INDEX(Year1PricePerFteFor12Months_a53,ROW())),INDEX(Year2PricePerFteFor12Months_8c1,ROW())="-",ISBLANK(INDEX(Year2PricePerFteFor12Months_8c1,ROW())),INDEX(Year3PricePerFteFor12Months_a5c,ROW())="-",ISBLANK(INDEX(Year3PricePerFteFor12Months_a5c,ROW()))),"-",INDEX(Year1PricePerFteFor12Months_a53,ROW()) + INDEX(Year2PricePerFteFor12Months_8c1,ROW()) + INDEX(Year3PricePerFteFor12Months_a5c,ROW()))</f>
        <v>218550</v>
      </c>
      <c r="G3" s="34" t="s">
        <v>322</v>
      </c>
      <c r="H3" s="38" t="s">
        <v>264</v>
      </c>
    </row>
    <row r="4" spans="1:8" ht="18.75" x14ac:dyDescent="0.3">
      <c r="A4" s="17">
        <v>20563314</v>
      </c>
      <c r="B4" s="17" t="s">
        <v>265</v>
      </c>
      <c r="C4" s="32">
        <v>69000</v>
      </c>
      <c r="D4" s="33">
        <v>71760</v>
      </c>
      <c r="E4" s="33">
        <v>74650</v>
      </c>
      <c r="F4" s="19">
        <f t="shared" si="0"/>
        <v>215410</v>
      </c>
      <c r="G4" s="35" t="s">
        <v>322</v>
      </c>
      <c r="H4" s="36" t="s">
        <v>264</v>
      </c>
    </row>
    <row r="5" spans="1:8" ht="18.75" x14ac:dyDescent="0.3">
      <c r="A5" s="17">
        <v>20563315</v>
      </c>
      <c r="B5" s="17" t="s">
        <v>266</v>
      </c>
      <c r="C5" s="32">
        <v>68000</v>
      </c>
      <c r="D5" s="33">
        <v>70720</v>
      </c>
      <c r="E5" s="33">
        <v>73550</v>
      </c>
      <c r="F5" s="19">
        <f t="shared" si="0"/>
        <v>212270</v>
      </c>
      <c r="G5" s="35" t="s">
        <v>322</v>
      </c>
      <c r="H5" s="36" t="s">
        <v>264</v>
      </c>
    </row>
    <row r="6" spans="1:8" ht="18.75" x14ac:dyDescent="0.3">
      <c r="A6" s="17">
        <v>20563316</v>
      </c>
      <c r="B6" s="17" t="s">
        <v>267</v>
      </c>
      <c r="C6" s="32">
        <v>67000</v>
      </c>
      <c r="D6" s="33">
        <v>69680</v>
      </c>
      <c r="E6" s="33">
        <v>72500</v>
      </c>
      <c r="F6" s="19">
        <f t="shared" si="0"/>
        <v>209180</v>
      </c>
      <c r="G6" s="35" t="s">
        <v>322</v>
      </c>
      <c r="H6" s="36" t="s">
        <v>264</v>
      </c>
    </row>
    <row r="7" spans="1:8" ht="18.75" x14ac:dyDescent="0.3">
      <c r="A7" s="17">
        <v>20563317</v>
      </c>
      <c r="B7" s="17" t="s">
        <v>268</v>
      </c>
      <c r="C7" s="32">
        <v>66000</v>
      </c>
      <c r="D7" s="33">
        <v>68640</v>
      </c>
      <c r="E7" s="33">
        <v>71400</v>
      </c>
      <c r="F7" s="19">
        <f t="shared" si="0"/>
        <v>206040</v>
      </c>
      <c r="G7" s="35" t="s">
        <v>322</v>
      </c>
      <c r="H7" s="36" t="s">
        <v>264</v>
      </c>
    </row>
    <row r="8" spans="1:8" ht="18.75" x14ac:dyDescent="0.3">
      <c r="A8" s="17">
        <v>20563318</v>
      </c>
      <c r="B8" s="17" t="s">
        <v>269</v>
      </c>
      <c r="C8" s="32">
        <v>65000</v>
      </c>
      <c r="D8" s="33">
        <v>67600</v>
      </c>
      <c r="E8" s="33">
        <v>70350</v>
      </c>
      <c r="F8" s="19">
        <f t="shared" si="0"/>
        <v>202950</v>
      </c>
      <c r="G8" s="35" t="s">
        <v>322</v>
      </c>
      <c r="H8" s="36" t="s">
        <v>264</v>
      </c>
    </row>
    <row r="10" spans="1:8" ht="18.75" x14ac:dyDescent="0.3">
      <c r="A10" s="7"/>
      <c r="B10" s="7" t="s">
        <v>270</v>
      </c>
    </row>
    <row r="11" spans="1:8" ht="18.75" x14ac:dyDescent="0.3">
      <c r="A11" s="17">
        <v>20687313</v>
      </c>
      <c r="B11" s="17" t="s">
        <v>263</v>
      </c>
      <c r="C11" s="18"/>
      <c r="D11" s="18"/>
      <c r="E11" s="18"/>
      <c r="F11" s="19" t="str">
        <f t="shared" ref="F11:F16" si="1">IF(OR(INDEX(Year1PricePerFteFor12Months_a53,ROW())="-",ISBLANK(INDEX(Year1PricePerFteFor12Months_a53,ROW())),INDEX(Year2PricePerFteFor12Months_8c1,ROW())="-",ISBLANK(INDEX(Year2PricePerFteFor12Months_8c1,ROW())),INDEX(Year3PricePerFteFor12Months_a5c,ROW())="-",ISBLANK(INDEX(Year3PricePerFteFor12Months_a5c,ROW()))),"-",INDEX(Year1PricePerFteFor12Months_a53,ROW()) + INDEX(Year2PricePerFteFor12Months_8c1,ROW()) + INDEX(Year3PricePerFteFor12Months_a5c,ROW()))</f>
        <v>-</v>
      </c>
      <c r="G11" s="20"/>
      <c r="H11" s="20"/>
    </row>
    <row r="12" spans="1:8" ht="18.75" x14ac:dyDescent="0.3">
      <c r="A12" s="17">
        <v>20687314</v>
      </c>
      <c r="B12" s="17" t="s">
        <v>265</v>
      </c>
      <c r="C12" s="18"/>
      <c r="D12" s="18"/>
      <c r="E12" s="18"/>
      <c r="F12" s="19" t="str">
        <f t="shared" si="1"/>
        <v>-</v>
      </c>
      <c r="G12" s="20"/>
      <c r="H12" s="20"/>
    </row>
    <row r="13" spans="1:8" ht="18.75" x14ac:dyDescent="0.3">
      <c r="A13" s="17">
        <v>20687315</v>
      </c>
      <c r="B13" s="17" t="s">
        <v>266</v>
      </c>
      <c r="C13" s="18"/>
      <c r="D13" s="18"/>
      <c r="E13" s="18"/>
      <c r="F13" s="19" t="str">
        <f t="shared" si="1"/>
        <v>-</v>
      </c>
      <c r="G13" s="20"/>
      <c r="H13" s="20"/>
    </row>
    <row r="14" spans="1:8" ht="18.75" x14ac:dyDescent="0.3">
      <c r="A14" s="17">
        <v>20687316</v>
      </c>
      <c r="B14" s="17" t="s">
        <v>267</v>
      </c>
      <c r="C14" s="18"/>
      <c r="D14" s="18"/>
      <c r="E14" s="18"/>
      <c r="F14" s="19" t="str">
        <f t="shared" si="1"/>
        <v>-</v>
      </c>
      <c r="G14" s="20"/>
      <c r="H14" s="20"/>
    </row>
    <row r="15" spans="1:8" ht="18.75" x14ac:dyDescent="0.3">
      <c r="A15" s="17">
        <v>20687317</v>
      </c>
      <c r="B15" s="17" t="s">
        <v>268</v>
      </c>
      <c r="C15" s="18"/>
      <c r="D15" s="18"/>
      <c r="E15" s="18"/>
      <c r="F15" s="19" t="str">
        <f t="shared" si="1"/>
        <v>-</v>
      </c>
      <c r="G15" s="20"/>
      <c r="H15" s="20"/>
    </row>
    <row r="16" spans="1:8" ht="18.75" x14ac:dyDescent="0.3">
      <c r="A16" s="17">
        <v>20687318</v>
      </c>
      <c r="B16" s="17" t="s">
        <v>269</v>
      </c>
      <c r="C16" s="18"/>
      <c r="D16" s="18"/>
      <c r="E16" s="18"/>
      <c r="F16" s="19" t="str">
        <f t="shared" si="1"/>
        <v>-</v>
      </c>
      <c r="G16" s="20"/>
      <c r="H16" s="20"/>
    </row>
    <row r="18" spans="1:8" ht="18.75" x14ac:dyDescent="0.3">
      <c r="A18" s="7"/>
      <c r="B18" s="7" t="s">
        <v>271</v>
      </c>
    </row>
    <row r="19" spans="1:8" ht="18.75" x14ac:dyDescent="0.3">
      <c r="A19" s="17">
        <v>20687483</v>
      </c>
      <c r="B19" s="17" t="s">
        <v>263</v>
      </c>
      <c r="C19" s="18"/>
      <c r="D19" s="18"/>
      <c r="E19" s="18"/>
      <c r="F19" s="19" t="str">
        <f t="shared" ref="F19:F24" si="2">IF(OR(INDEX(Year1PricePerFteFor12Months_a53,ROW())="-",ISBLANK(INDEX(Year1PricePerFteFor12Months_a53,ROW())),INDEX(Year2PricePerFteFor12Months_8c1,ROW())="-",ISBLANK(INDEX(Year2PricePerFteFor12Months_8c1,ROW())),INDEX(Year3PricePerFteFor12Months_a5c,ROW())="-",ISBLANK(INDEX(Year3PricePerFteFor12Months_a5c,ROW()))),"-",INDEX(Year1PricePerFteFor12Months_a53,ROW()) + INDEX(Year2PricePerFteFor12Months_8c1,ROW()) + INDEX(Year3PricePerFteFor12Months_a5c,ROW()))</f>
        <v>-</v>
      </c>
      <c r="G19" s="20"/>
      <c r="H19" s="20"/>
    </row>
    <row r="20" spans="1:8" ht="18.75" x14ac:dyDescent="0.3">
      <c r="A20" s="17">
        <v>20687484</v>
      </c>
      <c r="B20" s="17" t="s">
        <v>265</v>
      </c>
      <c r="C20" s="18"/>
      <c r="D20" s="18"/>
      <c r="E20" s="18"/>
      <c r="F20" s="19" t="str">
        <f t="shared" si="2"/>
        <v>-</v>
      </c>
      <c r="G20" s="20"/>
      <c r="H20" s="20"/>
    </row>
    <row r="21" spans="1:8" ht="18.75" x14ac:dyDescent="0.3">
      <c r="A21" s="17">
        <v>20687485</v>
      </c>
      <c r="B21" s="17" t="s">
        <v>266</v>
      </c>
      <c r="C21" s="18"/>
      <c r="D21" s="18"/>
      <c r="E21" s="18"/>
      <c r="F21" s="19" t="str">
        <f t="shared" si="2"/>
        <v>-</v>
      </c>
      <c r="G21" s="20"/>
      <c r="H21" s="20"/>
    </row>
    <row r="22" spans="1:8" ht="18.75" x14ac:dyDescent="0.3">
      <c r="A22" s="17">
        <v>20687486</v>
      </c>
      <c r="B22" s="17" t="s">
        <v>267</v>
      </c>
      <c r="C22" s="18"/>
      <c r="D22" s="18"/>
      <c r="E22" s="18"/>
      <c r="F22" s="19" t="str">
        <f t="shared" si="2"/>
        <v>-</v>
      </c>
      <c r="G22" s="20"/>
      <c r="H22" s="20"/>
    </row>
    <row r="23" spans="1:8" ht="18.75" x14ac:dyDescent="0.3">
      <c r="A23" s="17">
        <v>20687487</v>
      </c>
      <c r="B23" s="17" t="s">
        <v>268</v>
      </c>
      <c r="C23" s="18"/>
      <c r="D23" s="18"/>
      <c r="E23" s="18"/>
      <c r="F23" s="19" t="str">
        <f t="shared" si="2"/>
        <v>-</v>
      </c>
      <c r="G23" s="20"/>
      <c r="H23" s="20"/>
    </row>
    <row r="24" spans="1:8" ht="18.75" x14ac:dyDescent="0.3">
      <c r="A24" s="17">
        <v>20687488</v>
      </c>
      <c r="B24" s="17" t="s">
        <v>269</v>
      </c>
      <c r="C24" s="18"/>
      <c r="D24" s="18"/>
      <c r="E24" s="18"/>
      <c r="F24" s="19" t="str">
        <f t="shared" si="2"/>
        <v>-</v>
      </c>
      <c r="G24" s="20"/>
      <c r="H24" s="20"/>
    </row>
  </sheetData>
  <sheetProtection password="C77B" sheet="1"/>
  <dataValidations count="1">
    <dataValidation type="decimal" allowBlank="1" showInputMessage="1" showErrorMessage="1" error="Must be decimal number" prompt="Must be decimal number" sqref="C19:E24 C11:E16" xr:uid="{00000000-0002-0000-0500-000000000000}"/>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4"/>
  <sheetViews>
    <sheetView showOutlineSymbols="0" showWhiteSpace="0" topLeftCell="B1" zoomScale="50" zoomScaleNormal="50" workbookViewId="0"/>
  </sheetViews>
  <sheetFormatPr defaultRowHeight="14.25" x14ac:dyDescent="0.2"/>
  <cols>
    <col min="1" max="1" width="0" hidden="1" bestFit="1" customWidth="1"/>
    <col min="2" max="2" width="39.25" bestFit="1" customWidth="1"/>
    <col min="3" max="5" width="68.75" bestFit="1" customWidth="1"/>
    <col min="6" max="6" width="36.75" bestFit="1" customWidth="1"/>
    <col min="7" max="7" width="89.625" bestFit="1" customWidth="1"/>
    <col min="8" max="8" width="12.75" bestFit="1" customWidth="1"/>
  </cols>
  <sheetData>
    <row r="1" spans="1:8" ht="21" x14ac:dyDescent="0.2">
      <c r="A1" s="16" t="s">
        <v>254</v>
      </c>
      <c r="B1" s="16" t="s">
        <v>255</v>
      </c>
      <c r="C1" s="16" t="s">
        <v>256</v>
      </c>
      <c r="D1" s="16" t="s">
        <v>257</v>
      </c>
      <c r="E1" s="16" t="s">
        <v>258</v>
      </c>
      <c r="F1" s="16" t="s">
        <v>259</v>
      </c>
      <c r="G1" s="16" t="s">
        <v>260</v>
      </c>
      <c r="H1" s="16" t="s">
        <v>261</v>
      </c>
    </row>
    <row r="2" spans="1:8" ht="18.75" x14ac:dyDescent="0.3">
      <c r="A2" s="7"/>
      <c r="B2" s="7" t="s">
        <v>262</v>
      </c>
    </row>
    <row r="3" spans="1:8" ht="18.75" x14ac:dyDescent="0.3">
      <c r="A3" s="17">
        <v>20680625</v>
      </c>
      <c r="B3" s="17" t="s">
        <v>263</v>
      </c>
      <c r="C3" s="18"/>
      <c r="D3" s="18"/>
      <c r="E3" s="18"/>
      <c r="F3" s="19" t="str">
        <f t="shared" ref="F3:F8" si="0">IF(OR(INDEX(Year1PricePerFteFor12Months_a53,ROW())="-",ISBLANK(INDEX(Year1PricePerFteFor12Months_a53,ROW())),INDEX(Year2PricePerFteFor12Months_8c1,ROW())="-",ISBLANK(INDEX(Year2PricePerFteFor12Months_8c1,ROW())),INDEX(Year3PricePerFteFor12Months_a5c,ROW())="-",ISBLANK(INDEX(Year3PricePerFteFor12Months_a5c,ROW()))),"-",INDEX(Year1PricePerFteFor12Months_a53,ROW()) + INDEX(Year2PricePerFteFor12Months_8c1,ROW()) + INDEX(Year3PricePerFteFor12Months_a5c,ROW()))</f>
        <v>-</v>
      </c>
      <c r="G3" s="20"/>
      <c r="H3" s="20"/>
    </row>
    <row r="4" spans="1:8" ht="18.75" x14ac:dyDescent="0.3">
      <c r="A4" s="17">
        <v>20680626</v>
      </c>
      <c r="B4" s="17" t="s">
        <v>265</v>
      </c>
      <c r="C4" s="18"/>
      <c r="D4" s="18"/>
      <c r="E4" s="18"/>
      <c r="F4" s="19" t="str">
        <f t="shared" si="0"/>
        <v>-</v>
      </c>
      <c r="G4" s="20"/>
      <c r="H4" s="20"/>
    </row>
    <row r="5" spans="1:8" ht="18.75" x14ac:dyDescent="0.3">
      <c r="A5" s="17">
        <v>20680627</v>
      </c>
      <c r="B5" s="17" t="s">
        <v>266</v>
      </c>
      <c r="C5" s="18"/>
      <c r="D5" s="18"/>
      <c r="E5" s="18"/>
      <c r="F5" s="19" t="str">
        <f t="shared" si="0"/>
        <v>-</v>
      </c>
      <c r="G5" s="20"/>
      <c r="H5" s="20"/>
    </row>
    <row r="6" spans="1:8" ht="18.75" x14ac:dyDescent="0.3">
      <c r="A6" s="17">
        <v>20680628</v>
      </c>
      <c r="B6" s="17" t="s">
        <v>267</v>
      </c>
      <c r="C6" s="18"/>
      <c r="D6" s="18"/>
      <c r="E6" s="18"/>
      <c r="F6" s="19" t="str">
        <f t="shared" si="0"/>
        <v>-</v>
      </c>
      <c r="G6" s="20"/>
      <c r="H6" s="20"/>
    </row>
    <row r="7" spans="1:8" ht="18.75" x14ac:dyDescent="0.3">
      <c r="A7" s="17">
        <v>20680629</v>
      </c>
      <c r="B7" s="17" t="s">
        <v>268</v>
      </c>
      <c r="C7" s="18"/>
      <c r="D7" s="18"/>
      <c r="E7" s="18"/>
      <c r="F7" s="19" t="str">
        <f t="shared" si="0"/>
        <v>-</v>
      </c>
      <c r="G7" s="20"/>
      <c r="H7" s="20"/>
    </row>
    <row r="8" spans="1:8" ht="18.75" x14ac:dyDescent="0.3">
      <c r="A8" s="17">
        <v>20680630</v>
      </c>
      <c r="B8" s="17" t="s">
        <v>269</v>
      </c>
      <c r="C8" s="18"/>
      <c r="D8" s="18"/>
      <c r="E8" s="18"/>
      <c r="F8" s="19" t="str">
        <f t="shared" si="0"/>
        <v>-</v>
      </c>
      <c r="G8" s="20"/>
      <c r="H8" s="20"/>
    </row>
    <row r="10" spans="1:8" ht="18.75" x14ac:dyDescent="0.3">
      <c r="A10" s="7"/>
      <c r="B10" s="7" t="s">
        <v>270</v>
      </c>
    </row>
    <row r="11" spans="1:8" ht="18.75" x14ac:dyDescent="0.3">
      <c r="A11" s="17">
        <v>20687463</v>
      </c>
      <c r="B11" s="17" t="s">
        <v>263</v>
      </c>
      <c r="C11" s="18"/>
      <c r="D11" s="18"/>
      <c r="E11" s="18"/>
      <c r="F11" s="19" t="str">
        <f t="shared" ref="F11:F16" si="1">IF(OR(INDEX(Year1PricePerFteFor12Months_a53,ROW())="-",ISBLANK(INDEX(Year1PricePerFteFor12Months_a53,ROW())),INDEX(Year2PricePerFteFor12Months_8c1,ROW())="-",ISBLANK(INDEX(Year2PricePerFteFor12Months_8c1,ROW())),INDEX(Year3PricePerFteFor12Months_a5c,ROW())="-",ISBLANK(INDEX(Year3PricePerFteFor12Months_a5c,ROW()))),"-",INDEX(Year1PricePerFteFor12Months_a53,ROW()) + INDEX(Year2PricePerFteFor12Months_8c1,ROW()) + INDEX(Year3PricePerFteFor12Months_a5c,ROW()))</f>
        <v>-</v>
      </c>
      <c r="G11" s="20"/>
      <c r="H11" s="20"/>
    </row>
    <row r="12" spans="1:8" ht="18.75" x14ac:dyDescent="0.3">
      <c r="A12" s="17">
        <v>20687464</v>
      </c>
      <c r="B12" s="17" t="s">
        <v>265</v>
      </c>
      <c r="C12" s="18"/>
      <c r="D12" s="18"/>
      <c r="E12" s="18"/>
      <c r="F12" s="19" t="str">
        <f t="shared" si="1"/>
        <v>-</v>
      </c>
      <c r="G12" s="20"/>
      <c r="H12" s="20"/>
    </row>
    <row r="13" spans="1:8" ht="18.75" x14ac:dyDescent="0.3">
      <c r="A13" s="17">
        <v>20687465</v>
      </c>
      <c r="B13" s="17" t="s">
        <v>266</v>
      </c>
      <c r="C13" s="18"/>
      <c r="D13" s="18"/>
      <c r="E13" s="18"/>
      <c r="F13" s="19" t="str">
        <f t="shared" si="1"/>
        <v>-</v>
      </c>
      <c r="G13" s="20"/>
      <c r="H13" s="20"/>
    </row>
    <row r="14" spans="1:8" ht="18.75" x14ac:dyDescent="0.3">
      <c r="A14" s="17">
        <v>20687466</v>
      </c>
      <c r="B14" s="17" t="s">
        <v>267</v>
      </c>
      <c r="C14" s="18"/>
      <c r="D14" s="18"/>
      <c r="E14" s="18"/>
      <c r="F14" s="19" t="str">
        <f t="shared" si="1"/>
        <v>-</v>
      </c>
      <c r="G14" s="20"/>
      <c r="H14" s="20"/>
    </row>
    <row r="15" spans="1:8" ht="18.75" x14ac:dyDescent="0.3">
      <c r="A15" s="17">
        <v>20687467</v>
      </c>
      <c r="B15" s="17" t="s">
        <v>268</v>
      </c>
      <c r="C15" s="18"/>
      <c r="D15" s="18"/>
      <c r="E15" s="18"/>
      <c r="F15" s="19" t="str">
        <f t="shared" si="1"/>
        <v>-</v>
      </c>
      <c r="G15" s="20"/>
      <c r="H15" s="20"/>
    </row>
    <row r="16" spans="1:8" ht="18.75" x14ac:dyDescent="0.3">
      <c r="A16" s="17">
        <v>20687468</v>
      </c>
      <c r="B16" s="17" t="s">
        <v>269</v>
      </c>
      <c r="C16" s="18"/>
      <c r="D16" s="18"/>
      <c r="E16" s="18"/>
      <c r="F16" s="19" t="str">
        <f t="shared" si="1"/>
        <v>-</v>
      </c>
      <c r="G16" s="20"/>
      <c r="H16" s="20"/>
    </row>
    <row r="18" spans="1:8" ht="18.75" x14ac:dyDescent="0.3">
      <c r="A18" s="7"/>
      <c r="B18" s="7" t="s">
        <v>271</v>
      </c>
    </row>
    <row r="19" spans="1:8" ht="18.75" x14ac:dyDescent="0.3">
      <c r="A19" s="17">
        <v>20687473</v>
      </c>
      <c r="B19" s="17" t="s">
        <v>263</v>
      </c>
      <c r="C19" s="18"/>
      <c r="D19" s="18"/>
      <c r="E19" s="18"/>
      <c r="F19" s="19" t="str">
        <f t="shared" ref="F19:F24" si="2">IF(OR(INDEX(Year1PricePerFteFor12Months_a53,ROW())="-",ISBLANK(INDEX(Year1PricePerFteFor12Months_a53,ROW())),INDEX(Year2PricePerFteFor12Months_8c1,ROW())="-",ISBLANK(INDEX(Year2PricePerFteFor12Months_8c1,ROW())),INDEX(Year3PricePerFteFor12Months_a5c,ROW())="-",ISBLANK(INDEX(Year3PricePerFteFor12Months_a5c,ROW()))),"-",INDEX(Year1PricePerFteFor12Months_a53,ROW()) + INDEX(Year2PricePerFteFor12Months_8c1,ROW()) + INDEX(Year3PricePerFteFor12Months_a5c,ROW()))</f>
        <v>-</v>
      </c>
      <c r="G19" s="20"/>
      <c r="H19" s="20"/>
    </row>
    <row r="20" spans="1:8" ht="18.75" x14ac:dyDescent="0.3">
      <c r="A20" s="17">
        <v>20687474</v>
      </c>
      <c r="B20" s="17" t="s">
        <v>265</v>
      </c>
      <c r="C20" s="18"/>
      <c r="D20" s="18"/>
      <c r="E20" s="18"/>
      <c r="F20" s="19" t="str">
        <f t="shared" si="2"/>
        <v>-</v>
      </c>
      <c r="G20" s="20"/>
      <c r="H20" s="20"/>
    </row>
    <row r="21" spans="1:8" ht="18.75" x14ac:dyDescent="0.3">
      <c r="A21" s="17">
        <v>20687475</v>
      </c>
      <c r="B21" s="17" t="s">
        <v>266</v>
      </c>
      <c r="C21" s="18"/>
      <c r="D21" s="18"/>
      <c r="E21" s="18"/>
      <c r="F21" s="19" t="str">
        <f t="shared" si="2"/>
        <v>-</v>
      </c>
      <c r="G21" s="20"/>
      <c r="H21" s="20"/>
    </row>
    <row r="22" spans="1:8" ht="18.75" x14ac:dyDescent="0.3">
      <c r="A22" s="17">
        <v>20687476</v>
      </c>
      <c r="B22" s="17" t="s">
        <v>267</v>
      </c>
      <c r="C22" s="18"/>
      <c r="D22" s="18"/>
      <c r="E22" s="18"/>
      <c r="F22" s="19" t="str">
        <f t="shared" si="2"/>
        <v>-</v>
      </c>
      <c r="G22" s="20"/>
      <c r="H22" s="20"/>
    </row>
    <row r="23" spans="1:8" ht="18.75" x14ac:dyDescent="0.3">
      <c r="A23" s="17">
        <v>20687477</v>
      </c>
      <c r="B23" s="17" t="s">
        <v>268</v>
      </c>
      <c r="C23" s="18"/>
      <c r="D23" s="18"/>
      <c r="E23" s="18"/>
      <c r="F23" s="19" t="str">
        <f t="shared" si="2"/>
        <v>-</v>
      </c>
      <c r="G23" s="20"/>
      <c r="H23" s="20"/>
    </row>
    <row r="24" spans="1:8" ht="18.75" x14ac:dyDescent="0.3">
      <c r="A24" s="17">
        <v>20687478</v>
      </c>
      <c r="B24" s="17" t="s">
        <v>269</v>
      </c>
      <c r="C24" s="18"/>
      <c r="D24" s="18"/>
      <c r="E24" s="18"/>
      <c r="F24" s="19" t="str">
        <f t="shared" si="2"/>
        <v>-</v>
      </c>
      <c r="G24" s="20"/>
      <c r="H24" s="20"/>
    </row>
  </sheetData>
  <sheetProtection password="C77B" sheet="1"/>
  <dataValidations count="1">
    <dataValidation type="decimal" allowBlank="1" showInputMessage="1" showErrorMessage="1" error="Must be decimal number" prompt="Must be decimal number" sqref="C19:E24 C11:E16 C3:E8" xr:uid="{00000000-0002-0000-0600-000000000000}"/>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4"/>
  <sheetViews>
    <sheetView showOutlineSymbols="0" showWhiteSpace="0" topLeftCell="B1" workbookViewId="0"/>
  </sheetViews>
  <sheetFormatPr defaultRowHeight="14.25" x14ac:dyDescent="0.2"/>
  <cols>
    <col min="1" max="1" width="0" hidden="1" bestFit="1" customWidth="1"/>
    <col min="2" max="2" width="39.25" bestFit="1" customWidth="1"/>
    <col min="3" max="5" width="68.75" bestFit="1" customWidth="1"/>
    <col min="6" max="6" width="36.75" bestFit="1" customWidth="1"/>
    <col min="7" max="7" width="89.625" bestFit="1" customWidth="1"/>
    <col min="8" max="8" width="12.75" bestFit="1" customWidth="1"/>
  </cols>
  <sheetData>
    <row r="1" spans="1:8" ht="21" x14ac:dyDescent="0.2">
      <c r="A1" s="16" t="s">
        <v>254</v>
      </c>
      <c r="B1" s="16" t="s">
        <v>255</v>
      </c>
      <c r="C1" s="16" t="s">
        <v>256</v>
      </c>
      <c r="D1" s="16" t="s">
        <v>257</v>
      </c>
      <c r="E1" s="16" t="s">
        <v>258</v>
      </c>
      <c r="F1" s="16" t="s">
        <v>259</v>
      </c>
      <c r="G1" s="16" t="s">
        <v>260</v>
      </c>
      <c r="H1" s="16" t="s">
        <v>261</v>
      </c>
    </row>
    <row r="2" spans="1:8" ht="18.75" x14ac:dyDescent="0.3">
      <c r="A2" s="7"/>
      <c r="B2" s="7" t="s">
        <v>262</v>
      </c>
    </row>
    <row r="3" spans="1:8" ht="18.75" x14ac:dyDescent="0.3">
      <c r="A3" s="17">
        <v>20680635</v>
      </c>
      <c r="B3" s="17" t="s">
        <v>263</v>
      </c>
      <c r="C3" s="18"/>
      <c r="D3" s="18"/>
      <c r="E3" s="18"/>
      <c r="F3" s="19" t="str">
        <f t="shared" ref="F3:F8" si="0">IF(OR(INDEX(Year1PricePerFteFor12Months_a53,ROW())="-",ISBLANK(INDEX(Year1PricePerFteFor12Months_a53,ROW())),INDEX(Year2PricePerFteFor12Months_8c1,ROW())="-",ISBLANK(INDEX(Year2PricePerFteFor12Months_8c1,ROW())),INDEX(Year3PricePerFteFor12Months_a5c,ROW())="-",ISBLANK(INDEX(Year3PricePerFteFor12Months_a5c,ROW()))),"-",INDEX(Year1PricePerFteFor12Months_a53,ROW()) + INDEX(Year2PricePerFteFor12Months_8c1,ROW()) + INDEX(Year3PricePerFteFor12Months_a5c,ROW()))</f>
        <v>-</v>
      </c>
      <c r="G3" s="20"/>
      <c r="H3" s="20"/>
    </row>
    <row r="4" spans="1:8" ht="18.75" x14ac:dyDescent="0.3">
      <c r="A4" s="17">
        <v>20680636</v>
      </c>
      <c r="B4" s="17" t="s">
        <v>265</v>
      </c>
      <c r="C4" s="18"/>
      <c r="D4" s="18"/>
      <c r="E4" s="18"/>
      <c r="F4" s="19" t="str">
        <f t="shared" si="0"/>
        <v>-</v>
      </c>
      <c r="G4" s="20"/>
      <c r="H4" s="20"/>
    </row>
    <row r="5" spans="1:8" ht="18.75" x14ac:dyDescent="0.3">
      <c r="A5" s="17">
        <v>20680637</v>
      </c>
      <c r="B5" s="17" t="s">
        <v>266</v>
      </c>
      <c r="C5" s="18"/>
      <c r="D5" s="18"/>
      <c r="E5" s="18"/>
      <c r="F5" s="19" t="str">
        <f t="shared" si="0"/>
        <v>-</v>
      </c>
      <c r="G5" s="20"/>
      <c r="H5" s="20"/>
    </row>
    <row r="6" spans="1:8" ht="18.75" x14ac:dyDescent="0.3">
      <c r="A6" s="17">
        <v>20680638</v>
      </c>
      <c r="B6" s="17" t="s">
        <v>267</v>
      </c>
      <c r="C6" s="18"/>
      <c r="D6" s="18"/>
      <c r="E6" s="18"/>
      <c r="F6" s="19" t="str">
        <f t="shared" si="0"/>
        <v>-</v>
      </c>
      <c r="G6" s="20"/>
      <c r="H6" s="20"/>
    </row>
    <row r="7" spans="1:8" ht="18.75" x14ac:dyDescent="0.3">
      <c r="A7" s="17">
        <v>20680639</v>
      </c>
      <c r="B7" s="17" t="s">
        <v>268</v>
      </c>
      <c r="C7" s="18"/>
      <c r="D7" s="18"/>
      <c r="E7" s="18"/>
      <c r="F7" s="19" t="str">
        <f t="shared" si="0"/>
        <v>-</v>
      </c>
      <c r="G7" s="20"/>
      <c r="H7" s="20"/>
    </row>
    <row r="8" spans="1:8" ht="18.75" x14ac:dyDescent="0.3">
      <c r="A8" s="17">
        <v>20680640</v>
      </c>
      <c r="B8" s="17" t="s">
        <v>269</v>
      </c>
      <c r="C8" s="18"/>
      <c r="D8" s="18"/>
      <c r="E8" s="18"/>
      <c r="F8" s="19" t="str">
        <f t="shared" si="0"/>
        <v>-</v>
      </c>
      <c r="G8" s="20"/>
      <c r="H8" s="20"/>
    </row>
    <row r="10" spans="1:8" ht="18.75" x14ac:dyDescent="0.3">
      <c r="A10" s="7"/>
      <c r="B10" s="7" t="s">
        <v>270</v>
      </c>
    </row>
    <row r="11" spans="1:8" ht="18.75" x14ac:dyDescent="0.3">
      <c r="A11" s="17">
        <v>20687443</v>
      </c>
      <c r="B11" s="17" t="s">
        <v>263</v>
      </c>
      <c r="C11" s="18"/>
      <c r="D11" s="18"/>
      <c r="E11" s="18"/>
      <c r="F11" s="19" t="str">
        <f t="shared" ref="F11:F16" si="1">IF(OR(INDEX(Year1PricePerFteFor12Months_a53,ROW())="-",ISBLANK(INDEX(Year1PricePerFteFor12Months_a53,ROW())),INDEX(Year2PricePerFteFor12Months_8c1,ROW())="-",ISBLANK(INDEX(Year2PricePerFteFor12Months_8c1,ROW())),INDEX(Year3PricePerFteFor12Months_a5c,ROW())="-",ISBLANK(INDEX(Year3PricePerFteFor12Months_a5c,ROW()))),"-",INDEX(Year1PricePerFteFor12Months_a53,ROW()) + INDEX(Year2PricePerFteFor12Months_8c1,ROW()) + INDEX(Year3PricePerFteFor12Months_a5c,ROW()))</f>
        <v>-</v>
      </c>
      <c r="G11" s="20"/>
      <c r="H11" s="20"/>
    </row>
    <row r="12" spans="1:8" ht="18.75" x14ac:dyDescent="0.3">
      <c r="A12" s="17">
        <v>20687444</v>
      </c>
      <c r="B12" s="17" t="s">
        <v>265</v>
      </c>
      <c r="C12" s="18"/>
      <c r="D12" s="18"/>
      <c r="E12" s="18"/>
      <c r="F12" s="19" t="str">
        <f t="shared" si="1"/>
        <v>-</v>
      </c>
      <c r="G12" s="20"/>
      <c r="H12" s="20"/>
    </row>
    <row r="13" spans="1:8" ht="18.75" x14ac:dyDescent="0.3">
      <c r="A13" s="17">
        <v>20687445</v>
      </c>
      <c r="B13" s="17" t="s">
        <v>266</v>
      </c>
      <c r="C13" s="18"/>
      <c r="D13" s="18"/>
      <c r="E13" s="18"/>
      <c r="F13" s="19" t="str">
        <f t="shared" si="1"/>
        <v>-</v>
      </c>
      <c r="G13" s="20"/>
      <c r="H13" s="20"/>
    </row>
    <row r="14" spans="1:8" ht="18.75" x14ac:dyDescent="0.3">
      <c r="A14" s="17">
        <v>20687446</v>
      </c>
      <c r="B14" s="17" t="s">
        <v>267</v>
      </c>
      <c r="C14" s="18"/>
      <c r="D14" s="18"/>
      <c r="E14" s="18"/>
      <c r="F14" s="19" t="str">
        <f t="shared" si="1"/>
        <v>-</v>
      </c>
      <c r="G14" s="20"/>
      <c r="H14" s="20"/>
    </row>
    <row r="15" spans="1:8" ht="18.75" x14ac:dyDescent="0.3">
      <c r="A15" s="17">
        <v>20687447</v>
      </c>
      <c r="B15" s="17" t="s">
        <v>268</v>
      </c>
      <c r="C15" s="18"/>
      <c r="D15" s="18"/>
      <c r="E15" s="18"/>
      <c r="F15" s="19" t="str">
        <f t="shared" si="1"/>
        <v>-</v>
      </c>
      <c r="G15" s="20"/>
      <c r="H15" s="20"/>
    </row>
    <row r="16" spans="1:8" ht="18.75" x14ac:dyDescent="0.3">
      <c r="A16" s="17">
        <v>20687448</v>
      </c>
      <c r="B16" s="17" t="s">
        <v>269</v>
      </c>
      <c r="C16" s="18"/>
      <c r="D16" s="18"/>
      <c r="E16" s="18"/>
      <c r="F16" s="19" t="str">
        <f t="shared" si="1"/>
        <v>-</v>
      </c>
      <c r="G16" s="20"/>
      <c r="H16" s="20"/>
    </row>
    <row r="18" spans="1:8" ht="18.75" x14ac:dyDescent="0.3">
      <c r="A18" s="7"/>
      <c r="B18" s="7" t="s">
        <v>271</v>
      </c>
    </row>
    <row r="19" spans="1:8" ht="18.75" x14ac:dyDescent="0.3">
      <c r="A19" s="17">
        <v>20687453</v>
      </c>
      <c r="B19" s="17" t="s">
        <v>263</v>
      </c>
      <c r="C19" s="18"/>
      <c r="D19" s="18"/>
      <c r="E19" s="18"/>
      <c r="F19" s="19" t="str">
        <f t="shared" ref="F19:F24" si="2">IF(OR(INDEX(Year1PricePerFteFor12Months_a53,ROW())="-",ISBLANK(INDEX(Year1PricePerFteFor12Months_a53,ROW())),INDEX(Year2PricePerFteFor12Months_8c1,ROW())="-",ISBLANK(INDEX(Year2PricePerFteFor12Months_8c1,ROW())),INDEX(Year3PricePerFteFor12Months_a5c,ROW())="-",ISBLANK(INDEX(Year3PricePerFteFor12Months_a5c,ROW()))),"-",INDEX(Year1PricePerFteFor12Months_a53,ROW()) + INDEX(Year2PricePerFteFor12Months_8c1,ROW()) + INDEX(Year3PricePerFteFor12Months_a5c,ROW()))</f>
        <v>-</v>
      </c>
      <c r="G19" s="20"/>
      <c r="H19" s="20"/>
    </row>
    <row r="20" spans="1:8" ht="18.75" x14ac:dyDescent="0.3">
      <c r="A20" s="17">
        <v>20687454</v>
      </c>
      <c r="B20" s="17" t="s">
        <v>265</v>
      </c>
      <c r="C20" s="18"/>
      <c r="D20" s="18"/>
      <c r="E20" s="18"/>
      <c r="F20" s="19" t="str">
        <f t="shared" si="2"/>
        <v>-</v>
      </c>
      <c r="G20" s="20"/>
      <c r="H20" s="20"/>
    </row>
    <row r="21" spans="1:8" ht="18.75" x14ac:dyDescent="0.3">
      <c r="A21" s="17">
        <v>20687455</v>
      </c>
      <c r="B21" s="17" t="s">
        <v>266</v>
      </c>
      <c r="C21" s="18"/>
      <c r="D21" s="18"/>
      <c r="E21" s="18"/>
      <c r="F21" s="19" t="str">
        <f t="shared" si="2"/>
        <v>-</v>
      </c>
      <c r="G21" s="20"/>
      <c r="H21" s="20"/>
    </row>
    <row r="22" spans="1:8" ht="18.75" x14ac:dyDescent="0.3">
      <c r="A22" s="17">
        <v>20687456</v>
      </c>
      <c r="B22" s="17" t="s">
        <v>267</v>
      </c>
      <c r="C22" s="18"/>
      <c r="D22" s="18"/>
      <c r="E22" s="18"/>
      <c r="F22" s="19" t="str">
        <f t="shared" si="2"/>
        <v>-</v>
      </c>
      <c r="G22" s="20"/>
      <c r="H22" s="20"/>
    </row>
    <row r="23" spans="1:8" ht="18.75" x14ac:dyDescent="0.3">
      <c r="A23" s="17">
        <v>20687457</v>
      </c>
      <c r="B23" s="17" t="s">
        <v>268</v>
      </c>
      <c r="C23" s="18"/>
      <c r="D23" s="18"/>
      <c r="E23" s="18"/>
      <c r="F23" s="19" t="str">
        <f t="shared" si="2"/>
        <v>-</v>
      </c>
      <c r="G23" s="20"/>
      <c r="H23" s="20"/>
    </row>
    <row r="24" spans="1:8" ht="18.75" x14ac:dyDescent="0.3">
      <c r="A24" s="17">
        <v>20687458</v>
      </c>
      <c r="B24" s="17" t="s">
        <v>269</v>
      </c>
      <c r="C24" s="18"/>
      <c r="D24" s="18"/>
      <c r="E24" s="18"/>
      <c r="F24" s="19" t="str">
        <f t="shared" si="2"/>
        <v>-</v>
      </c>
      <c r="G24" s="20"/>
      <c r="H24" s="20"/>
    </row>
  </sheetData>
  <sheetProtection password="C77B" sheet="1"/>
  <dataValidations count="1">
    <dataValidation type="decimal" allowBlank="1" showInputMessage="1" showErrorMessage="1" error="Must be decimal number" prompt="Must be decimal number" sqref="C19:E24 C11:E16 C3:E8" xr:uid="{00000000-0002-0000-0700-000000000000}"/>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9"/>
  <sheetViews>
    <sheetView showOutlineSymbols="0" showWhiteSpace="0" workbookViewId="0">
      <selection activeCell="A10" sqref="A10"/>
    </sheetView>
  </sheetViews>
  <sheetFormatPr defaultRowHeight="14.25" x14ac:dyDescent="0.2"/>
  <cols>
    <col min="1" max="1" width="161.75" bestFit="1" customWidth="1"/>
    <col min="2" max="2" width="182.625" bestFit="1" customWidth="1"/>
    <col min="3" max="3" width="115.5" bestFit="1" customWidth="1"/>
    <col min="4" max="4" width="67.125" bestFit="1" customWidth="1"/>
    <col min="5" max="5" width="19.75" bestFit="1" customWidth="1"/>
    <col min="6" max="6" width="28.625" bestFit="1" customWidth="1"/>
    <col min="7" max="7" width="15.375" bestFit="1" customWidth="1"/>
    <col min="8" max="8" width="5.5" bestFit="1" customWidth="1"/>
  </cols>
  <sheetData>
    <row r="1" spans="1:8" x14ac:dyDescent="0.2">
      <c r="A1" t="s">
        <v>272</v>
      </c>
      <c r="B1">
        <v>574204</v>
      </c>
      <c r="C1" t="s">
        <v>273</v>
      </c>
      <c r="D1">
        <v>2926112</v>
      </c>
      <c r="E1" t="s">
        <v>274</v>
      </c>
      <c r="F1" t="s">
        <v>275</v>
      </c>
      <c r="G1" t="s">
        <v>276</v>
      </c>
      <c r="H1" t="s">
        <v>277</v>
      </c>
    </row>
    <row r="2" spans="1:8" x14ac:dyDescent="0.2">
      <c r="A2" t="s">
        <v>104</v>
      </c>
      <c r="B2" t="s">
        <v>278</v>
      </c>
      <c r="C2" t="s">
        <v>279</v>
      </c>
    </row>
    <row r="3" spans="1:8" x14ac:dyDescent="0.2">
      <c r="A3" t="s">
        <v>102</v>
      </c>
      <c r="B3" t="s">
        <v>280</v>
      </c>
      <c r="C3" t="s">
        <v>281</v>
      </c>
      <c r="D3" t="s">
        <v>282</v>
      </c>
    </row>
    <row r="4" spans="1:8" x14ac:dyDescent="0.2">
      <c r="A4" t="s">
        <v>107</v>
      </c>
      <c r="B4" t="s">
        <v>283</v>
      </c>
    </row>
    <row r="5" spans="1:8" x14ac:dyDescent="0.2">
      <c r="A5" t="s">
        <v>284</v>
      </c>
      <c r="B5" t="s">
        <v>285</v>
      </c>
      <c r="C5" t="s">
        <v>63</v>
      </c>
    </row>
    <row r="6" spans="1:8" x14ac:dyDescent="0.2">
      <c r="A6" t="s">
        <v>56</v>
      </c>
      <c r="B6" t="s">
        <v>93</v>
      </c>
    </row>
    <row r="7" spans="1:8" x14ac:dyDescent="0.2">
      <c r="A7" t="s">
        <v>67</v>
      </c>
      <c r="B7" t="s">
        <v>75</v>
      </c>
    </row>
    <row r="8" spans="1:8" x14ac:dyDescent="0.2">
      <c r="A8" t="s">
        <v>67</v>
      </c>
      <c r="B8" t="s">
        <v>75</v>
      </c>
    </row>
    <row r="9" spans="1:8" x14ac:dyDescent="0.2">
      <c r="A9" t="s">
        <v>56</v>
      </c>
      <c r="B9" t="s">
        <v>93</v>
      </c>
    </row>
    <row r="10" spans="1:8" x14ac:dyDescent="0.2">
      <c r="A10" t="s">
        <v>286</v>
      </c>
      <c r="B10" t="s">
        <v>287</v>
      </c>
      <c r="C10" t="s">
        <v>288</v>
      </c>
      <c r="D10" t="s">
        <v>289</v>
      </c>
      <c r="E10" t="s">
        <v>290</v>
      </c>
      <c r="F10" t="s">
        <v>291</v>
      </c>
    </row>
    <row r="11" spans="1:8" x14ac:dyDescent="0.2">
      <c r="A11" t="s">
        <v>56</v>
      </c>
      <c r="B11" t="s">
        <v>93</v>
      </c>
    </row>
    <row r="12" spans="1:8" x14ac:dyDescent="0.2">
      <c r="A12" t="s">
        <v>67</v>
      </c>
      <c r="B12" t="s">
        <v>75</v>
      </c>
    </row>
    <row r="13" spans="1:8" x14ac:dyDescent="0.2">
      <c r="A13" t="s">
        <v>56</v>
      </c>
      <c r="B13" t="s">
        <v>93</v>
      </c>
    </row>
    <row r="14" spans="1:8" x14ac:dyDescent="0.2">
      <c r="A14" t="s">
        <v>56</v>
      </c>
      <c r="B14" t="s">
        <v>93</v>
      </c>
    </row>
    <row r="15" spans="1:8" x14ac:dyDescent="0.2">
      <c r="A15" t="s">
        <v>148</v>
      </c>
      <c r="B15" t="s">
        <v>292</v>
      </c>
    </row>
    <row r="16" spans="1:8" x14ac:dyDescent="0.2">
      <c r="A16" t="s">
        <v>293</v>
      </c>
      <c r="B16" t="s">
        <v>294</v>
      </c>
      <c r="C16" t="s">
        <v>295</v>
      </c>
    </row>
    <row r="17" spans="1:2" x14ac:dyDescent="0.2">
      <c r="A17" t="s">
        <v>56</v>
      </c>
      <c r="B17" t="s">
        <v>93</v>
      </c>
    </row>
    <row r="18" spans="1:2" x14ac:dyDescent="0.2">
      <c r="A18" t="s">
        <v>56</v>
      </c>
    </row>
    <row r="19" spans="1:2" x14ac:dyDescent="0.2">
      <c r="A19" t="s">
        <v>56</v>
      </c>
      <c r="B19" t="s">
        <v>93</v>
      </c>
    </row>
  </sheetData>
  <sheetProtection password="C77B" sheet="1"/>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203151AFA249B409411D2EE7B6D3581" ma:contentTypeVersion="4" ma:contentTypeDescription="Create a new document." ma:contentTypeScope="" ma:versionID="e98b14e18bbc4e3a2bfe08552fe236a1">
  <xsd:schema xmlns:xsd="http://www.w3.org/2001/XMLSchema" xmlns:xs="http://www.w3.org/2001/XMLSchema" xmlns:p="http://schemas.microsoft.com/office/2006/metadata/properties" xmlns:ns2="807edba1-49f0-46d2-8b8e-40ea9ea196cd" targetNamespace="http://schemas.microsoft.com/office/2006/metadata/properties" ma:root="true" ma:fieldsID="7b35626794812280e971a099df068036" ns2:_="">
    <xsd:import namespace="807edba1-49f0-46d2-8b8e-40ea9ea196c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7edba1-49f0-46d2-8b8e-40ea9ea196c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EB5061C-D05F-491F-AF2C-48910308E548}">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CD962ECC-9CD2-48EB-A88E-1A4FF69B6896}"/>
</file>

<file path=customXml/itemProps3.xml><?xml version="1.0" encoding="utf-8"?>
<ds:datastoreItem xmlns:ds="http://schemas.openxmlformats.org/officeDocument/2006/customXml" ds:itemID="{74F1C9E3-63A0-4608-9C05-662FECB8C7D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21</vt:i4>
      </vt:variant>
    </vt:vector>
  </HeadingPairs>
  <TitlesOfParts>
    <vt:vector size="30" baseType="lpstr">
      <vt:lpstr>Instructions</vt:lpstr>
      <vt:lpstr>Terms of Participation</vt:lpstr>
      <vt:lpstr>Message Center</vt:lpstr>
      <vt:lpstr>Questionnaire</vt:lpstr>
      <vt:lpstr>Bid Details</vt:lpstr>
      <vt:lpstr>FTE RatesCosts- primary r (1)</vt:lpstr>
      <vt:lpstr>FTE RatesCosts- additiona (2)</vt:lpstr>
      <vt:lpstr>FTE RatesCosts- additiona (3)</vt:lpstr>
      <vt:lpstr>Extra Data</vt:lpstr>
      <vt:lpstr>'FTE RatesCosts- additiona (2)'!ExtendedPrice_af2</vt:lpstr>
      <vt:lpstr>'FTE RatesCosts- additiona (3)'!ExtendedPrice_af2</vt:lpstr>
      <vt:lpstr>'FTE RatesCosts- primary r (1)'!ExtendedPrice_af2</vt:lpstr>
      <vt:lpstr>'FTE RatesCosts- additiona (2)'!FTETiersS_cbf</vt:lpstr>
      <vt:lpstr>'FTE RatesCosts- additiona (3)'!FTETiersS_cbf</vt:lpstr>
      <vt:lpstr>'FTE RatesCosts- primary r (1)'!FTETiersS_cbf</vt:lpstr>
      <vt:lpstr>'FTE RatesCosts- additiona (2)'!LevelOfScientistEducationAndYearsOfExperience_806</vt:lpstr>
      <vt:lpstr>'FTE RatesCosts- additiona (3)'!LevelOfScientistEducationAndYearsOfExperience_806</vt:lpstr>
      <vt:lpstr>'FTE RatesCosts- primary r (1)'!LevelOfScientistEducationAndYearsOfExperience_806</vt:lpstr>
      <vt:lpstr>'FTE RatesCosts- additiona (2)'!Notes_704</vt:lpstr>
      <vt:lpstr>'FTE RatesCosts- additiona (3)'!Notes_704</vt:lpstr>
      <vt:lpstr>'FTE RatesCosts- primary r (1)'!Notes_704</vt:lpstr>
      <vt:lpstr>'FTE RatesCosts- additiona (2)'!Year1PricePerFteFor12Months_a53</vt:lpstr>
      <vt:lpstr>'FTE RatesCosts- additiona (3)'!Year1PricePerFteFor12Months_a53</vt:lpstr>
      <vt:lpstr>'FTE RatesCosts- primary r (1)'!Year1PricePerFteFor12Months_a53</vt:lpstr>
      <vt:lpstr>'FTE RatesCosts- additiona (2)'!Year2PricePerFteFor12Months_8c1</vt:lpstr>
      <vt:lpstr>'FTE RatesCosts- additiona (3)'!Year2PricePerFteFor12Months_8c1</vt:lpstr>
      <vt:lpstr>'FTE RatesCosts- primary r (1)'!Year2PricePerFteFor12Months_8c1</vt:lpstr>
      <vt:lpstr>'FTE RatesCosts- additiona (2)'!Year3PricePerFteFor12Months_a5c</vt:lpstr>
      <vt:lpstr>'FTE RatesCosts- additiona (3)'!Year3PricePerFteFor12Months_a5c</vt:lpstr>
      <vt:lpstr>'FTE RatesCosts- primary r (1)'!Year3PricePerFteFor12Months_a5c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ScoutRFP</dc:creator>
  <cp:keywords/>
  <dc:description/>
  <cp:lastModifiedBy>R Srinivasan</cp:lastModifiedBy>
  <cp:revision>0</cp:revision>
  <dcterms:created xsi:type="dcterms:W3CDTF">2023-12-08T03:12:10Z</dcterms:created>
  <dcterms:modified xsi:type="dcterms:W3CDTF">2024-01-17T05:51:55Z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0x0101005203151AFA249B409411D2EE7B6D3581</vt:lpwstr>
  </property>
</Properties>
</file>