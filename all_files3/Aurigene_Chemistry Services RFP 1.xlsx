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xr:revisionPtr revIDLastSave="0" documentId="13_ncr:1_{D6512DA6-CF02-4F6C-B1DC-81210054DEBE}" xr6:coauthVersionLast="47" xr6:coauthVersionMax="47" xr10:uidLastSave="{00000000-0000-0000-0000-000000000000}"/>
  <workbookProtection workbookAlgorithmName="SHA-512" workbookHashValue="VLQ5dNoiea+E2ivNm7JlTzFIXvkU/QY/s8hIuUme5XmhvorZFTKEtaHGhDprQl0MfyEcrWtqrircrrft1KgaLg==" workbookSaltValue="jwsomLGj5n+fqufa8SSm3Q==" workbookSpinCount="100000" lockStructure="1"/>
  <bookViews>
    <workbookView xWindow="-110" yWindow="-110" windowWidth="19420" windowHeight="10300" tabRatio="702" activeTab="2" xr2:uid="{00000000-000D-0000-FFFF-FFFF00000000}"/>
  </bookViews>
  <sheets>
    <sheet name="Cover Page" sheetId="1" r:id="rId1"/>
    <sheet name="Instructions" sheetId="2" r:id="rId2"/>
    <sheet name="1. General company information" sheetId="3" r:id="rId3"/>
    <sheet name="2. FTE rates" sheetId="6" r:id="rId4"/>
    <sheet name="3. Capabilities" sheetId="5" r:id="rId5"/>
    <sheet name="4. Discount and inflation" sheetId="7" r:id="rId6"/>
    <sheet name="5. Definitions" sheetId="4" r:id="rId7"/>
    <sheet name="Dropdown lists" sheetId="10"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6" i="5" l="1"/>
  <c r="B4" i="5"/>
  <c r="B9" i="7"/>
  <c r="B10" i="7" s="1"/>
  <c r="B11" i="7" s="1"/>
  <c r="B12" i="7" s="1"/>
  <c r="B13" i="7" s="1"/>
  <c r="B14" i="7" s="1"/>
  <c r="B15" i="7" s="1"/>
  <c r="B16" i="7" s="1"/>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3" i="6"/>
  <c r="B4" i="6" s="1"/>
  <c r="B5" i="6" s="1"/>
  <c r="B6" i="6" s="1"/>
  <c r="B7" i="6" s="1"/>
  <c r="B8" i="6" s="1"/>
  <c r="B9" i="6" s="1"/>
  <c r="B10" i="6" s="1"/>
  <c r="B11" i="6" s="1"/>
  <c r="B12" i="6" s="1"/>
  <c r="B13" i="6" s="1"/>
  <c r="B14" i="6" s="1"/>
  <c r="B15" i="6" s="1"/>
  <c r="B16" i="6" s="1"/>
  <c r="B17" i="6" s="1"/>
  <c r="B20" i="6" s="1"/>
  <c r="B23" i="6" s="1"/>
  <c r="B24" i="6" s="1"/>
  <c r="B25" i="6" s="1"/>
  <c r="B26" i="6" s="1"/>
  <c r="B27" i="6" s="1"/>
  <c r="B28" i="6" s="1"/>
  <c r="B29" i="6" s="1"/>
  <c r="B30" i="6" s="1"/>
  <c r="B31" i="6" s="1"/>
  <c r="B32" i="6" s="1"/>
  <c r="B34" i="6" s="1"/>
  <c r="B35" i="6" s="1"/>
  <c r="B36" i="6" s="1"/>
  <c r="B37" i="6" s="1"/>
  <c r="B38" i="6" s="1"/>
  <c r="B39" i="6" s="1"/>
  <c r="B40" i="6" s="1"/>
  <c r="B41" i="6" s="1"/>
  <c r="B42" i="6" s="1"/>
  <c r="B43" i="6" s="1"/>
  <c r="B44" i="6" s="1"/>
  <c r="B45" i="6" s="1"/>
  <c r="B54" i="6" s="1"/>
  <c r="B55" i="6" s="1"/>
  <c r="B56" i="6" s="1"/>
  <c r="B57" i="6" s="1"/>
  <c r="B58" i="6" s="1"/>
  <c r="B59" i="6" s="1"/>
  <c r="B60" i="6" s="1"/>
  <c r="B61" i="6" s="1"/>
  <c r="B62" i="6" s="1"/>
  <c r="B63" i="6" s="1"/>
  <c r="B64" i="6" s="1"/>
  <c r="B65" i="6" s="1"/>
  <c r="B66" i="6" s="1"/>
  <c r="B67" i="6" s="1"/>
  <c r="B68" i="6" s="1"/>
  <c r="B69" i="6" s="1"/>
  <c r="B70" i="6" s="1"/>
  <c r="B71" i="6" s="1"/>
  <c r="B72" i="6" s="1"/>
  <c r="B73" i="6" s="1"/>
  <c r="B74" i="6" s="1"/>
  <c r="B75" i="6" s="1"/>
  <c r="B76" i="6" s="1"/>
  <c r="B77" i="6" s="1"/>
  <c r="B78" i="6" s="1"/>
  <c r="B79" i="6" s="1"/>
  <c r="B80" i="6" s="1"/>
  <c r="B81" i="6" s="1"/>
  <c r="B82" i="6" s="1"/>
  <c r="B83" i="6" s="1"/>
  <c r="B84" i="6" s="1"/>
  <c r="B85" i="6" s="1"/>
  <c r="B86" i="6" s="1"/>
  <c r="B87" i="6" s="1"/>
  <c r="B88" i="6" s="1"/>
  <c r="B89" i="6" s="1"/>
  <c r="B90" i="6" s="1"/>
  <c r="B91" i="6" s="1"/>
  <c r="B92" i="6" s="1"/>
  <c r="B93" i="6" s="1"/>
  <c r="B94" i="6" s="1"/>
  <c r="B95" i="6" s="1"/>
  <c r="B96" i="6" s="1"/>
  <c r="B97" i="6" s="1"/>
  <c r="B98" i="6" s="1"/>
  <c r="B99" i="6" s="1"/>
  <c r="B100" i="6" s="1"/>
  <c r="B101" i="6" s="1"/>
  <c r="B102" i="6" s="1"/>
  <c r="B103" i="6" s="1"/>
  <c r="B104" i="6" s="1"/>
  <c r="B105" i="6" s="1"/>
  <c r="B106" i="6" s="1"/>
  <c r="B107" i="6" s="1"/>
  <c r="B108" i="6" s="1"/>
  <c r="B109" i="6" s="1"/>
  <c r="B110" i="6" s="1"/>
  <c r="B111" i="6" s="1"/>
  <c r="B112" i="6" s="1"/>
  <c r="B113" i="6" s="1"/>
  <c r="B6" i="5"/>
  <c r="B7" i="5" s="1"/>
  <c r="B8" i="5" s="1"/>
  <c r="B12" i="5" s="1"/>
  <c r="B13" i="5" s="1"/>
  <c r="B14" i="5" s="1"/>
  <c r="B15" i="5" s="1"/>
  <c r="B16" i="5" s="1"/>
  <c r="B17" i="5" s="1"/>
  <c r="B18" i="5" s="1"/>
  <c r="B19" i="5" s="1"/>
  <c r="B20" i="5" s="1"/>
  <c r="B2" i="4"/>
  <c r="B3" i="4" s="1"/>
  <c r="B4" i="4" s="1"/>
  <c r="B10" i="4" s="1"/>
  <c r="B11" i="4" s="1"/>
  <c r="B12" i="4" s="1"/>
  <c r="B13" i="4" s="1"/>
  <c r="B14" i="4" s="1"/>
  <c r="B15" i="4" s="1"/>
  <c r="B16" i="4" s="1"/>
  <c r="B17" i="4" s="1"/>
  <c r="B21" i="5" l="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B54" i="5" s="1"/>
  <c r="B55" i="5" s="1"/>
  <c r="B56" i="5" s="1"/>
  <c r="B57" i="5" s="1"/>
  <c r="B58" i="5" s="1"/>
  <c r="B59" i="5" s="1"/>
  <c r="B60" i="5" s="1"/>
  <c r="B61" i="5" s="1"/>
  <c r="B62" i="5" s="1"/>
  <c r="B63" i="5" s="1"/>
  <c r="B64" i="5" s="1"/>
  <c r="B65" i="5" s="1"/>
  <c r="B66" i="5" s="1"/>
  <c r="B67" i="5" s="1"/>
  <c r="B68" i="5" s="1"/>
  <c r="B69" i="5" s="1"/>
  <c r="B70" i="5" s="1"/>
  <c r="B71" i="5" s="1"/>
  <c r="B72" i="5" s="1"/>
  <c r="B77" i="5" s="1"/>
  <c r="B78" i="5" s="1"/>
  <c r="B79" i="5" s="1"/>
  <c r="B80" i="5" s="1"/>
  <c r="B81" i="5" s="1"/>
  <c r="B82" i="5" s="1"/>
  <c r="B83" i="5" s="1"/>
  <c r="B84" i="5" s="1"/>
  <c r="B85" i="5" s="1"/>
  <c r="B86" i="5" s="1"/>
  <c r="B87" i="5" s="1"/>
  <c r="B88" i="5" s="1"/>
  <c r="B89" i="5" s="1"/>
  <c r="B90" i="5" s="1"/>
  <c r="B91" i="5" s="1"/>
  <c r="B92" i="5" s="1"/>
  <c r="B93" i="5" s="1"/>
  <c r="B94" i="5" s="1"/>
  <c r="B95" i="5" s="1"/>
  <c r="B96" i="5" s="1"/>
  <c r="B97" i="5" s="1"/>
  <c r="B98" i="5" s="1"/>
  <c r="B99" i="5" s="1"/>
  <c r="B100" i="5" s="1"/>
  <c r="B101" i="5" s="1"/>
  <c r="B102" i="5" s="1"/>
  <c r="B103" i="5" s="1"/>
  <c r="B104" i="5" s="1"/>
  <c r="B105" i="5" s="1"/>
  <c r="B106" i="5" s="1"/>
  <c r="B107" i="5" s="1"/>
  <c r="B108" i="5" s="1"/>
  <c r="B109" i="5" s="1"/>
  <c r="B110" i="5" s="1"/>
  <c r="B111" i="5" s="1"/>
  <c r="B112" i="5" s="1"/>
  <c r="B113" i="5" s="1"/>
  <c r="B114" i="5" s="1"/>
  <c r="B115" i="5" s="1"/>
  <c r="B116" i="5" s="1"/>
  <c r="B117" i="5" s="1"/>
  <c r="B118" i="5" s="1"/>
  <c r="B119" i="5" s="1"/>
  <c r="B120" i="5" s="1"/>
  <c r="B121" i="5" s="1"/>
  <c r="B122" i="5" s="1"/>
  <c r="B123" i="5" s="1"/>
  <c r="B124" i="5" s="1"/>
  <c r="B125" i="5" s="1"/>
  <c r="B126" i="5" s="1"/>
  <c r="B127" i="5" s="1"/>
  <c r="B128" i="5" s="1"/>
  <c r="B129" i="5" s="1"/>
  <c r="B130" i="5" s="1"/>
  <c r="B131" i="5" s="1"/>
  <c r="B132" i="5" s="1"/>
  <c r="B133" i="5" s="1"/>
  <c r="B134" i="5" s="1"/>
  <c r="B135" i="5" s="1"/>
  <c r="B136" i="5" s="1"/>
  <c r="B137" i="5" s="1"/>
  <c r="B138" i="5" s="1"/>
  <c r="B139" i="5" s="1"/>
  <c r="B140" i="5"/>
  <c r="B141" i="5" s="1"/>
  <c r="B142" i="5" s="1"/>
  <c r="B143" i="5" s="1"/>
  <c r="B144" i="5" s="1"/>
  <c r="B145" i="5" s="1"/>
  <c r="B146" i="5" s="1"/>
  <c r="B147" i="5" s="1"/>
  <c r="B148" i="5" s="1"/>
  <c r="B149" i="5" s="1"/>
  <c r="B150" i="5" s="1"/>
  <c r="B151" i="5" s="1"/>
  <c r="B152" i="5" s="1"/>
  <c r="B153" i="5" s="1"/>
  <c r="B154" i="5" s="1"/>
  <c r="B155" i="5" s="1"/>
  <c r="B156" i="5" s="1"/>
  <c r="B15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tc={CB8F3492-57B6-4F4B-861D-678F73B35296}</author>
    <author>tc={E13C94AD-B02D-4966-AF6A-0A07A71E2794}</author>
    <author>tc={BD8FE079-3F90-4584-AD83-330AA7FFFFE9}</author>
    <author>tc={DB6FEAA7-E42A-4625-B12B-587993DAE315}</author>
  </authors>
  <commentList>
    <comment ref="G32" authorId="0" shapeId="0" xr:uid="{CB8F3492-57B6-4F4B-861D-678F73B35296}">
      <text>
        <t xml:space="preserve">[Threaded comment]
Your version of Excel allows you to read this threaded comment; however, any edits to it will get removed if the file is opened in a newer version of Excel. Learn more: https://go.microsoft.com/fwlink/?linkid=870924
Comment:
    We calculate our revenue on Financial year basis, not calendar year. Financial year (Apr - Mar)
</t>
      </text>
    </comment>
    <comment ref="G34" authorId="1" shapeId="0" xr:uid="{E13C94AD-B02D-4966-AF6A-0A07A71E2794}">
      <text>
        <t>[Threaded comment]
Your version of Excel allows you to read this threaded comment; however, any edits to it will get removed if the file is opened in a newer version of Excel. Learn more: https://go.microsoft.com/fwlink/?linkid=870924
Comment:
    By preclinical, we are stating our Discovery services only (across Chemistry + Biology)</t>
      </text>
    </comment>
    <comment ref="G35" authorId="2" shapeId="0" xr:uid="{BD8FE079-3F90-4584-AD83-330AA7FFFFE9}">
      <text>
        <t>[Threaded comment]
Your version of Excel allows you to read this threaded comment; however, any edits to it will get removed if the file is opened in a newer version of Excel. Learn more: https://go.microsoft.com/fwlink/?linkid=870924
Comment:
    We have no separate revenue distinguishing parameters when we are calculating our revenue. We calculate only on the basis of Discovery &amp; Development</t>
      </text>
    </comment>
    <comment ref="J36" authorId="3" shapeId="0" xr:uid="{DB6FEAA7-E42A-4625-B12B-587993DAE315}">
      <text>
        <t>[Threaded comment]
Your version of Excel allows you to read this threaded comment; however, any edits to it will get removed if the file is opened in a newer version of Excel. Learn more: https://go.microsoft.com/fwlink/?linkid=870924
Comment:
    It was a FFS chemistry project</t>
      </text>
    </comment>
  </commentList>
</comments>
</file>

<file path=xl/sharedStrings.xml><?xml version="1.0" encoding="utf-8"?>
<sst xmlns="http://schemas.openxmlformats.org/spreadsheetml/2006/main" count="1311" uniqueCount="796">
  <si>
    <t>REQUEST FOR PROPOSAL AND INFORMATION (RFX)</t>
  </si>
  <si>
    <t>Introduction</t>
  </si>
  <si>
    <r>
      <t xml:space="preserve">Firstly, thank you for taking the time to review the material on our exclusive “Research &amp; Development Excellence” program and for participating in this request for proposal and information (RFX) process. 
As you know, Roche is at an inflection point. We aspire to build upon our purpose of developing medicines and diagnostics that help patients live longer, better lives, to deliver 20 transformative medicines by 2029, and to reach top-quartile performance in research and development productivity across the biopharma industry.
As an important supplier to Roche, you are invited to participate in a market-wide consultation, which includes a RFX process on Chemistry Services.
This RFX will be a unique and decisive opportunity for you to demonstrate your abilities and your willingness to play a strategic role in Roche’s pursuit of research and development excellence. Considering the strategic significance of this event for Roche, we highly encourage your participation and recommend that you present your best efforts, as it will play a pivotal role in shaping the next five years of our partnership.
</t>
    </r>
    <r>
      <rPr>
        <b/>
        <i/>
        <sz val="12"/>
        <rFont val="Arial"/>
        <family val="2"/>
      </rPr>
      <t>What is the purpose of this RFX?</t>
    </r>
    <r>
      <rPr>
        <i/>
        <sz val="12"/>
        <rFont val="Arial"/>
        <family val="2"/>
      </rPr>
      <t xml:space="preserve">
The objective of this request for information is to collect information on your key capabilities, differentiating factors, full-time equivalent rates, and quotes for representative projects in Chemistry services. Results will be analyzed, and vendors who meet our required criteria will be invited to a second RFX round in January 2025 to provide further responses. 
</t>
    </r>
    <r>
      <rPr>
        <b/>
        <i/>
        <sz val="12"/>
        <rFont val="Arial"/>
        <family val="2"/>
      </rPr>
      <t xml:space="preserve">Why is your participation important?
</t>
    </r>
    <r>
      <rPr>
        <i/>
        <sz val="12"/>
        <rFont val="Arial"/>
        <family val="2"/>
      </rPr>
      <t xml:space="preserve">This is an opportunity to strengthen your relationship with Roche, providing us with information that will enable us to make an informed decision on partners for long-term collaboration and strategic alignment.
</t>
    </r>
    <r>
      <rPr>
        <b/>
        <i/>
        <sz val="12"/>
        <rFont val="Arial"/>
        <family val="2"/>
      </rPr>
      <t>What are the next steps?</t>
    </r>
    <r>
      <rPr>
        <i/>
        <sz val="12"/>
        <rFont val="Arial"/>
        <family val="2"/>
      </rPr>
      <t xml:space="preserve">
Please carefully review the instructions provided in the accompanying documentation, which outline submission guidelines and key details. Detailed instructions on content and file completion can be found on the next tab. We kindly request that you submit your response by the deadine specified in the related MyBuy event. As we progress with this effort, we encourage you to keep communication channels open. Please submit all questions related to this RFX via the discussion forum in the dedicated MyBuy event. We aim to provide responses in a timely manner.
</t>
    </r>
    <r>
      <rPr>
        <b/>
        <i/>
        <sz val="12"/>
        <rFont val="Arial"/>
        <family val="2"/>
      </rPr>
      <t xml:space="preserve">
Disclaimer:</t>
    </r>
    <r>
      <rPr>
        <i/>
        <sz val="12"/>
        <rFont val="Arial"/>
        <family val="2"/>
      </rPr>
      <t xml:space="preserve">
Please note that Roche does not commit to any particular outcome at this stage.
Thank you for your continued commitment to Roche. We very much look forward to receiving your responses in the true spirit of partnership, both in the short and long term. Together, we can achieve sourcing excellence and drive forward innovative solutions.
</t>
    </r>
    <r>
      <rPr>
        <b/>
        <i/>
        <sz val="12"/>
        <rFont val="Arial"/>
        <family val="2"/>
      </rPr>
      <t xml:space="preserve">Confidentiality statement: </t>
    </r>
    <r>
      <rPr>
        <i/>
        <sz val="12"/>
        <rFont val="Arial"/>
        <family val="2"/>
      </rPr>
      <t xml:space="preserve">
All the information provided by vendors will be treated confidentially by Roche and will not be made available to any third party. This template is the property of Roche.
</t>
    </r>
    <r>
      <rPr>
        <b/>
        <i/>
        <sz val="12"/>
        <rFont val="Arial"/>
        <family val="2"/>
      </rPr>
      <t>Liability and Incurred Costs:</t>
    </r>
    <r>
      <rPr>
        <i/>
        <sz val="12"/>
        <rFont val="Arial"/>
        <family val="2"/>
      </rPr>
      <t xml:space="preserve">
The distribution of this questionnaire and the receipt of information in response to it shall not in any way cause Roche to incur any liability or obligation to any vendor, financial or otherwise. Roche assumes no obligation to reimburse or in any way compensate any vendor for losses or expenses incurred in connection with their response to this questionnaire.
</t>
    </r>
    <r>
      <rPr>
        <b/>
        <i/>
        <sz val="12"/>
        <rFont val="Arial"/>
        <family val="2"/>
      </rPr>
      <t>Rights Reserved:</t>
    </r>
    <r>
      <rPr>
        <i/>
        <sz val="12"/>
        <rFont val="Arial"/>
        <family val="2"/>
      </rPr>
      <t xml:space="preserve">
In addition to all other rights, Roche specifically reserves the right to:
1. Contact any vendor to obtain corrections or clarifications to a submitted proposal if necessary to make a fair comparison of all proposals submitted.
2. Extend the proposal submission date for all vendors if it is determined to be necessary for any reason.
3. Amend or supplement this questionnaire in writing at any time.
4. Withhold the name of the selected vendor from other bidders.
5. Withhold information pertaining to the final selection process.</t>
    </r>
  </si>
  <si>
    <t>RFX Instructions</t>
  </si>
  <si>
    <t>INTRODUCTION</t>
  </si>
  <si>
    <t>Thank you for participating in the first round of the RFX process, covering rates for Chemistry Services. We appreciate the time and effort you are taking to complete this request.</t>
  </si>
  <si>
    <t>For questions related to the RFX, please post your questions via the MyBuy event forum. Roche will endeavour to answer all questions submitted; however this shall be at Roche's sole discretion and shall not be construed as an obligation or commitment to respond to all questions submitted.</t>
  </si>
  <si>
    <t>This file contains the following worksheets:</t>
  </si>
  <si>
    <t>General company information</t>
  </si>
  <si>
    <t>FTE rates</t>
  </si>
  <si>
    <t>Capabilities</t>
  </si>
  <si>
    <t>Discount and inflation</t>
  </si>
  <si>
    <t>Definitions</t>
  </si>
  <si>
    <t>RFX EXCEL FILE COMPLETION INSTRUCTIONS</t>
  </si>
  <si>
    <t>Vendor to complete all cells highlighted in Orange in all tabs.</t>
  </si>
  <si>
    <t>Yellow cells must not be altered.</t>
  </si>
  <si>
    <t>DO NOT alter the format or add any lines to any tabs (unless indicated). If any tasks/data need to be added to the RFX, please add them in a COMMENT section.</t>
  </si>
  <si>
    <r>
      <t>Do not modify</t>
    </r>
    <r>
      <rPr>
        <sz val="11"/>
        <color rgb="FF000000"/>
        <rFont val="Arial"/>
        <family val="2"/>
        <scheme val="major"/>
      </rPr>
      <t xml:space="preserve"> the unit description or delete any calculation formulae</t>
    </r>
  </si>
  <si>
    <t>Please enter dates in the following format across the RFX: DD-MM-YYYY</t>
  </si>
  <si>
    <t>RFX TERMS</t>
  </si>
  <si>
    <r>
      <t xml:space="preserve">Confidentiality </t>
    </r>
    <r>
      <rPr>
        <sz val="11"/>
        <color rgb="FF000000"/>
        <rFont val="Arial"/>
        <family val="2"/>
        <scheme val="major"/>
      </rPr>
      <t>- all information in the RFX and supporting documents is confidential as per the Confidentiality or Master Agreement signed between our companies.</t>
    </r>
  </si>
  <si>
    <r>
      <t>Discrepancies and omission</t>
    </r>
    <r>
      <rPr>
        <sz val="11"/>
        <color rgb="FF000000"/>
        <rFont val="Arial"/>
        <family val="2"/>
        <scheme val="major"/>
      </rPr>
      <t>s - Vendor will bring these to Sponsor attention.</t>
    </r>
  </si>
  <si>
    <r>
      <t xml:space="preserve">Preparation costs - </t>
    </r>
    <r>
      <rPr>
        <sz val="11"/>
        <color rgb="FF000000"/>
        <rFont val="Arial"/>
        <family val="2"/>
        <scheme val="major"/>
      </rPr>
      <t>Vendor bears all costs of preparing and submitting proposal.</t>
    </r>
  </si>
  <si>
    <r>
      <t xml:space="preserve">Return of documents - </t>
    </r>
    <r>
      <rPr>
        <sz val="11"/>
        <color rgb="FF000000"/>
        <rFont val="Arial"/>
        <family val="2"/>
        <scheme val="major"/>
      </rPr>
      <t xml:space="preserve">Vendor must return RFX and supporting documents if requested. </t>
    </r>
  </si>
  <si>
    <t>All proposal responses must be returned by the 13th of December.</t>
  </si>
  <si>
    <r>
      <t>All subcontracting party</t>
    </r>
    <r>
      <rPr>
        <sz val="11"/>
        <color rgb="FF000000"/>
        <rFont val="Arial"/>
        <family val="2"/>
        <scheme val="major"/>
      </rPr>
      <t xml:space="preserve"> to the Vendor must be clearly specified in the proposal. </t>
    </r>
  </si>
  <si>
    <t>Abbreviations used</t>
  </si>
  <si>
    <t>RFX</t>
  </si>
  <si>
    <t>Combined RFI &amp; RFP</t>
  </si>
  <si>
    <t>CADD</t>
  </si>
  <si>
    <t>Computational Chemistry</t>
  </si>
  <si>
    <t>FTE</t>
  </si>
  <si>
    <t>Full time equivalent</t>
  </si>
  <si>
    <t>1. General Company Information</t>
  </si>
  <si>
    <t>Complete all cells highlighted in Orange in all tabs.</t>
  </si>
  <si>
    <t>Instructions</t>
  </si>
  <si>
    <t>Please provide the following general information about your company and your business relations with Roche</t>
  </si>
  <si>
    <t>General Company Information</t>
  </si>
  <si>
    <t>Answer</t>
  </si>
  <si>
    <t>Company Name</t>
  </si>
  <si>
    <t>Aurigene Pharmaceutical Services Limited</t>
  </si>
  <si>
    <t>Group Company Name (if applicable)</t>
  </si>
  <si>
    <t>Dr. Reddy's Laboratories</t>
  </si>
  <si>
    <t>Ownership Type (public or private)</t>
  </si>
  <si>
    <t>Public</t>
  </si>
  <si>
    <t>Holding company name (if applicable)</t>
  </si>
  <si>
    <t>Our holding company is Aurigene Oncology Limited. However, our ultimate partent is Dr. Reddy's Laboratories.</t>
  </si>
  <si>
    <t>Headquarter address</t>
  </si>
  <si>
    <t>39-40, KIADB Industrial Area, Electronic City Phase II, Hosur Road, Bangalore, 560100</t>
  </si>
  <si>
    <t>Headquarter country</t>
  </si>
  <si>
    <t>India</t>
  </si>
  <si>
    <t>Year Company Founded (DD.MM.YYYY)</t>
  </si>
  <si>
    <t>16.09.2019</t>
  </si>
  <si>
    <t>Number of employees</t>
  </si>
  <si>
    <t>&gt;950 empolyees</t>
  </si>
  <si>
    <t>What is the average span of control in your organization?</t>
  </si>
  <si>
    <t>Average span is 5</t>
  </si>
  <si>
    <t>Dedicated contact for Roche</t>
  </si>
  <si>
    <t>Contact name</t>
  </si>
  <si>
    <t>Tania Day</t>
  </si>
  <si>
    <t>Function</t>
  </si>
  <si>
    <t>Business Development</t>
  </si>
  <si>
    <t>Mobile</t>
  </si>
  <si>
    <t>+91-8777265436</t>
  </si>
  <si>
    <t>Email address</t>
  </si>
  <si>
    <t>taniadey@aurigeneservices.com</t>
  </si>
  <si>
    <t>Are you willing to provide 3 client references if requested?</t>
  </si>
  <si>
    <t>Yes</t>
  </si>
  <si>
    <t>Financial and Customer Information</t>
  </si>
  <si>
    <t>Please provide the following financial and customer information</t>
  </si>
  <si>
    <t>2024 YTD</t>
  </si>
  <si>
    <t>Revenue (USD)</t>
  </si>
  <si>
    <t>$ 22.92 Mn</t>
  </si>
  <si>
    <t>$ 43.25 Mn</t>
  </si>
  <si>
    <t>$ 39.60 Mn</t>
  </si>
  <si>
    <t>$ 53.02 Mn</t>
  </si>
  <si>
    <t>What % of your revenue came from Preclinical services?</t>
  </si>
  <si>
    <t>What % of your revenue came from Chemistry services?</t>
  </si>
  <si>
    <t>What % of your revenue from Preclinical services came from Roche?</t>
  </si>
  <si>
    <t>0.1</t>
  </si>
  <si>
    <t>What % of your revenue from Chemistry services came from Roche?</t>
  </si>
  <si>
    <t>How many clients did you serve?</t>
  </si>
  <si>
    <t>126</t>
  </si>
  <si>
    <t>147</t>
  </si>
  <si>
    <t>138</t>
  </si>
  <si>
    <t>87</t>
  </si>
  <si>
    <t>Of your clients, how many were Pharmaceuticals / Healthcare?</t>
  </si>
  <si>
    <t>110</t>
  </si>
  <si>
    <t>127</t>
  </si>
  <si>
    <t>125</t>
  </si>
  <si>
    <t>82</t>
  </si>
  <si>
    <t>Are you willing to provide 3 client references if rquested?</t>
  </si>
  <si>
    <t>RFX Sign Off</t>
  </si>
  <si>
    <t>This RFX was completed by:</t>
  </si>
  <si>
    <t>Date</t>
  </si>
  <si>
    <t>Senior Management Approval</t>
  </si>
  <si>
    <t>Signature</t>
  </si>
  <si>
    <t>Name of Approver</t>
  </si>
  <si>
    <t>Any further information or comments:</t>
  </si>
  <si>
    <t>Disclaimer</t>
  </si>
  <si>
    <t>This RFX is material information which may be used by Roche to make sourcing decisions or other financial commitments. The vendor hereby confirms the contents are accurate, complete and truthful and is aware that misrepresentation may render any future contract or work order invalid</t>
  </si>
  <si>
    <t>Helper 1</t>
  </si>
  <si>
    <t>Helper 2</t>
  </si>
  <si>
    <t>2. FTE rates</t>
  </si>
  <si>
    <t>This tab contains one section that needs to be completed: "Full-Time Equivalent Rates - Annual".
Full-Time Equivalent Rates - Annual
This section is divided into three parts:
1. Annual Full-Time Equivalent Rates
2. Additional Cost Items
3. Productivity
Please complete each section where you intend to submit an offer.</t>
  </si>
  <si>
    <t>FTE rates - annual</t>
  </si>
  <si>
    <t xml:space="preserve">Please provide details of annual FTE-based rates for 2025-26 by country </t>
  </si>
  <si>
    <t>Please refer to Role definitions tab for information on key roles</t>
  </si>
  <si>
    <t>Please fill out all roles that you have across all locations</t>
  </si>
  <si>
    <t>1. Annual FTE rates</t>
  </si>
  <si>
    <t>1.1 Please provide details of annual FTE rates for the following service</t>
  </si>
  <si>
    <t>Annual rate per role by country / hub / location of FTE; Please enter costs in the local currency of the country where the activity is performed. For activities in China and India, please provide costs in USD</t>
  </si>
  <si>
    <t xml:space="preserve">Specify site </t>
  </si>
  <si>
    <t>Currency</t>
  </si>
  <si>
    <t>USD</t>
  </si>
  <si>
    <t>CAD</t>
  </si>
  <si>
    <t>GBP</t>
  </si>
  <si>
    <t>€</t>
  </si>
  <si>
    <t>UAH</t>
  </si>
  <si>
    <t>Other</t>
  </si>
  <si>
    <t>SGD</t>
  </si>
  <si>
    <t xml:space="preserve">&lt;specify currency&gt; </t>
  </si>
  <si>
    <t>Number of hours worked per year</t>
  </si>
  <si>
    <t>Service / activity</t>
  </si>
  <si>
    <t xml:space="preserve">Role title </t>
  </si>
  <si>
    <t xml:space="preserve">USA </t>
  </si>
  <si>
    <t>Canada</t>
  </si>
  <si>
    <t>UK</t>
  </si>
  <si>
    <t>France</t>
  </si>
  <si>
    <t>Germany</t>
  </si>
  <si>
    <t xml:space="preserve">Spain </t>
  </si>
  <si>
    <t xml:space="preserve">Italy </t>
  </si>
  <si>
    <t xml:space="preserve">Western Europe - other </t>
  </si>
  <si>
    <t xml:space="preserve">Croatia </t>
  </si>
  <si>
    <t>Poland</t>
  </si>
  <si>
    <t>Ukraine</t>
  </si>
  <si>
    <t xml:space="preserve">Central / Eastern Europe - other </t>
  </si>
  <si>
    <t xml:space="preserve">China </t>
  </si>
  <si>
    <t xml:space="preserve">India </t>
  </si>
  <si>
    <t>Singapore</t>
  </si>
  <si>
    <t xml:space="preserve">Asia - other </t>
  </si>
  <si>
    <t xml:space="preserve">&lt;specify country&gt; </t>
  </si>
  <si>
    <t xml:space="preserve">Synthetic chemistry </t>
  </si>
  <si>
    <t>Bench chemist</t>
  </si>
  <si>
    <t>Senior research chemist</t>
  </si>
  <si>
    <t xml:space="preserve">Medicinal chemistry </t>
  </si>
  <si>
    <t>Medicinal chemist</t>
  </si>
  <si>
    <t>Senior medicinal chemist</t>
  </si>
  <si>
    <t>Computational chemistry (CADD)</t>
  </si>
  <si>
    <t>Research chemist</t>
  </si>
  <si>
    <t>Project Management</t>
  </si>
  <si>
    <t>Project Manager</t>
  </si>
  <si>
    <t>Please add additional services</t>
  </si>
  <si>
    <t>Please add additional role</t>
  </si>
  <si>
    <r>
      <t xml:space="preserve">1.2 Do you offer a 'flexible' FTE pricing model? 
</t>
    </r>
    <r>
      <rPr>
        <i/>
        <sz val="10"/>
        <color theme="1"/>
        <rFont val="Arial"/>
        <family val="2"/>
      </rPr>
      <t xml:space="preserve">(i.e., based on number of hours worked, samples analysed, number of reactions. etc) </t>
    </r>
  </si>
  <si>
    <t>No</t>
  </si>
  <si>
    <t>1.3 If you answered 'yes' to question 1.2, please provide details of your flexible FTE pricing model</t>
  </si>
  <si>
    <t>1.4 What is the lowest partial FTE unit you charge?</t>
  </si>
  <si>
    <t>1.5 Do you charge on a blended model (mixing different levels of roles, e.g. bench scientist and senior research scientist) or per exact role?</t>
  </si>
  <si>
    <t>Blended model</t>
  </si>
  <si>
    <t>1.6 If yes, please specify what the ratio of PhD/MSc and what the ratio of years of experience is (per role).</t>
  </si>
  <si>
    <t>Number of FTEs</t>
  </si>
  <si>
    <t>What is your current ramp up turnaround time (in days)? Please state</t>
  </si>
  <si>
    <t>What is your current ramp down turnaround time (in days)? Please state</t>
  </si>
  <si>
    <t>What is your your FTE termination notice period (in days)? Please state</t>
  </si>
  <si>
    <t xml:space="preserve">1-10 FTEs </t>
  </si>
  <si>
    <t>11-20 FTEs</t>
  </si>
  <si>
    <t>21-50 FTEs</t>
  </si>
  <si>
    <t>51-100 FTEs</t>
  </si>
  <si>
    <t xml:space="preserve">&gt;100 FTEs </t>
  </si>
  <si>
    <t>2. Additional cost items</t>
  </si>
  <si>
    <t>Please provide details on the additional cost items below if not included in the FTE price provided above</t>
  </si>
  <si>
    <t xml:space="preserve">Cost item </t>
  </si>
  <si>
    <t>Description</t>
  </si>
  <si>
    <t>Is the following cost included in the FTE rates?</t>
  </si>
  <si>
    <t>If yes, what is the maximum limit or threshold for the amount of spend included in the FTE rate?</t>
  </si>
  <si>
    <t xml:space="preserve">What % of the annual FTE rate does this comprise? </t>
  </si>
  <si>
    <t>Please provide details on how the additional costs are priced, including the units and corresponding prices.</t>
  </si>
  <si>
    <t>EXAMPLE: Logistics</t>
  </si>
  <si>
    <t>Costs for transporting samples/materials; support staff for logistics.</t>
  </si>
  <si>
    <t>Limited to 10 global shipments</t>
  </si>
  <si>
    <t>CHF1000 USD per shipment</t>
  </si>
  <si>
    <t>Reagents/Chemicals</t>
  </si>
  <si>
    <t>Supplies for experiments and chemical processes.</t>
  </si>
  <si>
    <t>Not included</t>
  </si>
  <si>
    <t>Consumables</t>
  </si>
  <si>
    <t>Single-use items needed for laboratory work.</t>
  </si>
  <si>
    <t>Fully included</t>
  </si>
  <si>
    <t>Purifications</t>
  </si>
  <si>
    <t>Costs associated with purification processes.</t>
  </si>
  <si>
    <t>Partially included</t>
  </si>
  <si>
    <t>up to 1g purification is included</t>
  </si>
  <si>
    <t>Aurigene will provide rate card for purification of chiral samples above 1g.</t>
  </si>
  <si>
    <t>Data Services</t>
  </si>
  <si>
    <t>Analyzing, managing, and integrating data; generating analytical reports.</t>
  </si>
  <si>
    <t>Documentation/QC/Validation</t>
  </si>
  <si>
    <t>Documenting procedures/results; quality control and validation services.</t>
  </si>
  <si>
    <t>Lab Journal Maintenance</t>
  </si>
  <si>
    <t>Keeping detailed and accurate lab journals.</t>
  </si>
  <si>
    <t>Logistics</t>
  </si>
  <si>
    <t xml:space="preserve">one RT shipment per week is included. </t>
  </si>
  <si>
    <t>Additional and dry ice shipments will be billed at actuals</t>
  </si>
  <si>
    <t>Storage/Sample Management</t>
  </si>
  <si>
    <t>Expenses for storing and organizing samples and reagents.</t>
  </si>
  <si>
    <t>considered till 6 months of project closure. Post that storage of samples will be charged to client.</t>
  </si>
  <si>
    <t>Instruments/Equipment</t>
  </si>
  <si>
    <t>Laboratory instruments; general lab infrastructure and equipment needs.</t>
  </si>
  <si>
    <t>Support Functions</t>
  </si>
  <si>
    <t>Availability of necessary support functions; secure digital data platforms.</t>
  </si>
  <si>
    <t>Consulting Services</t>
  </si>
  <si>
    <t>Expert consulting as needed.</t>
  </si>
  <si>
    <t>Communications</t>
  </si>
  <si>
    <t>Coordination for routine scientific and alliance meetings.</t>
  </si>
  <si>
    <t>IT and Literature Search</t>
  </si>
  <si>
    <t>IT services; support staff for scientific literature searches.</t>
  </si>
  <si>
    <t>Overseeing and coordinating projects.</t>
  </si>
  <si>
    <t>Please use below comments field if any clarification is required or in case any other costs are included in the FTE rates</t>
  </si>
  <si>
    <t xml:space="preserve">3. Productivity </t>
  </si>
  <si>
    <t xml:space="preserve">Please provide details on the typical roles and turnaround times involved in the following work packages </t>
  </si>
  <si>
    <t>Project description</t>
  </si>
  <si>
    <t>Roles / FTEs involved (incl. roles from synthetic, medicinal chemistry, CADD, biology ADME, DMPK, and project manager)</t>
  </si>
  <si>
    <t>Typical # days for compound delivery</t>
  </si>
  <si>
    <t>Total cost</t>
  </si>
  <si>
    <t>Please specifiy any further assumptions taken (Additional comments)</t>
  </si>
  <si>
    <t>Small molecule drug discovery project: List of targets (incl. 10 targets, each with 5-6 synthesis steps at 20-30mg target delivery), primary profiling assay and MDO1 (first line ADME) in-vitro only (no in-vivo) assay in-house</t>
  </si>
  <si>
    <t>3-4 weeks</t>
  </si>
  <si>
    <t xml:space="preserve">Not applicable </t>
  </si>
  <si>
    <t>Please provide number of reactions run per FTE per week</t>
  </si>
  <si>
    <t>Number of reactions run per FTE</t>
  </si>
  <si>
    <t>Usual type of reactions</t>
  </si>
  <si>
    <t>Example: Synthetic chemistry</t>
  </si>
  <si>
    <t>XX</t>
  </si>
  <si>
    <t>(Peptid chemistry, C-C bond formation, C-N formation, etc.)</t>
  </si>
  <si>
    <t>All hetero cyclic chemistry</t>
  </si>
  <si>
    <t>Please provide examples of projects where you have demonstrated problem-solving capabilites projects can be across Synthetic, Medicinal chemistry and CADD. Additional information can be attached to RfX.</t>
  </si>
  <si>
    <t xml:space="preserve">Activity / service </t>
  </si>
  <si>
    <t>Synthetic chemistry</t>
  </si>
  <si>
    <t>Medicinal Chemistry</t>
  </si>
  <si>
    <t>Computational Chemistry (CADD)</t>
  </si>
  <si>
    <t xml:space="preserve">Project 1: Challenge: All traditional modelling techniques failed to explain compound specific mechanism of action. Solution: Microsecond (µs) level molecular dynamics (MD) simulation identified compound specific (molecular glue; MG) domain movement for two different protein conformation in the ternary complex.
</t>
  </si>
  <si>
    <t xml:space="preserve">Project 2: Objective: Optimization of potency and property of identified hits in an integrated discovery project for an inflamation target
</t>
  </si>
  <si>
    <t xml:space="preserve">Project 2: Designed and prioritized 21 diverse compounds using AI/ML guided MPO model. This reseults in identification of 6 compounds as hits. The hit set includes 3 hits with two digit nano molar potency. The entire design synthesis and testing cycle completed in 3-months timeline. This was possible due to seamless integration of AI/ML, CADD and physics-based simulation to rapidly prioritize copound for synthesis and testing.
</t>
  </si>
  <si>
    <t>3. Capabilities</t>
  </si>
  <si>
    <t>This tab includes capability questions on people, process and technology for Chemistry Services, questions on performance KPIs and capabilities in IDD.</t>
  </si>
  <si>
    <t xml:space="preserve">Please indicate if you offer the following capabilities / services </t>
  </si>
  <si>
    <t xml:space="preserve">Please feel free to add rows and provide potential alternatives to any services you do not offer  </t>
  </si>
  <si>
    <t xml:space="preserve">Capabilities / services </t>
  </si>
  <si>
    <t>Answer through drop-down</t>
  </si>
  <si>
    <t>Please elaborate / comment (if relevant)</t>
  </si>
  <si>
    <t>1.1 Technology-related capabilities</t>
  </si>
  <si>
    <t xml:space="preserve">Additional information (if relevant) </t>
  </si>
  <si>
    <t>Service Offerings</t>
  </si>
  <si>
    <t>What is your capacity for parallel medicinal chemistry projects?</t>
  </si>
  <si>
    <t>a) 1-5 projects</t>
  </si>
  <si>
    <t>We currently have a team of over 350 medicinal chemists and have an expansion plan to add another 100 chemists. With this capacity, we can support more than 20 medicinal chemistry projects simultaneously.</t>
  </si>
  <si>
    <t>Do you have a dedicated purification group for FTE clients?</t>
  </si>
  <si>
    <t>For FTE project support, we have a dedicated analytical team comprising 45 chemists. This team supports the FTE projects without any additional cost to the collaborator.</t>
  </si>
  <si>
    <t xml:space="preserve">What is the typical purification turnaround time? </t>
  </si>
  <si>
    <t>&lt; 24h</t>
  </si>
  <si>
    <t xml:space="preserve"> The facility consists of more than 25 Prep-HPLC systems which can take up purifications from milligram scale to gram scale facilitated with PDA, ELSD and Mass detectors. &gt;85%  of the purification gets completed in less than 12 h. </t>
  </si>
  <si>
    <t xml:space="preserve">How many analytical instruments (NMR, LCMS, HPLC, SFC, etc.) do you have? </t>
  </si>
  <si>
    <t>&gt; 20</t>
  </si>
  <si>
    <t xml:space="preserve">1. We have five NMR instruments with four of them having auto-injectors and one equipped with a cryo probe.  
2. Ten dedicated single quadrupole mass detectors with UHPLCs are employed for the characterization of small molecules. Additionally, one LCMS with a single quadrupole and one with TOF detectors are utilized for peptide characterization.  
3. Twelve dedicated HPLC systems equipped with PDA, ELSD, and CAD detectors are available for purity analysis and method development.  
4. Two preparative SFC systems are capable of purifying up to 100 grams of enantiomers, along with two analytical SFC systems for characterization. One preparative and one analytical SFC system will soon be added at our Hyderabad facility.  
5. Our analytical capabilities include other instruments such as GC, KF, optical rotation, and PDI analysis. We also have partnerships with external providers for advanced analyses such as MALDI and CHN.  </t>
  </si>
  <si>
    <t xml:space="preserve">What is the size of your local building blocks and reagent inventory? </t>
  </si>
  <si>
    <t>&gt; 10'000 compounds</t>
  </si>
  <si>
    <t xml:space="preserve">We have an in-house store facilty that can accomodate more than 100,000 chemicals at room temperature and 0-5°C. This is a dynamic storage facility where all incoming chemicals are cataloged and stored. After each use, the chemicals are returned to the store with records of the remaining amounts. The store is searchable by chemical name, CAS number, and substructure. Currently, we have around 70,000 chemicals available, and this number is expanding as we take on more projects. We also routinely destroy chemicals that are old or no longer suitable for use. </t>
  </si>
  <si>
    <t xml:space="preserve">Do you use AI/ML in retrosynthesis planning or reaction prediction? (Yes/No) </t>
  </si>
  <si>
    <t>Medicinal chemistry team routinely use SYNTHIA™ retrosynthesis software, a powerful AI/ML tool to assist synthesis plans</t>
  </si>
  <si>
    <t>Do you offer the following purification techniques (Please select all that apply):</t>
  </si>
  <si>
    <t>NP (Normal Phase Chromatography)</t>
  </si>
  <si>
    <t>RP (Reverse Phase Chromatography)</t>
  </si>
  <si>
    <t>SFC (Supercritical Fluid Chromatography)</t>
  </si>
  <si>
    <t>We have been using Supercritical Fluid Chromatography (SFC) for purifying compounds for the last eight years. Currently, we have four systems in our Bangalore site, and two more will be installed in the Hyderabad site shortly. These machines, along with a wide variety of chiral stationary phases, allow us to efficiently purify both chiral and achiral compounds via SFC</t>
  </si>
  <si>
    <t>What is your typical turnaround time for design-make-test cycles in lead optimization? a) Less than 2 weeks b) 2-4 weeks c) 4-6 weeks d) More than 6 weeks</t>
  </si>
  <si>
    <t>The typical turnaround time during the lead phase is 4–6 weeks, depending on the synthetic routes and the complexity of the chemistry. Routine 4–6 step reactions with a 25 mg requirement can be completed within a turnaround time of less than 2 weeks, provided all starting materials are available in-house.</t>
  </si>
  <si>
    <t>Do you offer the following analytical chemistry activities (Please select all that apply):</t>
  </si>
  <si>
    <t>Method Development and Validation</t>
  </si>
  <si>
    <t>Impurity Profiling and Characterization</t>
  </si>
  <si>
    <t>Trace Analysis and Contaminant Identification</t>
  </si>
  <si>
    <t>Bioanalytical Services</t>
  </si>
  <si>
    <t>Structural Elucidation</t>
  </si>
  <si>
    <t>Physical Characterization</t>
  </si>
  <si>
    <t>Extractables and Leachables Studies</t>
  </si>
  <si>
    <t>Method Transfer and Validation</t>
  </si>
  <si>
    <t>Do you offer the following computational chemistry activities (Please select all that apply):</t>
  </si>
  <si>
    <t>Molecular Modeling</t>
  </si>
  <si>
    <t xml:space="preserve">We have expertise to carryout molecular modeling work to support range of modalities that includes: CADD, Bioinformatics &amp; AI/ML related activity pertaining to small molecule (non-covalent, covalent), peptide, biologics, oligonucleotide, TPD target protein degradation, PROTAC and glues. This is supplemented by in-house developed Aurigene.AI platform to support integrated discovery projects. Our team has extensive experience in working with discovery projects stating from hit to candidate nomination.  We have expertise to carryout active leaning embedded GIGA scale virtual screening- in silico structure-based hit finding based on protein structure or known ligands, de novo design, QSAR, pharmacophore modeling, docking, multi-parameter optimization (MPO), long range MD Simulations, homology modeling, FEP calculation, generative models, interpretable models, Knowledge-based design-Create novel chemical starting points based on ligands in literature using medicinal chemistry and computational expertise. Our facility is equipped with state-of-the-art “Nanome” interactive virtual reality platform. This is supplemented by acclaimed “Molsoft” “Schrodinger suite”commercial suite of software to carry out all modelling study. Additionally, our team use opensource related software (e.g. KNIME, Cytoscape and Datawarrior, Boltz-1, AlphaFold, PyRosstta etc.) to enrich modelling and simulation related work. We use public domain database to enrich our understanding on disease biology and chemical space. Our facility is equipped with high-end NVIDIA on premise H100 GPU cluster and HP Z8 workstation to cater the need of intensive simulation and AI/ML related activity. A combined capacity of 350 GB of GPU memory is available to carryout long range simulation and modeling.  We have access to Google cloud to further enhance computing power. Our is well experience in providing support to integrated discovery projects. Team works in tandem with experimental biologists towards design of novel compound identification. </t>
  </si>
  <si>
    <t>Virtual Screening</t>
  </si>
  <si>
    <t>We have expertise to carryout active leaning embedded GIGA scale virtual screening- in silico structure-based hit finding based on protein structure or known ligands, de novo design, we have access to multibillion scale virtual library from various vendors. Also, we have designed our in-house target based focused virtual library named as "Aurimine" for quick hit identification.</t>
  </si>
  <si>
    <t>QSAR Analysis</t>
  </si>
  <si>
    <t>Hit Design and Hit to Lead - A molecule that binds to the target with moderate potency and modulates its activity. Strategy for hit generation includes: Active leaning embedded GIGA scale virtual screening- in silico structure-based hit finding based on protein structure or known ligands, de novo design, multi-parameter optimization (MPO), MD Simulations, FEP calculation, generative models, interpretable models, Fragment screening- Biological screening of fragment libraries (MW&lt;300 Da, affinity in mM range),  High-throughput virtual screening- Biological screening of commercial and/or proprietary compound libraries (MW&gt; 300 Da, affinity in mM range), Knowledge-based design-Create novel chemical starting points based on ligands in literature using medicinal chemistry and computational expertise. To further assist compound designs team routinely use QSAR, pharmacophore modeling, docking for compound prioritization and selectivity analysis. These models are routinely used to understand target selectivity across target family e.g. Kinases, GPCRs or NHR family</t>
  </si>
  <si>
    <t>Lead Optimization</t>
  </si>
  <si>
    <t>Lead Optimization. Lead optimization is the complex, non-linear process of refining of a lead molecule to produce preclinical drug candidate. Lead optimization deals with optimization of compound not only potency but desired ADME/PK property for suitable route of administration. An optimized lead has suitable property to cure certain disease condition, in other words lead optimization is not just about potency of the compound but also property. Advance physics-based method such as FEP, MMGBSA, MD simulation provide more realistic approximation of compound potency. Empower with advance physics-based method enable our platform to finetune compound towards faster lead identification and prioritization.</t>
  </si>
  <si>
    <t>Pharmacophore Modeling</t>
  </si>
  <si>
    <t>Chemo- and Bioinformatics</t>
  </si>
  <si>
    <t xml:space="preserve">We have expertise to carryout molecular modeling work to support range of modalities that includes: CADD, Bioinformatics &amp; AI/ML related activity pertaining to small molecule (non-covalent, covalent), peptide, biologics, oligonucleotide, TPD target protein degradation, PROTAC and glues. This is supplemented by in-house developed Aurigene.AI platform to support integrated discovery projects. Our team has extensive experience in working with discovery projects stating from hit to candidate nomination.  We have expertise to carryout active leaning embedded GIGA scale virtual screening- in silico structure-based hit finding based on protein structure or known ligands, de novo design, we have access to multibillion scale virtual library from various vendors. Also, we have designed our in-house target based focused virtual library for quick hit identification. QSAR, pharmacophore modeling, docking, multi-parameter optimization (MPO), long range MD Simulations, homology modeling, FEP calculation, generative models, interpretable models, Knowledge-based design-Create novel chemical starting points based on ligands in literature using medicinal chemistry and computational expertise. Our facility is equipped with state-of-the-art “Nanome” interactive virtual reality platform. This is supplemented by acclaimed “Molsoft” “Schrodinger suite”commercial suite of software to carry out all modelling study. Additionally, our team use opensource related software (e.g. KNIME, Cytoscape and Datawarrior, Boltz-1, AlphaFold, PyRosstta etc.) to enrich modelling and simulation related work. We use public domain database to enrich our understanding on disease biology and chemical space. Our facility is equipped with high-end NVIDIA on premise H100 GPU cluster and HP Z8 workstation to cater the need of intensive simulation and AI/ML related activity. A combined capacity of 350 GB of GPU memory is available to carryout long range simulation and modeling.  We have access to Google cloud to further enhance computing power. Our is well experience in providing support to integrated discovery projects. The team works in tandem with experimental biologists to design and identify novel compounds
We continuously improvise our in silico prediction capability to support biology related research. This includes physic-based simulation, Generative AI, Predictive AI, BioQSPR, Ontology analysis, Pathway database, Network comparison, Data visualization, Network generation, Network analysis, Graph analysis, Online data import and analysis, Automation, Integrated analysis, Clustering, Structural bioinformatics, Systems biology, Enrichment analysis, Visualization, Data integration, Layout generation, Sequence database manipulation, PyRossetta, Opensource tools e.g. ImmuneBuilder, Immunoglobulin Language Model (IgLM), Rfdiffusion etc  to support De novo protein design, Protein-protein biding affinity, Therapeutic antibody modification, Fusion protein engineering. 
We have expertise to do Ontology analysis, Pathway analysis, Network comparison, Data visualization, Network generation, Network analysis, Graph analysis, Online data import and analysis, Automation, Integrated analysis, Clustering, Structural bioinformatics, Systems biology, Enrichment analysis, Visualization, Data integration towards gene expression and relevant compound screening to compare interaction pattern. This is to facilitate hypothesis generation to facilitate discovery efforts.
</t>
  </si>
  <si>
    <t>Molecular Dynamics Simulations</t>
  </si>
  <si>
    <t xml:space="preserve">We routinely perform long range MD Simulations, homology modeling, FEP calculation, MMGBSA calculation to support lead compound identification and optimization. To support this exercise we have access to d by acclaimed “Molsoft” “Schrodinger suite”commercial suite of software to carry out all modelling study. We extensively use Desmond module to carry out MD simulation. We have capability to carryout lond range MD simulation (e.g. 10 microsecond simulation). Additionally we use opensource tool such as OpenMM, Gromacs for supporting project related requirements. Team has access to  Boltz-1, AlphaFold, PyRosstta to enrich modelling and simulation related work. We use public domain database to enrich our understanding on disease biology and chemical space. Our facility is equipped with high-end NVIDIA on premise H100 GPU cluster and HP Z8 workstation to cater the need of intensive simulation. A combined capacity of 350 GB of GPU memory is available to carryout long range simulation and modeling.  We have access to Google cloud to further enhance computing power. Our is well experience in providing support to integrated discovery projects. Team works in tandem with experimental biologists towards design of novel compound identification. </t>
  </si>
  <si>
    <t>Quantum Chemistry Calculations</t>
  </si>
  <si>
    <t>Protein-Ligand Docking</t>
  </si>
  <si>
    <t>De Novo Drug Design</t>
  </si>
  <si>
    <t>We have expertise on de novo design tool applied in drug discovery across medicinal chemistry related to small molecules, peptides, TPD, oligonucleotides- Drug discovery deals with chemical matter or biological agent having the potential to cure disease. Broadly chemical matter can be obtained from small molecule, peptide, TPD, oligonucleotide, siRNA. Biological/large molecule may be derived from biological source such as antibody. The main objective of any discovery efforts is to deliver a candidate. Candidate is molecule that is optimized for potency, efficacy, and drug like properties and without any significant toxicity in rodent and non-rodent species. AILDD platform provides design opportunity related to peptides namely structure prediction, protein-protein Interactions (PPIs), protein hotspot prediction, generative peptide design, peptide property optimization. Similarly, in TPD it provides PROTAC and molecular glue design, ternary complex prediction, potency improvements, DNN based Protein Degradation Predictions, Generative PROTAC modelling.</t>
  </si>
  <si>
    <t>Screening Library Design</t>
  </si>
  <si>
    <t xml:space="preserve">We have estanlhsed retrosynthetic guided library design approch to fasten compound library design. In this regard we have build a ~12 billion set of virtual library named as Aurimine library to be screened againsed druggable targets.  These library can be utilied to carryout active leaning embedded GIGA scale virtual screening- in silico structure-based hit finding based on protein structure or known ligands, de novo design. we have access to multibillion scale virtual library from various vendors. This facilitate  quick hit or lead identification. Schroridnger suite of softare and Molsoft is routinely used to enumerate these library for specified project. </t>
  </si>
  <si>
    <t>AI/ML in property prediction and retrosynthesis</t>
  </si>
  <si>
    <t xml:space="preserve">Aurigene CADD &amp; AILDD “Aurigene’ AI/ML Led Discovery”-Platform with an aim to combine advanced physics-based simulation, interpretable AI/ML models and CADD with niche modality. The platform consists of generative, predictive and CADD based models. In-house AI/ML predictive models quality is on par with industry known bench mark like TDC data. We have established a set of 22 ADMET model to support discovery projects. This is facilitated by muiltiparamerter optimization(MPO) to design novel compounds. We have estanlhsed retrosynthetic guided library design approch to fasten compound library design. Medicinal chemistry team has access to SYNTHIA™ retrosynthesis software to assist reaction planning. The scope of this platform is to support end to end drug discovery and development process by implementation of efficient DMTA cycle of design, make and test workflow in drug discovery.   
</t>
  </si>
  <si>
    <t>Do you offer the following synthetic chemistry activities (Please select all that apply):</t>
  </si>
  <si>
    <t>Parallel &amp; Library Chemistry</t>
  </si>
  <si>
    <t>For focused library synthesis, we use parallel synthesis methods. Once a scaffold is ready, we identify the required counterparts to perform reactions in a parallel setup. We have multiple parallel synthesis facilities, including parallel heating blocks, vacuum concentrators for parallel evaportions, and mass-directed prep HPLC systems, to quickly generate a set of compounds using parallel synthesis methodology</t>
  </si>
  <si>
    <t>Biocatalysis in Organic Synthesis</t>
  </si>
  <si>
    <t>We have a dedicated biocatalysis facility at our parent organization. We can access this facility for carrying out biocatalysis reactions or generating engineered enzymes on an as-needed basis.</t>
  </si>
  <si>
    <t>Electrochemistry</t>
  </si>
  <si>
    <t>We can perform the common C-C, C-N and C-O bond-forming reactions and C-H replacements, in addion to reductions and oxidations, using IKA ElectraSyn Pro 2.0.</t>
  </si>
  <si>
    <t>Flow Chemistry</t>
  </si>
  <si>
    <t>The same can be arranged at our parent organisation, where flow reactions are routinely employed even at larger scale.</t>
  </si>
  <si>
    <t>Automated Chemistry</t>
  </si>
  <si>
    <t xml:space="preserve">We have experience in synthesizing focused libraries and dedicated labs equipped with parallel synthesis and purification facilities, including mass-directed purification systems. </t>
  </si>
  <si>
    <t>Peptide Chemistry incl. macrocylic peptides with (high number of) unnatural and/or (high number of) N-methylated amino acids</t>
  </si>
  <si>
    <t>For the last 20 years, we have gained extensive experience in peptide synthesis, specializing in peptides with fewer than 10 amino acids, routinely synthesizing them on a small to medium scale using both manual and automated synthesizers. We have successfully synthesized various macrocyclic peptides, employing techniques such as amide coupling, Grubbs stapling, thioether formation, disulfide bonds, and click chemistry. In most cases, peptides are purified from the solid phase before proceeding with macrocyclization. Additionally, we perform single macrocyclic peptide synthesis via head-to-tail cyclization and have successfully synthesized compounds with more than two disulfide bridges, using selective oxidizing conditions.</t>
  </si>
  <si>
    <t>Do you offer the following process chemistry activities (Please select all that apply):</t>
  </si>
  <si>
    <t>Process Development and Optimization</t>
  </si>
  <si>
    <t>Our non-GMP and CDMO handle this services</t>
  </si>
  <si>
    <t>Scale-up and Technology Transfer</t>
  </si>
  <si>
    <t>Impurity Profiling and Control</t>
  </si>
  <si>
    <t>Process Safety Assessment</t>
  </si>
  <si>
    <t>Green Chemistry Implementation</t>
  </si>
  <si>
    <t>Continuous Manufacturing</t>
  </si>
  <si>
    <t>Do you offer the following radiochemistry activities (Please select all that apply):</t>
  </si>
  <si>
    <t>Radiolabeling</t>
  </si>
  <si>
    <t>Radiopharmaceutical  Development</t>
  </si>
  <si>
    <t>Radiotracer Synthesis</t>
  </si>
  <si>
    <t>Metabolite Identification</t>
  </si>
  <si>
    <t>Radionuclide Production</t>
  </si>
  <si>
    <t>Radiochemical Analysis</t>
  </si>
  <si>
    <t>Have you implemented any of the following novel synthetic methodologies? (Please select all that apply and add additional methodologies):</t>
  </si>
  <si>
    <t>C-H activation</t>
  </si>
  <si>
    <t>We routinely perform C-H activation reactions in our laboratories as part of our medicinal chemistry programs, including C-C, C-N and C-O bond-forming reactions using a variety of Pd-, Fe- and Ir-based catalysts.</t>
  </si>
  <si>
    <t>Photoredox catalysis</t>
  </si>
  <si>
    <t xml:space="preserve">We are very experienced in photoredox chemistry, including C-H activations, C-C and C-N bond-forming reactions, decarboxylative C-C couplings etc. We generally use standard McMillan reactors (PennOC)with different wave lenght for small-scale work. </t>
  </si>
  <si>
    <t>AI/ML in retrosynthesis planning or reaction prediction</t>
  </si>
  <si>
    <t xml:space="preserve">&lt;specify other methodologies&gt; </t>
  </si>
  <si>
    <t>We have established a retrosynthesis-guided library design approach to accelerate compound library creation. The medicinal chemistry team has access to SYNTHIA™ retrosynthesis software to assist with reaction planning.</t>
  </si>
  <si>
    <t>Library Synthesis and Compound Management</t>
  </si>
  <si>
    <t xml:space="preserve">How many compounds are in your proprietary libraries? </t>
  </si>
  <si>
    <t>a) &lt; 20'000</t>
  </si>
  <si>
    <t>We have approximately 3,000 fragments available in our library, all synthesized in-house</t>
  </si>
  <si>
    <t>Specialized Chemistry Services</t>
  </si>
  <si>
    <t>Can you synthesize isotopically labeled compounds?</t>
  </si>
  <si>
    <t>We have extensive experience in synthesizing deuterium-labeled compounds. We can incorporate any number of deuterium atoms, depending on the feasibility of the reaction site and the commercial availability of deuterated building blocks</t>
  </si>
  <si>
    <t>Do you offer synthesis of reference standards, metabolites, and impurities?</t>
  </si>
  <si>
    <t xml:space="preserve">Yes, over the years, we have worked on several projects involving the synthesis of rare impurities and metabolite. We can make all kinds of reference standard with highest level of purity. </t>
  </si>
  <si>
    <t>Which of the following specialized chemistry capabilities do you have? (Please select all that apply):</t>
  </si>
  <si>
    <t>Photochemistry</t>
  </si>
  <si>
    <t xml:space="preserve">We are extensive experience in photoredox chemistry, including C-H activations, C-C and C-N bond-forming reactions, decarboxylative C-C couplings etc. We generally use standard McMillan reactors (PennOC)with different wave length for small-scale work. </t>
  </si>
  <si>
    <t>Biocatalysis</t>
  </si>
  <si>
    <t>High-pressure reactions</t>
  </si>
  <si>
    <t xml:space="preserve">We have excellent track record of performing high-pressure reactions, under a variety of transition metal-mediated conditions. We have autoclaves and Parr shakers (more than 20 equipments), and can perform gaseous reactions at elevated temperatures (up to 120 C) and at high pressures (up to 150 PSI). We have in-house collection of Pd- and Pt-based hydrogenation catalysts in &gt;500 g scale. We also frequently carry out carbonylations  related reactions at our premises. </t>
  </si>
  <si>
    <t>API Manufacturing and Scale-up</t>
  </si>
  <si>
    <t>What is your largest reactor size for API manufacturing?</t>
  </si>
  <si>
    <t xml:space="preserve">d) More than 5000L </t>
  </si>
  <si>
    <t>We have reactors with capacity upto 10 kilo Liter to handle intermediates and APIs.</t>
  </si>
  <si>
    <t xml:space="preserve">Do you have experience in process chemistry and route scouting for scalable syntheses? </t>
  </si>
  <si>
    <t>We have a dedicated process R&amp;D team to handle this request.</t>
  </si>
  <si>
    <t>Can you handle highly potent compounds (OEB 4-5)?</t>
  </si>
  <si>
    <t xml:space="preserve">We can handle upto OEB 4 category compounds in research scale. We have a dedicated high potent lab at our Hyderbabd facility.  </t>
  </si>
  <si>
    <t>1.2 Process-related capabilities</t>
  </si>
  <si>
    <t>Can you design and synthesize focused libraries based on client specifications?</t>
  </si>
  <si>
    <t xml:space="preserve">we can design and synthesize a focused library. With the help of CADD, we can create a set of focused libraries based on synthetic  feasibility analysis and common scaffold availability. We also share a list of common reagents, such as amines, boronic acids, or halides, available in-house, allowing clients to select the appropriate building blocks to create the focused library. </t>
  </si>
  <si>
    <t>Do you have automated compound storage and retrieval systems?</t>
  </si>
  <si>
    <t>we have a compound management system capable of handling compounds in a semi-automatic manner. Here, the final compounds are registered in the system by our chemist and are deposited in a central cold room, where the compound manager uses a platform called LOCUS to retrieve, dispense, and manage the logistic of compound flow.</t>
  </si>
  <si>
    <t>Do you have necessary licenses to handle controlled substances?</t>
  </si>
  <si>
    <t>Quality Control, Regulatory Compliance, Safety and Confidentiality</t>
  </si>
  <si>
    <t>Is your company a member of the Pharmaceutical Supply Chain Initiative (PSCI)?</t>
  </si>
  <si>
    <t>Our parent company, Dr. Reddy's Laboratories, holds membership in the Pharmaceutical Supply Chain Initiative (PSCI)</t>
  </si>
  <si>
    <t>Can you confirm your company's compliance status with PSCI principles and guidelines?</t>
  </si>
  <si>
    <t>Are your facilities GMP certified?</t>
  </si>
  <si>
    <t>All DRL manufacturing facilities are GMP certified, Aurigene is R&amp; D development centre only</t>
  </si>
  <si>
    <t>If yes, for which stages of drug development? (Please select all that apply):</t>
  </si>
  <si>
    <t>Preclinical</t>
  </si>
  <si>
    <t>For CDMO projects (DS &amp; DP) will have capability of handling of all Phases of molecules in our manufacuring facilities.</t>
  </si>
  <si>
    <t>Phase I</t>
  </si>
  <si>
    <t xml:space="preserve">We undertake phase I drug development and supply </t>
  </si>
  <si>
    <t>Phase II</t>
  </si>
  <si>
    <t xml:space="preserve">We undertake phase II drug development and supply </t>
  </si>
  <si>
    <t>Phase III</t>
  </si>
  <si>
    <t xml:space="preserve">We undertake phase III drug development and supply </t>
  </si>
  <si>
    <t xml:space="preserve">Commercial </t>
  </si>
  <si>
    <t xml:space="preserve">We have collaborated with big pharma’s for the commercial supply as well </t>
  </si>
  <si>
    <t>Do you have experience in preparing CMC documentation for regulatory submissions?</t>
  </si>
  <si>
    <t>We have a regulatory team that supports preparation of CMC documentation for submission</t>
  </si>
  <si>
    <t>Do you use specific Quality management/assurance systems? If so, please list them.</t>
  </si>
  <si>
    <t>Change control, Incidents, CAPA management, Document control management system, Learning Management System and Qualifications</t>
  </si>
  <si>
    <t>Do you follow/use security protocols and data integrity tools?</t>
  </si>
  <si>
    <t>For Data security , Information security management sysstem (ISMS) system in place</t>
  </si>
  <si>
    <t>Have you had any EHS incidents in the last 3 years?</t>
  </si>
  <si>
    <t>Do you provide exclusivity to a client on a target basis (i.e., will not work with another client if on the same target)?</t>
  </si>
  <si>
    <t>We offer our customers exclusive rights to specific targets and molecules. We do not work on the same product for multiple customers and maintain the highest regard for client data confidentiality</t>
  </si>
  <si>
    <t>Do your project leaders and/or FTEs work for mutiple clients at the same time?</t>
  </si>
  <si>
    <t>We will assign a dedicated team and project leads to each specific project and program (FTE). No single team will be assigned to multiple projects simultaneously</t>
  </si>
  <si>
    <t>What is the highest biosafety level you can work with?</t>
  </si>
  <si>
    <t>BSL-1</t>
  </si>
  <si>
    <t xml:space="preserve">How often do you train/educate your employees on IP protection? </t>
  </si>
  <si>
    <t>Annually</t>
  </si>
  <si>
    <t xml:space="preserve">We train our employees on IP both during on-boarding followed up with once in a year refresher training. </t>
  </si>
  <si>
    <t>How often do you conduct Preventive Maintenance (PM) on your instruments?</t>
  </si>
  <si>
    <t>Instrument wise preventive maintenance activities will be scheduled (like  Monthy, Quarterly, Half yearly Yearly etc..)</t>
  </si>
  <si>
    <t>Project Management and Collaboration</t>
  </si>
  <si>
    <t>Which project management tools do you use? (Please select all that apply):</t>
  </si>
  <si>
    <t>Microsoft Project</t>
  </si>
  <si>
    <t>Jira</t>
  </si>
  <si>
    <t>Trello</t>
  </si>
  <si>
    <t>Proprietary system</t>
  </si>
  <si>
    <t xml:space="preserve">Galaxy (in house developed tool by our IT team), for projects tasks updates, resource allocation/ utilization and project progress dashboards </t>
  </si>
  <si>
    <t xml:space="preserve">Other (please specify) </t>
  </si>
  <si>
    <t>Microsoft excel, SAP (for budget allocation and controls)</t>
  </si>
  <si>
    <t xml:space="preserve">Can you integrate with client's systems for seamless tech transfer? (Yes/No) </t>
  </si>
  <si>
    <t>Do you have a dedicated Project Manager for Chemistry sciences projects, that is fully assigned to each one of your projects?</t>
  </si>
  <si>
    <t>Yes, we have dedicated project managers for chemsitry sciences projects.</t>
  </si>
  <si>
    <t>Data management and Analysis</t>
  </si>
  <si>
    <t>Does your integrated data analysis platform support multi-omics data integration?</t>
  </si>
  <si>
    <t xml:space="preserve">Are you able to provide reports compatible with commonly used pharma industry tools (e.g., Spotfire, Pipeline Pilot)?  </t>
  </si>
  <si>
    <t>Presently we are using Tableau and Power BI</t>
  </si>
  <si>
    <t>Do you use the following chemical database: SciFinder?</t>
  </si>
  <si>
    <t>All the lab leads and scientists have the access to SciFinder.</t>
  </si>
  <si>
    <t>Do you use the following chemical database: Reaxys</t>
  </si>
  <si>
    <t>Institutional licence, all the bench chemists, scientists and leads have the access.</t>
  </si>
  <si>
    <t>Logistics and Sample Management</t>
  </si>
  <si>
    <t>What was your average shipping time to the US last year for Early drug discovery projects (in days)?</t>
  </si>
  <si>
    <t>3-5 days</t>
  </si>
  <si>
    <t>Average shipping time is 5 Days from Aurigene to delivery to the USA; this is including custom clearance at Origin Customs (Indian) and transportation from Aurigene to Origin Customs Port.</t>
  </si>
  <si>
    <t>What was your average shipping time to Europe last year for Early drug discovery projects (in days)?</t>
  </si>
  <si>
    <t>Average shipping time to Europe is 4 Days from Aurigene to delivery, this is including custom clearance at Origin Customs (Indian) and transportation from Aurigene to Origin Customs Port</t>
  </si>
  <si>
    <t xml:space="preserve">What percentage of orders have taken longer than promised in the last year? </t>
  </si>
  <si>
    <t>2-5%</t>
  </si>
  <si>
    <t xml:space="preserve">Around 3% of shipments have taken longer than average shipping time due to Customs Holidays. We carefully plan our shipments in advance to prevent delays. </t>
  </si>
  <si>
    <t xml:space="preserve">Do you have a dedicated logistics team? If not, who takes care of it? </t>
  </si>
  <si>
    <t>Capacity and Scalability</t>
  </si>
  <si>
    <t>Do you offer 2-shift work?</t>
  </si>
  <si>
    <t>We operate a two-shift system in our medicinal chemistry department to ensure reaction continuity and maximize the utilization of our existing lab facilities.</t>
  </si>
  <si>
    <t>Do you offer 3-shift work?</t>
  </si>
  <si>
    <t>We operate on a 3-shift schedule at our manufacturing sites to ensure continuous production activities</t>
  </si>
  <si>
    <t>How many parallel chemistry services programs can you currently support?</t>
  </si>
  <si>
    <t>&gt;30</t>
  </si>
  <si>
    <t>We offer end-to-end services to customers worldwide and currently support more than 140 clients</t>
  </si>
  <si>
    <t>Do you offer 24/7 or weekend operations?</t>
  </si>
  <si>
    <t>Our development site operates on a 5-day work week, while our manufacturing facilities run 24/7</t>
  </si>
  <si>
    <t xml:space="preserve">What is your current available capacity for new chemistry projects?
</t>
  </si>
  <si>
    <t>15-20%</t>
  </si>
  <si>
    <t>With a three-month notice period, we can add over 50 chemists to our medicinal chemistry facility</t>
  </si>
  <si>
    <t>What is the typical purification turnaround time</t>
  </si>
  <si>
    <t>&lt;24 hours</t>
  </si>
  <si>
    <t xml:space="preserve"> Most compounds can be purified within 24 h. The facility consists of more than 25 Prep-HPLC systems which can take up purifications from mg scale to gram scale facilitated with PDA, ELSD and Mass detectors. &gt;85%  of the purification gets completed in less than 12 h. </t>
  </si>
  <si>
    <t xml:space="preserve">How many mass spectrometers do you have per unit of FTE? </t>
  </si>
  <si>
    <t>&lt;0.5</t>
  </si>
  <si>
    <t>We have 13 dedicated LCMS systems available to support medicinal chemistry work. We maintain a ratio of 1:25 (LCMS systems to chemists). With any addition of chemists, we purchase additional LCMS machines to maintain the 1:25 ratio</t>
  </si>
  <si>
    <t>How many purification instruments do you have?</t>
  </si>
  <si>
    <t>21-50</t>
  </si>
  <si>
    <t>We maintain a ratio of 1:15 chemists to purification systems at any given time. If the number of chemists increases, we purchase additional purification systems to meet the demand.</t>
  </si>
  <si>
    <t>What is your size of chemistry group?</t>
  </si>
  <si>
    <t>&gt;80</t>
  </si>
  <si>
    <t>We have more than 350 chemists available in-house for medicinal chemistry work. We are planning to add another 100 chemists in the next financial year.</t>
  </si>
  <si>
    <t>1.3 People-related capabilities</t>
  </si>
  <si>
    <t>Expertise and scientific capabilities</t>
  </si>
  <si>
    <t>Do you have employees with specific expertise in Computational Chemistry? If yes please specify the expertise in the additional information.</t>
  </si>
  <si>
    <t>We have expericne team of computational chemist, Bioinformatician and AI/ML scientics to carryout molecular modeling work to support range of modalities in CADD, Bioinformatics &amp; AI/ML related activity pertaining to small molecule (non-covalent, covalent), peptide, biologics, oligonucleotide, TPD target protein degradation, PROTAC and glues. The team consists of Ph.D with several years of industrial and academic experience. Team expertise includes traditional CADD (virtual screening, docking, QSAR, pharmacophore modeling), physics-based simulation (MD simulation, MMGBSA, FEP etc.), AI/ML related (generative designs, predictive modeling). Our team is well versed with various programming languages to design and implement new methods to support discovery projects. Our team have extensive expericne on commercial and opensource tool to expediate discovery project. Our team has worked with several discovery projects this further enable us to effieictly support IDD project.</t>
  </si>
  <si>
    <t>If you offer Computational Chemistry services, what is the average tenure of experience in these teams (in years)?</t>
  </si>
  <si>
    <t>10- 15 years</t>
  </si>
  <si>
    <t>We offer computational chemsitry FTE and FFS services across CADD, Bioinformatics and AI/ML. Team expericence ranges from 2 years to 20 years in supporting various projects. We offer three model of collaboration CADD+Medchem, CADD alone services and integrated discovery project service.</t>
  </si>
  <si>
    <t>Do you have employees with specific expertise in Synthetic Chemistry? If yes please specify the expertise in the additional information.</t>
  </si>
  <si>
    <t>Most of our chemists have specialized in heterocyclic chemistry. We have recruited many specialists and trained in-house chemists to take on additional fields of chemistry. We have chemists who are experts in phosphoramidite chemistry, oligonucleotide synthesis, peptide chemistry, sugar and lipid synthesis, and linker synthesis. We also have specialists for handling polymer chemistry.</t>
  </si>
  <si>
    <t>If you offer Process Chemistry, what is the average tenure of experience in these teams (in years)?</t>
  </si>
  <si>
    <t>Do you have employees with specific expertise in Solid state Chemistry? If yes please specify the expertise in the additional information.</t>
  </si>
  <si>
    <t xml:space="preserve">If you offer Solid state Chemistry services, what is the average tenure of experience in these teams (in years)? </t>
  </si>
  <si>
    <t>6-9 years</t>
  </si>
  <si>
    <t>Do you have employees with specific expertise in Radiochemistry? If yes please specify the expertise in the additional information.</t>
  </si>
  <si>
    <t>If you offer Radiochemistry services, what is the average tenure of experience in these teams (in years)?</t>
  </si>
  <si>
    <t>Do you have employees with specific expertise in Formulation Development? If yes please specify the expertise in the additional information.</t>
  </si>
  <si>
    <t>We have dedicated preformation, formulation and manufacturing team to cater our clients</t>
  </si>
  <si>
    <t>If you offer Formulation Development services, what is the average tenure of experience in these teams (in years)?</t>
  </si>
  <si>
    <t>How many entry-level research chemists do you currently employ in full-time positions?</t>
  </si>
  <si>
    <t>101-150</t>
  </si>
  <si>
    <t>Employees in Medicinal Chemistry, Peptide and Oligonucleotides with upto 3 years of experience</t>
  </si>
  <si>
    <t>How many senior research chemists do you currently employ on a full-time basis?</t>
  </si>
  <si>
    <t>Employees in Medicinal Chemistry, Peptide and Oligonucleotides with MSc/PhD and more than years of experience</t>
  </si>
  <si>
    <t>What percentage of your chemistry leadership team is female?</t>
  </si>
  <si>
    <t>&lt;10%</t>
  </si>
  <si>
    <t>What is your estimated timeframe for increasing your workforce by 10 full-time employees (FTEs) in Chemistry Services?</t>
  </si>
  <si>
    <t>4-8 weeks</t>
  </si>
  <si>
    <t>1.4 Performance KPIs</t>
  </si>
  <si>
    <t xml:space="preserve">What are KPIs you track for your other pharmaceutical clients?
Please ensure you mention 5-6 KPIs for speed, efficiency and productivity for all workpackages for which you are quoting.
Please adhere to following format: Workpackage name, KPI area, KPI description, KPI definition, Frequency, Threshold. </t>
  </si>
  <si>
    <t>1. Compounds per FTE per month/Medchem/ Average number of compounds delivered by chemist in a month/Productivity per chemsit/ Monthly
2.  Reactions per FTE per month/Medchem/ Average number of productive reactions by chemist in a month/Productivity per chemsit/ Monthly
3. OTIF</t>
  </si>
  <si>
    <t>1. Aurigene's target is average 4 compounds per FTE per month.
2. Aurigene's target is average 40 reactions per FTE per month.
3. On Time In Full (OTIF) is tracked specifically for FFS projects.</t>
  </si>
  <si>
    <t>1.5 Integrated Drug Discovery capabilities</t>
  </si>
  <si>
    <t>Do you offer end to end integrated drug discovery services?</t>
  </si>
  <si>
    <t xml:space="preserve"> Yes, we offer integrated discovery research, where Aurigene is involved from target validation to hit identification and IND submission.</t>
  </si>
  <si>
    <t>If yes, please clarify your IDD offering (e.g., target ID - Hit ID - Hit to Lead - Lead optimisation or smaller packages) and please give a list of capabilities supporting IDD.</t>
  </si>
  <si>
    <t>Aurigene provides IDD offering from Target identification, CADD support, Hit Id, Hit to Lead , lead optimisation and IND package. We also handle smaller project packages, such as offering only chemistry or selected ADME assays. We have projects where only chemistry and CADD services are provided. We can also customize triage combinations, such as chemistry, CADD, and ADME, or chemistry, in vitro biology, and ADME. Our approach is highly flexible, allowing us to offer various combinations and permutations of services across different verticals in chemistry and biology, tailored to meet specific project requirements.</t>
  </si>
  <si>
    <t xml:space="preserve">If yes, do you offer IDD services across multiple sites and/or a single site? Please specify. </t>
  </si>
  <si>
    <t>Please provide your therapeutic areas of expertise.</t>
  </si>
  <si>
    <t>We are currently working in the fields of oncology, inflammation, metabolic disorders, pain and antimicrobials. We offer specific services such as CADD, protein science, medicinal chemistry, biological assay setup (biochemical and cell based), compound screen in the in-vitro phramacological assays, pharmacological model development, and toxicology for any therapeutic class.</t>
  </si>
  <si>
    <t>What is you prefered channel for communication status updates on IDD to Sponsors (e.g., Weekly reports, weekly virutal check-ins)?</t>
  </si>
  <si>
    <t>The preferred modes of communication are weekly reports in PPT format, meetings over Teams or Google Meet, email, and SharePoint. We also communicate with clients via client-provided access to ELN, Torx, or CDD Vault.</t>
  </si>
  <si>
    <t>Please describe how your organization tracks project status.</t>
  </si>
  <si>
    <t>At the beginning of any IDD project, we set a target product profile for each stage of the project. We also define a screening tree for progressing compounds. In our weekly meetings, we discuss emerging SAR and the next set of compound syntheses. The progress of the projects is assessed continuously by the internal team, and we have structured governance meetings with our collaborators to discuss progress during bi-monthly steering committee meetings.</t>
  </si>
  <si>
    <t>Please describe your process for conducting project reviews internally and with Sponsors.</t>
  </si>
  <si>
    <t>We have a weekly internal meeting prior to the external weekly meeting. In the internal meeting, all team members from biology and chemistry discuss their weekly work, and we brainstorm around the data emerging from various biological assays. A similar discussion happens with our external collaborator on a weekly basis to advance the project according to the established target product profile.</t>
  </si>
  <si>
    <t>Please describe the process for how you share data back and forth with Sponsors.</t>
  </si>
  <si>
    <t>Through SharePoint and client provided platform</t>
  </si>
  <si>
    <t>Do you create issue logs at the study level? If yes, please describe in the additional information who owns them.</t>
  </si>
  <si>
    <t>Do you have an issue escalation plan available for clients? If yes, please attach the escalation plan.</t>
  </si>
  <si>
    <t>Most issues are resolved at the scientist level through immediate communication with the client counterpart. If escalation is required, we communicate the matrix at the beginning of any project. It generally escalates from team leads to group leads, then to the head of discovery and the CEO. We will share the email addresses and telephone numbers for each level of escalation at the appropriate time.</t>
  </si>
  <si>
    <t>Please describe who, how and when issues are communicated to the sponsor.</t>
  </si>
  <si>
    <t>Issues related to compound synthesis, characterization, or shipments are immediately communicated to clients via our dedicated project manager. Issues arising from biological assays are discussed in weekly meetings or at appropriate intervals as established at the beginning of the collaboration. All types of issues are generally communicated via email without disclosing any confidential information by the project manager. If something related to the structures needs to be discussed, we upload it to SharePoint and then send an email referring to the SharePoint documents.</t>
  </si>
  <si>
    <t>Please describe the project governance model(s) you offer.</t>
  </si>
  <si>
    <t>For every IDD project, we have a Discovery Work Group (DWG) created with representatives from each department. There will be a DWG lead who will be supported by bench-level personnel and will report the work directly to the DWG leads. The DWG leads will hold regular meetings with the heads of each department to update them on project progress and any issues related to scientific deliverables. We also establish different levels of meetings with clients to discuss project progress, which include weekly scientific meetings, bi-monthly project group discussions, and bi-monthly or quarterly steering committee meetings.</t>
  </si>
  <si>
    <t>4. Discount, sign-on bonus and inflation</t>
  </si>
  <si>
    <t>Instruction</t>
  </si>
  <si>
    <t>This tab contains two sections that need to be completed: 1. Discount rates and 2. Inflation rates
Please complete each section where you intend to submit an offer.</t>
  </si>
  <si>
    <t xml:space="preserve">1. Discount rates </t>
  </si>
  <si>
    <t xml:space="preserve">Please provide details of discounts offered </t>
  </si>
  <si>
    <t xml:space="preserve">Discount offered (%) </t>
  </si>
  <si>
    <t>Notes / comments</t>
  </si>
  <si>
    <t>Aurigene considered aggressive rate for Roche.</t>
  </si>
  <si>
    <t xml:space="preserve">Total spend </t>
  </si>
  <si>
    <t>Discount Offered (%) for a Master Service Agreement (MSA) with a Duration of 5 Years</t>
  </si>
  <si>
    <t>&lt; CHF250,000</t>
  </si>
  <si>
    <t>CHF250,000 - CHF500,000</t>
  </si>
  <si>
    <t>CHF500,000 - CHF1,000.000</t>
  </si>
  <si>
    <t>CHF1,000,000 - CHF2,500,000</t>
  </si>
  <si>
    <t>CHF2,500,000 - CHF5,000,000</t>
  </si>
  <si>
    <t>CHF &gt;5,000,000</t>
  </si>
  <si>
    <t>Please provide details of any additional discounts offered in case of end to end integrated drug discovery programs (i.e., across protein sciences, reseach biology, in-vitro ADME etc.)</t>
  </si>
  <si>
    <t>No additional discount</t>
  </si>
  <si>
    <t>Please provide details of any additional discounts offered in case of cross-category services (i.e., across preclinical research services, biomarkers, bioanalytics etc.). Please see "Definitions and glossary of activities" tab for definition of categories.</t>
  </si>
  <si>
    <t>If yes to providing integrated drug discovery programs and/or cross-category service discounts, please state the discount offered by total spend in table below</t>
  </si>
  <si>
    <t>Please specify the categories the discount would be applicable for</t>
  </si>
  <si>
    <t>CHF5,000,000 - CHF7,500,000</t>
  </si>
  <si>
    <t>CHF7,500,000 - CHF10,000,000</t>
  </si>
  <si>
    <t>CHF10,000,000 - CHF12,500,000</t>
  </si>
  <si>
    <t>CHF12,500,000 - CHF15,000,000</t>
  </si>
  <si>
    <t>CHF15,000,000 - CHF17,500,000</t>
  </si>
  <si>
    <t>CHF17,000,000 - CHF20,000,000</t>
  </si>
  <si>
    <t>&gt; CHF20,000,000</t>
  </si>
  <si>
    <t>Please provide the exhange rate used to convert to CHF.</t>
  </si>
  <si>
    <t>1 Swiss Franc = 1.14 US Dollar</t>
  </si>
  <si>
    <t>2. Inflation rates</t>
  </si>
  <si>
    <t>1. How often do you revise rates / prices?</t>
  </si>
  <si>
    <t>Every year</t>
  </si>
  <si>
    <r>
      <rPr>
        <b/>
        <sz val="10"/>
        <color theme="1"/>
        <rFont val="Arial"/>
        <family val="2"/>
      </rPr>
      <t xml:space="preserve">2. Please provide any relevant details </t>
    </r>
    <r>
      <rPr>
        <i/>
        <sz val="10"/>
        <color theme="1"/>
        <rFont val="Arial"/>
        <family val="2"/>
      </rPr>
      <t>(optional):</t>
    </r>
  </si>
  <si>
    <r>
      <rPr>
        <b/>
        <sz val="10"/>
        <color theme="1"/>
        <rFont val="Arial"/>
        <family val="2"/>
      </rPr>
      <t xml:space="preserve">3. Are rates fixed that are provided in the rate cards </t>
    </r>
    <r>
      <rPr>
        <sz val="10"/>
        <color theme="1"/>
        <rFont val="Arial"/>
        <family val="2"/>
      </rPr>
      <t>(i.e. there will be no additional adjustment for inflation)?:</t>
    </r>
  </si>
  <si>
    <r>
      <rPr>
        <b/>
        <sz val="10"/>
        <color theme="1"/>
        <rFont val="Arial"/>
        <family val="2"/>
      </rPr>
      <t>4. If "No," please describe your inflation mechanism and how the inflation rate is determined</t>
    </r>
    <r>
      <rPr>
        <sz val="10"/>
        <color theme="1"/>
        <rFont val="Arial"/>
        <family val="2"/>
      </rPr>
      <t xml:space="preserve">: </t>
    </r>
  </si>
  <si>
    <t>5. Please mention the inflation index used?</t>
  </si>
  <si>
    <t>6. If you use different inflation index in different countries
 please mention them separately for each country including country name</t>
  </si>
  <si>
    <t>Not applicable</t>
  </si>
  <si>
    <t>7. Are these index reports readily available. If not please mention sources</t>
  </si>
  <si>
    <t>8. Please let us know why these are the most cost optimized indexes for Roche?</t>
  </si>
  <si>
    <t>5. Definitions</t>
  </si>
  <si>
    <t>Please enter FTE rates in this RFX according to the role definitions outlined in this tab</t>
  </si>
  <si>
    <t xml:space="preserve">Role definitions are structured by work package/ type of service. </t>
  </si>
  <si>
    <t>Protein sciences role definitions</t>
  </si>
  <si>
    <t>Chemistry services role definitions</t>
  </si>
  <si>
    <t xml:space="preserve">Work package </t>
  </si>
  <si>
    <t xml:space="preserve">Service / activity </t>
  </si>
  <si>
    <t>Description / definition of activities</t>
  </si>
  <si>
    <t>Description of expertise and qualifications</t>
  </si>
  <si>
    <t>Chemistry services</t>
  </si>
  <si>
    <t>Synthesize compounds following agreed designs, Provide analytical characterization of the compounds
Able to conduct simple trouble shooting</t>
  </si>
  <si>
    <t>Brings in new technologies for projects
Deep methodological knowledge including best practices
Proven ability of independent protocol optimisation
Advanced scientific understanding in the area of focus
MSc in Chemistry with 0-3 years of experience</t>
  </si>
  <si>
    <t xml:space="preserve">Plan synthesis/feasibiltiy studies/route scouting of requested molecules, drives project scientifically, oversee work activities, track project progression, trouble shoot and prepare reports
Leads the scientific advancement of projects
Able to use retrosynthesis tools (AI &amp; databases) and able to access and use multiple supporting synthesis platforms. </t>
  </si>
  <si>
    <t>Proven track record of scientific knowledge in own technical or scientific field, demonstrated for example by key contribution to scientific documentation. Conscious and purposeful application of this scientific knowledge to increase productivity 
Drives development of new scientific/technological advances and actively ensures their integration
Demonstration of hands-on work i.e active data generation and/or staying close to science by being a sparring partner, an advocate, a challenger and an enabler with the overall goal to cultivate a vibrant scientific culture.
At least PhD or equivalent MSc-level with at least 6 years of experience</t>
  </si>
  <si>
    <t>Plan synthesis/feasibility studies/ route scouting of requested molecules, synthesize and design compounds, Provide analytical characterization of the compounds
Enthusiastic user of digital tools for data analysis. Oversees work activities, track project progression, trouble shoot and prepare reports
Contributes to solving key scientific challenges within their own project, provides feedback to scientific communities
Able to handle and act upon data generated in the project, feeding into the design of new compounds</t>
  </si>
  <si>
    <t>Identifies gaps and scientific solutions in a project and contributes to collaborative efforts
Participates in the advancement of area of focus by incorporating state of the art technologies and/or latest scientific discoveries/approaches/methodologies to increase productivity and competitive status
Evolving a track record of scientific knowledge in own technical or scientific field, demonstrated by scientific documentation, recognized as emerging talent for scientifc and technical excellence
Demonstrates creative mindset that improves drug development in area of focus and is a sparring partner, an advocate, a challenger and an enabler with the overall goal to cultivate a vibrant scientific culture
At least PhD or equivalent MSc-level with at least 6 years of experience</t>
  </si>
  <si>
    <t>Leads collaborative efforts, as recognized expert, within the scientific community in own field (TA specific) and with key external collaborators within the strategy
Drives project scientifically, oversee work activities, track project progression, trouble shoot and prepare reports
Drives and is consulted on the development and evolution of the scientific strategy of a disease area or function, incorporating state of the art technologies and/or latest scientific advancements/discoveries/approaches to increase productivity and competitive advantage
Able to drive a project to CC selection and drive a project scientifically 
Complete overlook of all relevant assays for the project in order to develop the project to CCS
Enthusiastic user of all digital products for drug discovery</t>
  </si>
  <si>
    <t>Identifies gaps and scientific solutions in program and/or scientific strategy
Leads collaborative efforts, as recognized expert, within the scientific community in own field (TA specific) and with key external collaborators within the strategy
Stimulates the scientific community to experiment and learn from failure, thus identifying enhancements or breakthrough opportunities in our scientific/technical strategies
Possess the scientific acumen and the excellence to identify valuable new capabilities for innovation and growth 
Role models and cultivates a creative mindset and innovative thinking that drives thoughtful enhancements or changes established ways of doing things in their field in a cross-functional way
At least PhD with 3-5 years of experience or equivalent MSc-level with at least 10 years of experience</t>
  </si>
  <si>
    <t>Use AI, QSAR, augmented drug design, combinatorial chemistry, access to different public databases and available new software tools to support designing of ligands/small molecules in a line of current needs of the projects; Fully support Ligand Based Drug Discovery(LBDD) and Structure Based Drug Discovery (SBDD)  projects; Able to do virtual drug sceening and ultra-large virtual screening, Analyze structures and other information available regarding the target (enzyme/receptor/protein) and ligands</t>
  </si>
  <si>
    <t>Plan use of AI, QSAR, augmented drug design, combinatorial chemistry, access to different public databases and available new software tools to drive designing of ligands/small molecules in a line of current needs of the projects; Drive and manage Ligand Based Drug Discovery (LBDD) and Structure Based Drug Discovery (SBDD)  projects; Able to do virtual drug sceening and ultra-large virtual screening; Develop digital tools for drug development, Drive project scientifically, synthesize results of experimental outcomes, track project progression and prepare reports</t>
  </si>
  <si>
    <t>Participate in Client internal project meetings regularly (weekly or bi-weekly) 
Responsible for logistics: compound registration, shipping, invoicing
Helps coordinate study design for bigger projects/programs</t>
  </si>
  <si>
    <t>Definition of categories</t>
  </si>
  <si>
    <t>Category</t>
  </si>
  <si>
    <t>Definition</t>
  </si>
  <si>
    <t>PRECLINICAL RESEARCH SERVICES</t>
  </si>
  <si>
    <t>Includes any in vitro and in vivo preclinical laboratory services such as chemistry, early drug discovery, toxicology &amp; safety assessment, live animal supply and related services.</t>
  </si>
  <si>
    <t>BIOMARKERS</t>
  </si>
  <si>
    <t>Includes any biomarker services for non-human and human samples/data</t>
  </si>
  <si>
    <t>BIOANALYTICS</t>
  </si>
  <si>
    <t>Includes any bioanalytical services for non-human and human samples/data</t>
  </si>
  <si>
    <t>Row 3</t>
  </si>
  <si>
    <t>Row 5</t>
  </si>
  <si>
    <t>Row 6</t>
  </si>
  <si>
    <t>Row 7</t>
  </si>
  <si>
    <t>Row 8</t>
  </si>
  <si>
    <t>Row 10</t>
  </si>
  <si>
    <t>Row 11</t>
  </si>
  <si>
    <t>Row 12</t>
  </si>
  <si>
    <t>Row 13</t>
  </si>
  <si>
    <t>Row 14</t>
  </si>
  <si>
    <t>Row 16</t>
  </si>
  <si>
    <t>Row 17</t>
  </si>
  <si>
    <t>Row 18</t>
  </si>
  <si>
    <t>Row 19</t>
  </si>
  <si>
    <t>Row 20</t>
  </si>
  <si>
    <t>Row 22</t>
  </si>
  <si>
    <t>Row 23</t>
  </si>
  <si>
    <t>Row 24</t>
  </si>
  <si>
    <t>Row 25</t>
  </si>
  <si>
    <t>Row 26</t>
  </si>
  <si>
    <t>Row 28</t>
  </si>
  <si>
    <t>Row 29</t>
  </si>
  <si>
    <t>Row 30</t>
  </si>
  <si>
    <t>Row 31</t>
  </si>
  <si>
    <t>Row 32</t>
  </si>
  <si>
    <t>Row 33</t>
  </si>
  <si>
    <t>Row 34</t>
  </si>
  <si>
    <t>Row 35</t>
  </si>
  <si>
    <t>Row 37</t>
  </si>
  <si>
    <t>Row 38</t>
  </si>
  <si>
    <t>Row 39</t>
  </si>
  <si>
    <t>Row 40</t>
  </si>
  <si>
    <t>Row 41</t>
  </si>
  <si>
    <t>Row 42</t>
  </si>
  <si>
    <t>Row 43</t>
  </si>
  <si>
    <t>Row 44</t>
  </si>
  <si>
    <t>Row 45</t>
  </si>
  <si>
    <t>Row 46</t>
  </si>
  <si>
    <t>Row 47</t>
  </si>
  <si>
    <t>Row 49</t>
  </si>
  <si>
    <t>Row 50</t>
  </si>
  <si>
    <t>Row 51</t>
  </si>
  <si>
    <t>Row 52</t>
  </si>
  <si>
    <t>Row 53</t>
  </si>
  <si>
    <t>Row 54</t>
  </si>
  <si>
    <t>Row 55</t>
  </si>
  <si>
    <t>Row 56</t>
  </si>
  <si>
    <t>Row 57</t>
  </si>
  <si>
    <t>Row 58</t>
  </si>
  <si>
    <t>Row 59</t>
  </si>
  <si>
    <t>Row 60</t>
  </si>
  <si>
    <t>Row 61</t>
  </si>
  <si>
    <t>Row 62</t>
  </si>
  <si>
    <t>Row 64</t>
  </si>
  <si>
    <t>Row 65</t>
  </si>
  <si>
    <t>Row 66</t>
  </si>
  <si>
    <t>Row 67</t>
  </si>
  <si>
    <t>Row 68</t>
  </si>
  <si>
    <t>Row 69</t>
  </si>
  <si>
    <t>Row 70</t>
  </si>
  <si>
    <t>Row 71</t>
  </si>
  <si>
    <t>Row 72</t>
  </si>
  <si>
    <t>Row 73</t>
  </si>
  <si>
    <t>Row 74</t>
  </si>
  <si>
    <t>Row 75</t>
  </si>
  <si>
    <t>Row 76</t>
  </si>
  <si>
    <t>Row 78</t>
  </si>
  <si>
    <t>Row 79</t>
  </si>
  <si>
    <t>Row 80</t>
  </si>
  <si>
    <t>Row 81</t>
  </si>
  <si>
    <t>Row 82</t>
  </si>
  <si>
    <t>Row 83</t>
  </si>
  <si>
    <t>Row 85</t>
  </si>
  <si>
    <t>Row 86</t>
  </si>
  <si>
    <t>Row 87</t>
  </si>
  <si>
    <t>Row 88</t>
  </si>
  <si>
    <t>Row 89</t>
  </si>
  <si>
    <t>Row 90</t>
  </si>
  <si>
    <t>Row 91</t>
  </si>
  <si>
    <t>Row 92</t>
  </si>
  <si>
    <t>Row 93</t>
  </si>
  <si>
    <t>Row 94</t>
  </si>
  <si>
    <t>Row 96</t>
  </si>
  <si>
    <t>Row 97</t>
  </si>
  <si>
    <t>Row 98</t>
  </si>
  <si>
    <t>Row 99</t>
  </si>
  <si>
    <t>Row 100</t>
  </si>
  <si>
    <t>Row 101</t>
  </si>
  <si>
    <t>Row 102</t>
  </si>
  <si>
    <t>Row 103</t>
  </si>
  <si>
    <t>Row 104</t>
  </si>
  <si>
    <t>Row 105</t>
  </si>
  <si>
    <t>Row 107</t>
  </si>
  <si>
    <t>Row 108</t>
  </si>
  <si>
    <t>Row 109</t>
  </si>
  <si>
    <t>Row 110</t>
  </si>
  <si>
    <t>Row 111</t>
  </si>
  <si>
    <t>Row 112</t>
  </si>
  <si>
    <t>Row 113</t>
  </si>
  <si>
    <t>Row 114</t>
  </si>
  <si>
    <t>Row 115</t>
  </si>
  <si>
    <t>Row 117</t>
  </si>
  <si>
    <t>Row 118</t>
  </si>
  <si>
    <t>Row 119</t>
  </si>
  <si>
    <t>Row 120</t>
  </si>
  <si>
    <t>Row 121</t>
  </si>
  <si>
    <t>Row 122</t>
  </si>
  <si>
    <t>Row 123</t>
  </si>
  <si>
    <t>Row 124</t>
  </si>
  <si>
    <t>Row 126</t>
  </si>
  <si>
    <t>Row 127</t>
  </si>
  <si>
    <t>Row 128</t>
  </si>
  <si>
    <t>Row 129</t>
  </si>
  <si>
    <t>Row 130</t>
  </si>
  <si>
    <t>Row 131</t>
  </si>
  <si>
    <t>Row 132</t>
  </si>
  <si>
    <t>Row 133</t>
  </si>
  <si>
    <t>Row 134</t>
  </si>
  <si>
    <t>Row 135</t>
  </si>
  <si>
    <t>Row 136</t>
  </si>
  <si>
    <t>Row 137</t>
  </si>
  <si>
    <t>Row 138</t>
  </si>
  <si>
    <t>Row 139</t>
  </si>
  <si>
    <t>Row 140</t>
  </si>
  <si>
    <t>Row 141</t>
  </si>
  <si>
    <t>Row 142</t>
  </si>
  <si>
    <t>Row 143</t>
  </si>
  <si>
    <t>Row 144</t>
  </si>
  <si>
    <t>Row 145</t>
  </si>
  <si>
    <t>Row 146</t>
  </si>
  <si>
    <t>Row 147</t>
  </si>
  <si>
    <t>Row 148</t>
  </si>
  <si>
    <t>Row 149</t>
  </si>
  <si>
    <t>Row 150</t>
  </si>
  <si>
    <t>Row 151</t>
  </si>
  <si>
    <t>Row 152</t>
  </si>
  <si>
    <t>Row 153</t>
  </si>
  <si>
    <t>a) Less than 2 weeks</t>
  </si>
  <si>
    <t>a) Up to 100L</t>
  </si>
  <si>
    <t>&lt; 3 days</t>
  </si>
  <si>
    <t>&lt; 1%</t>
  </si>
  <si>
    <t xml:space="preserve">a) &lt; 5 </t>
  </si>
  <si>
    <t>&lt; 3 years</t>
  </si>
  <si>
    <t>&lt;  5%</t>
  </si>
  <si>
    <t>&lt; 2 weeks</t>
  </si>
  <si>
    <t>&lt;30</t>
  </si>
  <si>
    <t>b) 6-10 projects</t>
  </si>
  <si>
    <t>b) 2-4 weeks</t>
  </si>
  <si>
    <t>b) 20'000-50'000</t>
  </si>
  <si>
    <t>b) 100L - 1000L</t>
  </si>
  <si>
    <t xml:space="preserve">b) 5-15 </t>
  </si>
  <si>
    <t>3-5 years</t>
  </si>
  <si>
    <t>5-10%</t>
  </si>
  <si>
    <t>10-20%</t>
  </si>
  <si>
    <t>2-4 weeks</t>
  </si>
  <si>
    <t>31-60</t>
  </si>
  <si>
    <t>c) 11-20 projects</t>
  </si>
  <si>
    <t>c) 4-6 weeks</t>
  </si>
  <si>
    <t>c) 50'000-100'000</t>
  </si>
  <si>
    <t>c) 1000L - 5000L</t>
  </si>
  <si>
    <t>5-7 days</t>
  </si>
  <si>
    <t>6-10%</t>
  </si>
  <si>
    <t>c) 15-30</t>
  </si>
  <si>
    <t>11-15%</t>
  </si>
  <si>
    <t>20-30%</t>
  </si>
  <si>
    <t>61-100</t>
  </si>
  <si>
    <t>d) More than 20 projects?</t>
  </si>
  <si>
    <t>d) More than 6 weeks</t>
  </si>
  <si>
    <t>d) 500,000 - 1 million</t>
  </si>
  <si>
    <t>8-10 days</t>
  </si>
  <si>
    <t>d) &gt; 30</t>
  </si>
  <si>
    <t>16-20%</t>
  </si>
  <si>
    <t>30-40%</t>
  </si>
  <si>
    <t>&gt; 8 weeks</t>
  </si>
  <si>
    <t>e) &gt; 1 million</t>
  </si>
  <si>
    <t>11-4 days</t>
  </si>
  <si>
    <t>&gt;15%</t>
  </si>
  <si>
    <t>&gt; 15 years</t>
  </si>
  <si>
    <t>21-25%</t>
  </si>
  <si>
    <t>40-50%</t>
  </si>
  <si>
    <t>151-200</t>
  </si>
  <si>
    <t>&gt;15 days</t>
  </si>
  <si>
    <t>&gt; 25%</t>
  </si>
  <si>
    <t>&gt;50%</t>
  </si>
  <si>
    <t>201-300</t>
  </si>
  <si>
    <t>301-500</t>
  </si>
  <si>
    <t>&gt;500</t>
  </si>
  <si>
    <t>R. Srinivasan. Presales - Specialist</t>
  </si>
  <si>
    <t>Gayathri Ramaswamy, Global Head of Discovery Services</t>
  </si>
  <si>
    <t>Kapil Choudhury, Global Head - Business Development</t>
  </si>
  <si>
    <t>14 Dec 2024</t>
  </si>
  <si>
    <t xml:space="preserve">Assays of in-vitro pharmacology are typically run in FTE mode for Integrated drug discovery programs, we are also open to perform compound screening in FFS mode depending on the flow of compounds and agreement between Roche and Aurigene. If assays are run under FTE mode, reagent cost will be pass through, while under FFS mode, detailed proposal with costing information will be submitted to Roche based on assay type and format.  ADME work will be conducted on a fee-for-service basis. A rate card will be shared for each ADME assay, and billing will be done based on actuals at the end of each month. All costs related to chemistry work will be billed according to the FTE rate contract. </t>
  </si>
  <si>
    <t xml:space="preserve">
Aurigene will play a pivotal role in synthesizing compounds. Once a set of compounds is selected for synthesis, Aurigene will devise the synthetic route and carry out reactions and troubleshooting to produce the compounds in the fastest feasible time. If a compound becomes too difficult to make after one or two alternative schemes, Aurigene will seek help from Roche scientists to understand the priority of that compound. If it is not required to address a pivotal SAR point, it will generally be deprioritized and put on hold. Compounds sythesized will be tested in primary biochemical and cell based asays. In-vitro pharmacology assays will be designed based on biology of the target an finalized with mutual agreement between Aurigene and Roche. Compounds that pass the cutoff criteria in biochemical and cell based assays will be taken into in-vitro ADME assays. All preliminary ADME assays will be conducted at Aurigene, and we will manage the logistics of supplying the compounds to ADME. Our project manager will share the data.</t>
  </si>
  <si>
    <t xml:space="preserve">
In synthetic chemistry, we regularly face problems and troubleshoot them on our own with minimal help from our collaborators. Specific examples can be numerous. One example from last week was the susceptibility of the Boc group and orthogonality issues with other protecting groups under both acidic and basic conditions. We successfully used almost neutral conditions to selectively remove the Boc group and complete the scheme.</t>
  </si>
  <si>
    <t xml:space="preserve">
Medicinal chemistry presents numerous challenges. We have achieved many successes where we resolved issues related to permeability, stability, and solubility. In one recent example, we worked on a hit series where the pKa of an amidic nitrogen was crucial for activity due to a specific hydrogen bond. However, this NH was also responsible for its reduced permeability, hindering the compound's delivery to the central compartment. We addressed this problem by carefully designing compounds with fewer heteroatoms while keeping the NH intact and introducing steric crowding around the NH.</t>
  </si>
  <si>
    <t xml:space="preserve">
Project 1: Objective: To understand nature of molecular glues representing two different mechanisms of action for a novel target.
</t>
  </si>
  <si>
    <t xml:space="preserve">On need basis, Aurigene will evaluate the request and apply for license to handle requested APIs. </t>
  </si>
  <si>
    <t>Being a subsidiary of Dr. Reddy's Laboratories, we follow PSCI and it helps us embed their principles, sharing expertise, best practices, and our vision of better, social, environmental, and economic outcomes in the communities.</t>
  </si>
  <si>
    <t>There were very few minor incidents and near miss. However, No damage to life, property and loss of working hours were observed. We use an online tool- gensuite to report, communicate incidents and track the closure of CAPA.</t>
  </si>
  <si>
    <t>Yes. we track issues from customers in the form of minutes of meetings (MoMs) and address the same.</t>
  </si>
  <si>
    <t>Yes, we have multiple MPLC systems to perform purifications using normal-phase methods. We also have  Acuity Prep and other dedicated prep HPLC systems to purify achiral, less polar compounds, using normal phase purification methods. Based on the requirements, available RP-HPLCs(25 no.) can be utilized for achyral purification.</t>
  </si>
  <si>
    <t>Reverse-phase purification is the most commonly used method for obtaining compounds with &gt;95% purity. We have a wide variety of stationary phases  like C-18, C8 with different dimenssionsfor purifying mid polar to non polar analytes from various suppliers. Aurigene has capabilities in performing separations for polar analytes through HILIC separation techniques.</t>
  </si>
  <si>
    <t>Analytical team at Aurigene is capable of hanlding these activities.</t>
  </si>
  <si>
    <t>Rate card will be provided based on the number of compounds to be stored on a monthly basis.</t>
  </si>
  <si>
    <t>We offer IDD services from both our Hyderabad and Bangalore sites, location can be decided based on project requirements. Projects that are heavily focused on chemistry, CADD, and ADME are primarily executed in Bengaluru, while projects requiring more pharmacology, toxicology, or animal studies are efficiently managed at Hyderbabd. Co-localization of services enhances efficiency and ensures optimal utilization of our capabilities across both locations.</t>
  </si>
  <si>
    <t>We propose fixed year-on-year price increase. Hence proposed number is not connect to any index.</t>
  </si>
  <si>
    <t>Yes, we have a dedicated Logistics team to handle all import and export shipments.</t>
  </si>
  <si>
    <t>We do not have extensive experience in solid-state chemistry; however, we do work on compound crystallization, salt screening, and polymorph studies. We also have a formulation department that can handle particle size optimization and other solid-state chemistry-related tasks.</t>
  </si>
  <si>
    <t>We have a dedicated process research department co-located with the medicinal chemistry facility. These chemists have experience in bridging the medicinal chemistry process and preparing it for kilo lab operations and beyond.</t>
  </si>
  <si>
    <t>We propose an annual inflation of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</si>
</sst>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0"/>
      <color rgb="FF000000"/>
      <name val="Arial"/>
      <scheme val="minor"/>
    </font>
    <font>
      <sz val="10"/>
      <color theme="1"/>
      <name val="Arial"/>
      <family val="2"/>
      <scheme val="minor"/>
    </font>
    <font>
      <sz val="20"/>
      <color theme="1"/>
      <name val="Arial"/>
      <family val="2"/>
    </font>
    <font>
      <sz val="10"/>
      <color theme="1"/>
      <name val="Arial"/>
      <family val="2"/>
    </font>
    <font>
      <b/>
      <sz val="20"/>
      <color theme="1"/>
      <name val="Arial"/>
      <family val="2"/>
    </font>
    <font>
      <sz val="10"/>
      <name val="Arial"/>
      <family val="2"/>
    </font>
    <font>
      <b/>
      <sz val="14"/>
      <color theme="1"/>
      <name val="Arial"/>
      <family val="2"/>
    </font>
    <font>
      <sz val="12"/>
      <color theme="1"/>
      <name val="Arial"/>
      <family val="2"/>
    </font>
    <font>
      <sz val="11"/>
      <color theme="1"/>
      <name val="Arial"/>
      <family val="2"/>
    </font>
    <font>
      <sz val="12"/>
      <color rgb="FF000000"/>
      <name val="Arial"/>
      <family val="2"/>
    </font>
    <font>
      <sz val="11"/>
      <color theme="1"/>
      <name val="Calibri"/>
      <family val="2"/>
    </font>
    <font>
      <sz val="10"/>
      <color theme="1"/>
      <name val="Arial"/>
      <family val="2"/>
    </font>
    <font>
      <b/>
      <sz val="10"/>
      <color theme="1"/>
      <name val="Arial"/>
      <family val="2"/>
    </font>
    <font>
      <b/>
      <i/>
      <sz val="10"/>
      <color theme="1"/>
      <name val="Arial"/>
      <family val="2"/>
    </font>
    <font>
      <b/>
      <sz val="11"/>
      <color rgb="FFFFFFFF"/>
      <name val="Arial"/>
      <family val="2"/>
    </font>
    <font>
      <b/>
      <sz val="10"/>
      <color theme="1"/>
      <name val="Arial"/>
      <family val="2"/>
      <scheme val="minor"/>
    </font>
    <font>
      <b/>
      <i/>
      <sz val="10"/>
      <color theme="1"/>
      <name val="Arial"/>
      <family val="2"/>
      <scheme val="minor"/>
    </font>
    <font>
      <i/>
      <sz val="10"/>
      <color theme="1"/>
      <name val="Arial"/>
      <family val="2"/>
      <scheme val="minor"/>
    </font>
    <font>
      <b/>
      <sz val="11"/>
      <color theme="1"/>
      <name val="Calibri"/>
      <family val="2"/>
    </font>
    <font>
      <b/>
      <i/>
      <sz val="10"/>
      <color rgb="FFFF0000"/>
      <name val="Arial"/>
      <family val="2"/>
    </font>
    <font>
      <i/>
      <sz val="10"/>
      <color rgb="FF000000"/>
      <name val="Arial"/>
      <family val="2"/>
    </font>
    <font>
      <i/>
      <sz val="10"/>
      <color rgb="FF434343"/>
      <name val="Arial"/>
      <family val="2"/>
      <scheme val="minor"/>
    </font>
    <font>
      <i/>
      <sz val="10"/>
      <color theme="1"/>
      <name val="Arial"/>
      <family val="2"/>
    </font>
    <font>
      <b/>
      <i/>
      <sz val="11"/>
      <color theme="1"/>
      <name val="Arial"/>
      <family val="2"/>
    </font>
    <font>
      <b/>
      <sz val="11"/>
      <color theme="1"/>
      <name val="Arial"/>
      <family val="2"/>
      <scheme val="minor"/>
    </font>
    <font>
      <sz val="11"/>
      <name val="Arial"/>
      <family val="2"/>
    </font>
    <font>
      <sz val="11"/>
      <color rgb="FF000000"/>
      <name val="Arial"/>
      <family val="2"/>
      <scheme val="minor"/>
    </font>
    <font>
      <sz val="11"/>
      <color rgb="FF000000"/>
      <name val="Arial"/>
      <family val="2"/>
    </font>
    <font>
      <b/>
      <sz val="11"/>
      <color theme="1"/>
      <name val="Arial"/>
      <family val="2"/>
    </font>
    <font>
      <sz val="11"/>
      <color rgb="FF000000"/>
      <name val="Arial"/>
      <family val="2"/>
      <scheme val="major"/>
    </font>
    <font>
      <sz val="11"/>
      <color theme="1"/>
      <name val="Arial"/>
      <family val="2"/>
      <scheme val="major"/>
    </font>
    <font>
      <b/>
      <sz val="11"/>
      <color theme="1"/>
      <name val="Arial"/>
      <family val="2"/>
      <scheme val="major"/>
    </font>
    <font>
      <sz val="11"/>
      <name val="Arial"/>
      <family val="2"/>
      <scheme val="major"/>
    </font>
    <font>
      <b/>
      <sz val="11"/>
      <color rgb="FF000000"/>
      <name val="Arial"/>
      <family val="2"/>
      <scheme val="major"/>
    </font>
    <font>
      <b/>
      <sz val="22"/>
      <color theme="1"/>
      <name val="Arial"/>
      <family val="2"/>
    </font>
    <font>
      <b/>
      <sz val="22"/>
      <name val="Arial"/>
      <family val="2"/>
    </font>
    <font>
      <sz val="14"/>
      <name val="Arial"/>
      <family val="2"/>
    </font>
    <font>
      <sz val="14"/>
      <color rgb="FF000000"/>
      <name val="Arial"/>
      <family val="2"/>
      <scheme val="minor"/>
    </font>
    <font>
      <sz val="10"/>
      <color rgb="FF000000"/>
      <name val="Arial"/>
      <family val="2"/>
      <scheme val="minor"/>
    </font>
    <font>
      <sz val="10"/>
      <color rgb="FF222222"/>
      <name val="Arial"/>
      <family val="2"/>
    </font>
    <font>
      <b/>
      <sz val="10"/>
      <color rgb="FF000000"/>
      <name val="Arial"/>
      <family val="2"/>
      <scheme val="minor"/>
    </font>
    <font>
      <sz val="12"/>
      <color theme="1"/>
      <name val="Arial"/>
      <family val="2"/>
      <scheme val="major"/>
    </font>
    <font>
      <b/>
      <sz val="12"/>
      <color rgb="FFFFFFFF"/>
      <name val="Arial"/>
      <family val="2"/>
      <scheme val="major"/>
    </font>
    <font>
      <sz val="12"/>
      <color rgb="FF000000"/>
      <name val="Arial"/>
      <family val="2"/>
      <scheme val="major"/>
    </font>
    <font>
      <b/>
      <sz val="14"/>
      <color rgb="FF000000"/>
      <name val="Arial"/>
      <family val="2"/>
      <scheme val="minor"/>
    </font>
    <font>
      <sz val="10"/>
      <color rgb="FF000000"/>
      <name val="Arial"/>
      <family val="2"/>
      <scheme val="major"/>
    </font>
    <font>
      <b/>
      <sz val="12"/>
      <color theme="1"/>
      <name val="Arial"/>
      <family val="2"/>
      <scheme val="minor"/>
    </font>
    <font>
      <sz val="10"/>
      <color theme="1"/>
      <name val="Arial"/>
      <family val="2"/>
      <scheme val="major"/>
    </font>
    <font>
      <b/>
      <sz val="10"/>
      <color theme="1"/>
      <name val="Arial"/>
      <family val="2"/>
      <scheme val="major"/>
    </font>
    <font>
      <sz val="10"/>
      <color rgb="FF1F1F1F"/>
      <name val="Arial"/>
      <family val="2"/>
      <scheme val="major"/>
    </font>
    <font>
      <sz val="10"/>
      <name val="Arial"/>
      <family val="2"/>
      <scheme val="major"/>
    </font>
    <font>
      <b/>
      <i/>
      <sz val="10"/>
      <color theme="1"/>
      <name val="Arial"/>
      <family val="2"/>
      <scheme val="major"/>
    </font>
    <font>
      <i/>
      <sz val="10"/>
      <color theme="1"/>
      <name val="Arial"/>
      <family val="2"/>
      <scheme val="major"/>
    </font>
    <font>
      <sz val="10"/>
      <color rgb="FF222222"/>
      <name val="Arial"/>
      <family val="2"/>
      <scheme val="major"/>
    </font>
    <font>
      <b/>
      <sz val="12"/>
      <color theme="1"/>
      <name val="Arial"/>
      <family val="2"/>
      <scheme val="major"/>
    </font>
    <font>
      <sz val="12"/>
      <name val="Arial"/>
      <family val="2"/>
      <scheme val="major"/>
    </font>
    <font>
      <b/>
      <sz val="12"/>
      <name val="Arial"/>
      <family val="2"/>
      <scheme val="major"/>
    </font>
    <font>
      <b/>
      <sz val="11"/>
      <color rgb="FF000000"/>
      <name val="Arial"/>
      <family val="2"/>
      <scheme val="minor"/>
    </font>
    <font>
      <i/>
      <sz val="10"/>
      <color rgb="FFB7B7B7"/>
      <name val="Arial"/>
      <family val="2"/>
    </font>
    <font>
      <sz val="10"/>
      <color rgb="FF333333"/>
      <name val="Arial"/>
      <family val="2"/>
    </font>
    <font>
      <b/>
      <sz val="10"/>
      <name val="Arial"/>
      <family val="2"/>
      <scheme val="major"/>
    </font>
    <font>
      <i/>
      <sz val="10"/>
      <color theme="0" tint="-0.499984740745262"/>
      <name val="Arial"/>
      <family val="2"/>
      <scheme val="major"/>
    </font>
    <font>
      <i/>
      <sz val="12"/>
      <name val="Arial"/>
      <family val="2"/>
    </font>
    <font>
      <b/>
      <i/>
      <sz val="12"/>
      <name val="Arial"/>
      <family val="2"/>
    </font>
    <font>
      <sz val="11"/>
      <color rgb="FF242424"/>
      <name val="Aptos Narrow"/>
      <family val="2"/>
      <charset val="1"/>
    </font>
  </fonts>
  <fills count="22">
    <fill>
      <patternFill patternType="none"/>
    </fill>
    <fill>
      <patternFill patternType="gray125"/>
    </fill>
    <fill>
      <patternFill patternType="solid">
        <fgColor theme="0"/>
        <bgColor theme="0"/>
      </patternFill>
    </fill>
    <fill>
      <patternFill patternType="solid">
        <fgColor rgb="FFFFFFCC"/>
        <bgColor rgb="FFFFFFCC"/>
      </patternFill>
    </fill>
    <fill>
      <patternFill patternType="solid">
        <fgColor rgb="FFFFFFFF"/>
        <bgColor rgb="FFFFFFFF"/>
      </patternFill>
    </fill>
    <fill>
      <patternFill patternType="solid">
        <fgColor rgb="FFFBD4B4"/>
        <bgColor rgb="FFFBD4B4"/>
      </patternFill>
    </fill>
    <fill>
      <patternFill patternType="solid">
        <fgColor rgb="FFFFFF00"/>
        <bgColor rgb="FFFFFF00"/>
      </patternFill>
    </fill>
    <fill>
      <patternFill patternType="solid">
        <fgColor rgb="FF016FC4"/>
        <bgColor rgb="FF016FC4"/>
      </patternFill>
    </fill>
    <fill>
      <patternFill patternType="solid">
        <fgColor rgb="FFF9CB9C"/>
        <bgColor rgb="FFF9CB9C"/>
      </patternFill>
    </fill>
    <fill>
      <patternFill patternType="solid">
        <fgColor rgb="FFFFF2CC"/>
        <bgColor rgb="FFFFF2CC"/>
      </patternFill>
    </fill>
    <fill>
      <patternFill patternType="solid">
        <fgColor rgb="FFEFEFEF"/>
        <bgColor rgb="FFEFEFEF"/>
      </patternFill>
    </fill>
    <fill>
      <patternFill patternType="solid">
        <fgColor rgb="FFF2F2F2"/>
        <bgColor rgb="FFF2F2F2"/>
      </patternFill>
    </fill>
    <fill>
      <patternFill patternType="solid">
        <fgColor rgb="FFD9D9D9"/>
        <bgColor rgb="FFD9D9D9"/>
      </patternFill>
    </fill>
    <fill>
      <patternFill patternType="solid">
        <fgColor rgb="FFFFFFCC"/>
        <bgColor indexed="64"/>
      </patternFill>
    </fill>
    <fill>
      <patternFill patternType="solid">
        <fgColor rgb="FFFFFFF3"/>
        <bgColor rgb="FFFFFFFF"/>
      </patternFill>
    </fill>
    <fill>
      <patternFill patternType="solid">
        <fgColor rgb="FFFFFFF3"/>
        <bgColor indexed="64"/>
      </patternFill>
    </fill>
    <fill>
      <patternFill patternType="solid">
        <fgColor rgb="FFFFFFF3"/>
        <bgColor theme="0"/>
      </patternFill>
    </fill>
    <fill>
      <patternFill patternType="solid">
        <fgColor rgb="FFFFF2CC"/>
        <bgColor indexed="64"/>
      </patternFill>
    </fill>
    <fill>
      <patternFill patternType="solid">
        <fgColor theme="0" tint="-0.249977111117893"/>
        <bgColor rgb="FF016FC4"/>
      </patternFill>
    </fill>
    <fill>
      <patternFill patternType="solid">
        <fgColor theme="0" tint="-0.249977111117893"/>
        <bgColor indexed="64"/>
      </patternFill>
    </fill>
    <fill>
      <patternFill patternType="solid">
        <fgColor rgb="FFFFFFFF"/>
        <bgColor indexed="64"/>
      </patternFill>
    </fill>
    <fill>
      <patternFill patternType="solid">
        <fgColor theme="0" tint="-0.14999847407452621"/>
        <bgColor indexed="64"/>
      </patternFill>
    </fill>
  </fills>
  <borders count="104">
    <border>
      <left/>
      <right/>
      <top/>
      <bottom/>
      <diagonal/>
    </border>
    <border>
      <left/>
      <right/>
      <top/>
      <bottom style="thin">
        <color rgb="FFFFFFFF"/>
      </bottom>
      <diagonal/>
    </border>
    <border>
      <left/>
      <right style="thin">
        <color rgb="FFFFFFFF"/>
      </right>
      <top/>
      <bottom style="thin">
        <color rgb="FFFFFFFF"/>
      </bottom>
      <diagonal/>
    </border>
    <border>
      <left/>
      <right/>
      <top/>
      <bottom style="thin">
        <color rgb="FF000000"/>
      </bottom>
      <diagonal/>
    </border>
    <border>
      <left style="thin">
        <color rgb="FFFFFFFF"/>
      </left>
      <right style="thin">
        <color rgb="FFFFFFFF"/>
      </right>
      <top style="thin">
        <color rgb="FFFFFFFF"/>
      </top>
      <bottom style="thin">
        <color rgb="FFFFFFFF"/>
      </bottom>
      <diagonal/>
    </border>
    <border>
      <left/>
      <right/>
      <top/>
      <bottom/>
      <diagonal/>
    </border>
    <border>
      <left style="thin">
        <color rgb="FFFFFFFF"/>
      </left>
      <right/>
      <top/>
      <bottom style="thin">
        <color rgb="FFFFFFFF"/>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14996795556505021"/>
      </top>
      <bottom style="thin">
        <color theme="0" tint="-0.1499679555650502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medium">
        <color theme="0" tint="-0.499984740745262"/>
      </top>
      <bottom style="thin">
        <color theme="0" tint="-0.14996795556505021"/>
      </bottom>
      <diagonal/>
    </border>
    <border>
      <left style="thin">
        <color theme="0" tint="-0.24994659260841701"/>
      </left>
      <right style="medium">
        <color theme="0" tint="-0.499984740745262"/>
      </right>
      <top style="medium">
        <color theme="0" tint="-0.499984740745262"/>
      </top>
      <bottom style="thin">
        <color theme="0" tint="-0.14996795556505021"/>
      </bottom>
      <diagonal/>
    </border>
    <border>
      <left style="medium">
        <color theme="0" tint="-0.499984740745262"/>
      </left>
      <right style="thin">
        <color theme="0" tint="-0.2499465926084170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14996795556505021"/>
      </top>
      <bottom style="thin">
        <color theme="0" tint="-0.14996795556505021"/>
      </bottom>
      <diagonal/>
    </border>
    <border>
      <left style="thin">
        <color theme="0" tint="-0.24994659260841701"/>
      </left>
      <right style="medium">
        <color theme="0" tint="-0.499984740745262"/>
      </right>
      <top style="thin">
        <color theme="0" tint="-0.14996795556505021"/>
      </top>
      <bottom style="thin">
        <color theme="0" tint="-0.14996795556505021"/>
      </bottom>
      <diagonal/>
    </border>
    <border>
      <left style="medium">
        <color theme="0" tint="-0.499984740745262"/>
      </left>
      <right style="thin">
        <color theme="0" tint="-0.24994659260841701"/>
      </right>
      <top style="thin">
        <color theme="0" tint="-0.14996795556505021"/>
      </top>
      <bottom style="medium">
        <color theme="0" tint="-0.499984740745262"/>
      </bottom>
      <diagonal/>
    </border>
    <border>
      <left style="thin">
        <color theme="0" tint="-0.24994659260841701"/>
      </left>
      <right style="thin">
        <color theme="0" tint="-0.24994659260841701"/>
      </right>
      <top style="thin">
        <color theme="0" tint="-0.14996795556505021"/>
      </top>
      <bottom style="medium">
        <color theme="0" tint="-0.499984740745262"/>
      </bottom>
      <diagonal/>
    </border>
    <border>
      <left style="thin">
        <color theme="0" tint="-0.24994659260841701"/>
      </left>
      <right style="medium">
        <color theme="0" tint="-0.499984740745262"/>
      </right>
      <top style="thin">
        <color theme="0" tint="-0.14996795556505021"/>
      </top>
      <bottom style="medium">
        <color theme="0" tint="-0.499984740745262"/>
      </bottom>
      <diagonal/>
    </border>
    <border>
      <left style="medium">
        <color theme="0" tint="-0.499984740745262"/>
      </left>
      <right style="thin">
        <color theme="0" tint="-0.24994659260841701"/>
      </right>
      <top/>
      <bottom style="thin">
        <color theme="0" tint="-0.14996795556505021"/>
      </bottom>
      <diagonal/>
    </border>
    <border>
      <left style="thin">
        <color theme="0" tint="-0.24994659260841701"/>
      </left>
      <right style="thin">
        <color theme="0" tint="-0.24994659260841701"/>
      </right>
      <top/>
      <bottom style="thin">
        <color theme="0" tint="-0.14996795556505021"/>
      </bottom>
      <diagonal/>
    </border>
    <border>
      <left style="thin">
        <color theme="0" tint="-0.24994659260841701"/>
      </left>
      <right style="medium">
        <color theme="0" tint="-0.499984740745262"/>
      </right>
      <top/>
      <bottom style="thin">
        <color theme="0" tint="-0.14996795556505021"/>
      </bottom>
      <diagonal/>
    </border>
    <border>
      <left style="medium">
        <color theme="0" tint="-0.499984740745262"/>
      </left>
      <right style="thin">
        <color theme="0" tint="-0.24994659260841701"/>
      </right>
      <top style="medium">
        <color theme="0" tint="-0.499984740745262"/>
      </top>
      <bottom style="medium">
        <color theme="0" tint="-0.499984740745262"/>
      </bottom>
      <diagonal/>
    </border>
    <border>
      <left style="thin">
        <color theme="0" tint="-0.24994659260841701"/>
      </left>
      <right style="thin">
        <color theme="0" tint="-0.24994659260841701"/>
      </right>
      <top style="medium">
        <color theme="0" tint="-0.499984740745262"/>
      </top>
      <bottom style="medium">
        <color theme="0" tint="-0.499984740745262"/>
      </bottom>
      <diagonal/>
    </border>
    <border>
      <left style="thin">
        <color theme="0" tint="-0.24994659260841701"/>
      </left>
      <right style="medium">
        <color theme="0" tint="-0.499984740745262"/>
      </right>
      <top style="medium">
        <color theme="0" tint="-0.499984740745262"/>
      </top>
      <bottom style="medium">
        <color theme="0" tint="-0.499984740745262"/>
      </bottom>
      <diagonal/>
    </border>
    <border>
      <left/>
      <right/>
      <top style="medium">
        <color theme="0" tint="-0.499984740745262"/>
      </top>
      <bottom style="thin">
        <color theme="0" tint="-0.14996795556505021"/>
      </bottom>
      <diagonal/>
    </border>
    <border>
      <left/>
      <right style="medium">
        <color theme="0" tint="-0.499984740745262"/>
      </right>
      <top style="medium">
        <color theme="0" tint="-0.499984740745262"/>
      </top>
      <bottom style="thin">
        <color theme="0" tint="-0.14996795556505021"/>
      </bottom>
      <diagonal/>
    </border>
    <border>
      <left style="thin">
        <color theme="0" tint="-0.24994659260841701"/>
      </left>
      <right/>
      <top style="thin">
        <color theme="0" tint="-0.14996795556505021"/>
      </top>
      <bottom style="thin">
        <color theme="0" tint="-0.14996795556505021"/>
      </bottom>
      <diagonal/>
    </border>
    <border>
      <left/>
      <right style="medium">
        <color theme="0" tint="-0.499984740745262"/>
      </right>
      <top style="thin">
        <color theme="0" tint="-0.14996795556505021"/>
      </top>
      <bottom style="thin">
        <color theme="0" tint="-0.14996795556505021"/>
      </bottom>
      <diagonal/>
    </border>
    <border>
      <left style="thin">
        <color theme="0" tint="-0.24994659260841701"/>
      </left>
      <right/>
      <top style="thin">
        <color theme="0" tint="-0.14996795556505021"/>
      </top>
      <bottom style="medium">
        <color theme="0" tint="-0.499984740745262"/>
      </bottom>
      <diagonal/>
    </border>
    <border>
      <left/>
      <right/>
      <top style="thin">
        <color theme="0" tint="-0.14996795556505021"/>
      </top>
      <bottom style="medium">
        <color theme="0" tint="-0.499984740745262"/>
      </bottom>
      <diagonal/>
    </border>
    <border>
      <left/>
      <right style="medium">
        <color theme="0" tint="-0.499984740745262"/>
      </right>
      <top style="thin">
        <color theme="0" tint="-0.14996795556505021"/>
      </top>
      <bottom style="medium">
        <color theme="0" tint="-0.499984740745262"/>
      </bottom>
      <diagonal/>
    </border>
    <border>
      <left style="thin">
        <color theme="0" tint="-0.24994659260841701"/>
      </left>
      <right/>
      <top/>
      <bottom style="thin">
        <color theme="0" tint="-0.14996795556505021"/>
      </bottom>
      <diagonal/>
    </border>
    <border>
      <left/>
      <right/>
      <top/>
      <bottom style="thin">
        <color theme="0" tint="-0.14996795556505021"/>
      </bottom>
      <diagonal/>
    </border>
    <border>
      <left/>
      <right style="medium">
        <color theme="0" tint="-0.499984740745262"/>
      </right>
      <top/>
      <bottom style="thin">
        <color theme="0" tint="-0.14996795556505021"/>
      </bottom>
      <diagonal/>
    </border>
    <border>
      <left style="thin">
        <color theme="0" tint="-0.24994659260841701"/>
      </left>
      <right/>
      <top style="medium">
        <color theme="0" tint="-0.499984740745262"/>
      </top>
      <bottom style="medium">
        <color theme="0" tint="-0.499984740745262"/>
      </bottom>
      <diagonal/>
    </border>
    <border>
      <left style="medium">
        <color theme="0" tint="-0.499984740745262"/>
      </left>
      <right style="thin">
        <color theme="0" tint="-0.24994659260841701"/>
      </right>
      <top style="medium">
        <color theme="0" tint="-0.499984740745262"/>
      </top>
      <bottom/>
      <diagonal/>
    </border>
    <border>
      <left style="medium">
        <color theme="0" tint="-0.499984740745262"/>
      </left>
      <right style="thin">
        <color theme="0" tint="-0.24994659260841701"/>
      </right>
      <top/>
      <bottom/>
      <diagonal/>
    </border>
    <border>
      <left style="medium">
        <color theme="0" tint="-0.499984740745262"/>
      </left>
      <right style="thin">
        <color theme="0" tint="-0.24994659260841701"/>
      </right>
      <top style="thin">
        <color theme="0" tint="-0.14996795556505021"/>
      </top>
      <bottom/>
      <diagonal/>
    </border>
    <border>
      <left style="medium">
        <color theme="0" tint="-0.499984740745262"/>
      </left>
      <right style="thin">
        <color theme="0" tint="-0.24994659260841701"/>
      </right>
      <top/>
      <bottom style="medium">
        <color theme="0" tint="-0.499984740745262"/>
      </bottom>
      <diagonal/>
    </border>
    <border>
      <left style="medium">
        <color theme="0" tint="-0.499984740745262"/>
      </left>
      <right style="thin">
        <color theme="0" tint="-0.24994659260841701"/>
      </right>
      <top style="medium">
        <color theme="0" tint="-0.499984740745262"/>
      </top>
      <bottom style="thin">
        <color theme="0" tint="-0.24994659260841701"/>
      </bottom>
      <diagonal/>
    </border>
    <border>
      <left style="thin">
        <color theme="0" tint="-0.24994659260841701"/>
      </left>
      <right style="thin">
        <color theme="0" tint="-0.24994659260841701"/>
      </right>
      <top style="medium">
        <color theme="0" tint="-0.499984740745262"/>
      </top>
      <bottom style="thin">
        <color theme="0" tint="-0.24994659260841701"/>
      </bottom>
      <diagonal/>
    </border>
    <border>
      <left style="thin">
        <color theme="0" tint="-0.24994659260841701"/>
      </left>
      <right style="medium">
        <color theme="0" tint="-0.499984740745262"/>
      </right>
      <top style="medium">
        <color theme="0" tint="-0.499984740745262"/>
      </top>
      <bottom style="thin">
        <color theme="0" tint="-0.24994659260841701"/>
      </bottom>
      <diagonal/>
    </border>
    <border>
      <left style="medium">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499984740745262"/>
      </right>
      <top style="thin">
        <color theme="0" tint="-0.24994659260841701"/>
      </top>
      <bottom style="thin">
        <color theme="0" tint="-0.24994659260841701"/>
      </bottom>
      <diagonal/>
    </border>
    <border>
      <left style="medium">
        <color theme="0" tint="-0.499984740745262"/>
      </left>
      <right style="thin">
        <color theme="0" tint="-0.24994659260841701"/>
      </right>
      <top style="thin">
        <color theme="0" tint="-0.24994659260841701"/>
      </top>
      <bottom style="medium">
        <color theme="0" tint="-0.499984740745262"/>
      </bottom>
      <diagonal/>
    </border>
    <border>
      <left style="thin">
        <color theme="0" tint="-0.24994659260841701"/>
      </left>
      <right style="thin">
        <color theme="0" tint="-0.24994659260841701"/>
      </right>
      <top style="thin">
        <color theme="0" tint="-0.24994659260841701"/>
      </top>
      <bottom style="medium">
        <color theme="0" tint="-0.499984740745262"/>
      </bottom>
      <diagonal/>
    </border>
    <border>
      <left style="thin">
        <color theme="0" tint="-0.24994659260841701"/>
      </left>
      <right style="medium">
        <color theme="0" tint="-0.499984740745262"/>
      </right>
      <top style="thin">
        <color theme="0" tint="-0.24994659260841701"/>
      </top>
      <bottom style="medium">
        <color theme="0" tint="-0.499984740745262"/>
      </bottom>
      <diagonal/>
    </border>
    <border>
      <left style="medium">
        <color theme="0" tint="-0.499984740745262"/>
      </left>
      <right style="thin">
        <color theme="0" tint="-0.1499679555650502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thin">
        <color theme="0" tint="-0.14996795556505021"/>
      </left>
      <right style="medium">
        <color theme="0" tint="-0.499984740745262"/>
      </right>
      <top style="thin">
        <color theme="0" tint="-0.24994659260841701"/>
      </top>
      <bottom style="thin">
        <color theme="0" tint="-0.24994659260841701"/>
      </bottom>
      <diagonal/>
    </border>
    <border>
      <left style="medium">
        <color theme="0" tint="-0.499984740745262"/>
      </left>
      <right style="thin">
        <color theme="0" tint="-0.14996795556505021"/>
      </right>
      <top style="thin">
        <color theme="0" tint="-0.24994659260841701"/>
      </top>
      <bottom style="medium">
        <color theme="0" tint="-0.499984740745262"/>
      </bottom>
      <diagonal/>
    </border>
    <border>
      <left style="thin">
        <color theme="0" tint="-0.14996795556505021"/>
      </left>
      <right style="thin">
        <color theme="0" tint="-0.14996795556505021"/>
      </right>
      <top style="thin">
        <color theme="0" tint="-0.24994659260841701"/>
      </top>
      <bottom style="medium">
        <color theme="0" tint="-0.499984740745262"/>
      </bottom>
      <diagonal/>
    </border>
    <border>
      <left style="thin">
        <color theme="0" tint="-0.14996795556505021"/>
      </left>
      <right style="medium">
        <color theme="0" tint="-0.499984740745262"/>
      </right>
      <top style="thin">
        <color theme="0" tint="-0.24994659260841701"/>
      </top>
      <bottom style="medium">
        <color theme="0" tint="-0.499984740745262"/>
      </bottom>
      <diagonal/>
    </border>
    <border>
      <left style="medium">
        <color theme="0" tint="-0.499984740745262"/>
      </left>
      <right style="thin">
        <color theme="0" tint="-0.14996795556505021"/>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medium">
        <color theme="0" tint="-0.499984740745262"/>
      </right>
      <top/>
      <bottom style="thin">
        <color theme="0" tint="-0.24994659260841701"/>
      </bottom>
      <diagonal/>
    </border>
    <border>
      <left style="medium">
        <color theme="0" tint="-0.499984740745262"/>
      </left>
      <right style="thin">
        <color theme="0" tint="-0.14996795556505021"/>
      </right>
      <top style="medium">
        <color theme="0" tint="-0.499984740745262"/>
      </top>
      <bottom style="medium">
        <color theme="0" tint="-0.499984740745262"/>
      </bottom>
      <diagonal/>
    </border>
    <border>
      <left style="thin">
        <color theme="0" tint="-0.14996795556505021"/>
      </left>
      <right style="thin">
        <color theme="0" tint="-0.14996795556505021"/>
      </right>
      <top style="medium">
        <color theme="0" tint="-0.499984740745262"/>
      </top>
      <bottom style="medium">
        <color theme="0" tint="-0.499984740745262"/>
      </bottom>
      <diagonal/>
    </border>
    <border>
      <left style="thin">
        <color theme="0" tint="-0.14996795556505021"/>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thin">
        <color theme="0" tint="-0.14996795556505021"/>
      </bottom>
      <diagonal/>
    </border>
    <border>
      <left style="medium">
        <color theme="0" tint="-0.499984740745262"/>
      </left>
      <right/>
      <top style="thin">
        <color theme="0" tint="-0.14996795556505021"/>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bottom style="medium">
        <color theme="0" tint="-0.499984740745262"/>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0" tint="-0.34998626667073579"/>
      </left>
      <right style="thin">
        <color theme="0" tint="-0.14996795556505021"/>
      </right>
      <top style="medium">
        <color theme="0" tint="-0.34998626667073579"/>
      </top>
      <bottom style="medium">
        <color theme="0" tint="-0.499984740745262"/>
      </bottom>
      <diagonal/>
    </border>
    <border>
      <left style="thin">
        <color theme="0" tint="-0.14996795556505021"/>
      </left>
      <right style="thin">
        <color theme="0" tint="-0.14996795556505021"/>
      </right>
      <top style="medium">
        <color theme="0" tint="-0.34998626667073579"/>
      </top>
      <bottom style="medium">
        <color theme="0" tint="-0.499984740745262"/>
      </bottom>
      <diagonal/>
    </border>
    <border>
      <left style="thin">
        <color theme="0" tint="-0.14996795556505021"/>
      </left>
      <right style="medium">
        <color theme="0" tint="-0.34998626667073579"/>
      </right>
      <top style="medium">
        <color theme="0" tint="-0.34998626667073579"/>
      </top>
      <bottom style="medium">
        <color theme="0" tint="-0.499984740745262"/>
      </bottom>
      <diagonal/>
    </border>
    <border>
      <left style="medium">
        <color theme="0" tint="-0.34998626667073579"/>
      </left>
      <right style="thin">
        <color theme="0" tint="-0.14996795556505021"/>
      </right>
      <top/>
      <bottom style="thin">
        <color theme="0" tint="-0.24994659260841701"/>
      </bottom>
      <diagonal/>
    </border>
    <border>
      <left style="thin">
        <color theme="0" tint="-0.14996795556505021"/>
      </left>
      <right style="medium">
        <color theme="0" tint="-0.34998626667073579"/>
      </right>
      <top/>
      <bottom style="thin">
        <color theme="0" tint="-0.24994659260841701"/>
      </bottom>
      <diagonal/>
    </border>
    <border>
      <left style="medium">
        <color theme="0" tint="-0.34998626667073579"/>
      </left>
      <right style="thin">
        <color theme="0" tint="-0.14996795556505021"/>
      </right>
      <top style="thin">
        <color theme="0" tint="-0.24994659260841701"/>
      </top>
      <bottom style="thin">
        <color theme="0" tint="-0.24994659260841701"/>
      </bottom>
      <diagonal/>
    </border>
    <border>
      <left style="thin">
        <color theme="0" tint="-0.14996795556505021"/>
      </left>
      <right style="medium">
        <color theme="0" tint="-0.34998626667073579"/>
      </right>
      <top style="thin">
        <color theme="0" tint="-0.24994659260841701"/>
      </top>
      <bottom style="thin">
        <color theme="0" tint="-0.24994659260841701"/>
      </bottom>
      <diagonal/>
    </border>
    <border>
      <left style="medium">
        <color theme="0" tint="-0.34998626667073579"/>
      </left>
      <right style="thin">
        <color theme="0" tint="-0.14996795556505021"/>
      </right>
      <top style="thin">
        <color theme="0" tint="-0.24994659260841701"/>
      </top>
      <bottom style="medium">
        <color theme="0" tint="-0.34998626667073579"/>
      </bottom>
      <diagonal/>
    </border>
    <border>
      <left style="thin">
        <color theme="0" tint="-0.14996795556505021"/>
      </left>
      <right style="thin">
        <color theme="0" tint="-0.14996795556505021"/>
      </right>
      <top style="thin">
        <color theme="0" tint="-0.24994659260841701"/>
      </top>
      <bottom style="medium">
        <color theme="0" tint="-0.34998626667073579"/>
      </bottom>
      <diagonal/>
    </border>
    <border>
      <left style="thin">
        <color theme="0" tint="-0.14996795556505021"/>
      </left>
      <right style="medium">
        <color theme="0" tint="-0.34998626667073579"/>
      </right>
      <top style="thin">
        <color theme="0" tint="-0.24994659260841701"/>
      </top>
      <bottom style="medium">
        <color theme="0" tint="-0.34998626667073579"/>
      </bottom>
      <diagonal/>
    </border>
    <border>
      <left style="medium">
        <color theme="0" tint="-0.499984740745262"/>
      </left>
      <right/>
      <top/>
      <bottom style="thin">
        <color theme="0" tint="-0.14996795556505021"/>
      </bottom>
      <diagonal/>
    </border>
    <border>
      <left/>
      <right style="thin">
        <color theme="0" tint="-0.2499465926084170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14996795556505021"/>
      </top>
      <bottom/>
      <diagonal/>
    </border>
    <border>
      <left style="thin">
        <color theme="0" tint="-0.14999847407452621"/>
      </left>
      <right style="thin">
        <color theme="0" tint="-0.24994659260841701"/>
      </right>
      <top style="thin">
        <color theme="0" tint="-0.14996795556505021"/>
      </top>
      <bottom style="thin">
        <color theme="0" tint="-0.14996795556505021"/>
      </bottom>
      <diagonal/>
    </border>
    <border>
      <left/>
      <right/>
      <top style="thin">
        <color theme="0" tint="-0.249977111117893"/>
      </top>
      <bottom style="medium">
        <color theme="0" tint="-0.499984740745262"/>
      </bottom>
      <diagonal/>
    </border>
    <border>
      <left/>
      <right/>
      <top/>
      <bottom style="thin">
        <color theme="0" tint="-0.249977111117893"/>
      </bottom>
      <diagonal/>
    </border>
    <border>
      <left style="thin">
        <color theme="0" tint="-0.249977111117893"/>
      </left>
      <right/>
      <top/>
      <bottom/>
      <diagonal/>
    </border>
  </borders>
  <cellStyleXfs count="1">
    <xf numFmtId="0" fontId="0" fillId="0" borderId="0"/>
  </cellStyleXfs>
  <cellXfs count="516">
    <xf numFmtId="0" fontId="0" fillId="0" borderId="0" xfId="0"/>
    <xf numFmtId="0" fontId="1" fillId="2" borderId="0" xfId="0" applyFont="1" applyFill="1"/>
    <xf numFmtId="0" fontId="2" fillId="2" borderId="0" xfId="0" applyFont="1" applyFill="1" applyAlignment="1">
      <alignment horizontal="center" vertical="center" wrapText="1"/>
    </xf>
    <xf numFmtId="0" fontId="3" fillId="2" borderId="0" xfId="0" applyFont="1" applyFill="1" applyAlignment="1">
      <alignment wrapText="1"/>
    </xf>
    <xf numFmtId="0" fontId="3" fillId="0" borderId="0" xfId="0" applyFont="1" applyAlignment="1">
      <alignment wrapText="1"/>
    </xf>
    <xf numFmtId="0" fontId="3" fillId="15" borderId="11" xfId="0" applyFont="1" applyFill="1" applyBorder="1" applyAlignment="1">
      <alignment vertical="top" wrapText="1"/>
    </xf>
    <xf numFmtId="0" fontId="3" fillId="15" borderId="5" xfId="0" applyFont="1" applyFill="1" applyBorder="1" applyAlignment="1">
      <alignment vertical="center" wrapText="1"/>
    </xf>
    <xf numFmtId="0" fontId="3" fillId="15" borderId="12" xfId="0" applyFont="1" applyFill="1" applyBorder="1" applyAlignment="1">
      <alignment vertical="center" wrapText="1"/>
    </xf>
    <xf numFmtId="0" fontId="0" fillId="15" borderId="14" xfId="0" applyFill="1" applyBorder="1"/>
    <xf numFmtId="0" fontId="37" fillId="0" borderId="0" xfId="0" applyFont="1" applyAlignment="1">
      <alignment vertical="center"/>
    </xf>
    <xf numFmtId="0" fontId="3" fillId="4" borderId="5" xfId="0" applyFont="1" applyFill="1" applyBorder="1" applyAlignment="1">
      <alignment vertical="top" wrapText="1"/>
    </xf>
    <xf numFmtId="0" fontId="3" fillId="4" borderId="5" xfId="0" applyFont="1" applyFill="1" applyBorder="1" applyAlignment="1">
      <alignment vertical="center" wrapText="1"/>
    </xf>
    <xf numFmtId="0" fontId="26" fillId="0" borderId="0" xfId="0" applyFont="1"/>
    <xf numFmtId="0" fontId="27" fillId="16" borderId="5" xfId="0" applyFont="1" applyFill="1" applyBorder="1"/>
    <xf numFmtId="0" fontId="7" fillId="14" borderId="13" xfId="0" applyFont="1" applyFill="1" applyBorder="1" applyAlignment="1">
      <alignment horizontal="center" vertical="top" wrapText="1"/>
    </xf>
    <xf numFmtId="0" fontId="3" fillId="14" borderId="14" xfId="0" applyFont="1" applyFill="1" applyBorder="1" applyAlignment="1">
      <alignment vertical="center" wrapText="1"/>
    </xf>
    <xf numFmtId="0" fontId="3" fillId="14" borderId="15" xfId="0" applyFont="1" applyFill="1" applyBorder="1" applyAlignment="1">
      <alignment vertical="center" wrapText="1"/>
    </xf>
    <xf numFmtId="0" fontId="7" fillId="4" borderId="5" xfId="0" applyFont="1" applyFill="1" applyBorder="1" applyAlignment="1">
      <alignment horizontal="center" vertical="top" wrapText="1"/>
    </xf>
    <xf numFmtId="0" fontId="9" fillId="2" borderId="5" xfId="0" applyFont="1" applyFill="1" applyBorder="1"/>
    <xf numFmtId="0" fontId="29" fillId="0" borderId="0" xfId="0" applyFont="1"/>
    <xf numFmtId="0" fontId="30" fillId="4" borderId="8" xfId="0" applyFont="1" applyFill="1" applyBorder="1" applyAlignment="1">
      <alignment horizontal="center" vertical="top" wrapText="1"/>
    </xf>
    <xf numFmtId="0" fontId="30" fillId="4" borderId="11" xfId="0" applyFont="1" applyFill="1" applyBorder="1" applyAlignment="1">
      <alignment horizontal="center" vertical="top" wrapText="1"/>
    </xf>
    <xf numFmtId="0" fontId="30" fillId="4" borderId="13" xfId="0" applyFont="1" applyFill="1" applyBorder="1" applyAlignment="1">
      <alignment horizontal="center" vertical="top" wrapText="1"/>
    </xf>
    <xf numFmtId="0" fontId="37" fillId="0" borderId="0" xfId="0" applyFont="1"/>
    <xf numFmtId="0" fontId="30" fillId="0" borderId="0" xfId="0" applyFont="1"/>
    <xf numFmtId="0" fontId="10" fillId="0" borderId="0" xfId="0" applyFont="1"/>
    <xf numFmtId="0" fontId="40" fillId="13" borderId="17" xfId="0" applyFont="1" applyFill="1" applyBorder="1" applyAlignment="1">
      <alignment vertical="center"/>
    </xf>
    <xf numFmtId="0" fontId="40" fillId="0" borderId="0" xfId="0" applyFont="1" applyAlignment="1">
      <alignment vertical="center"/>
    </xf>
    <xf numFmtId="0" fontId="41" fillId="0" borderId="0" xfId="0" applyFont="1" applyAlignment="1">
      <alignment vertical="center"/>
    </xf>
    <xf numFmtId="0" fontId="41" fillId="7" borderId="9" xfId="0" applyFont="1" applyFill="1" applyBorder="1" applyAlignment="1">
      <alignment vertical="center"/>
    </xf>
    <xf numFmtId="0" fontId="41" fillId="7" borderId="10" xfId="0" applyFont="1" applyFill="1" applyBorder="1" applyAlignment="1">
      <alignment vertical="center"/>
    </xf>
    <xf numFmtId="0" fontId="43" fillId="0" borderId="0" xfId="0" applyFont="1" applyAlignment="1">
      <alignment vertical="center"/>
    </xf>
    <xf numFmtId="0" fontId="38" fillId="0" borderId="0" xfId="0" applyFont="1"/>
    <xf numFmtId="0" fontId="28" fillId="4" borderId="11" xfId="0" applyFont="1" applyFill="1" applyBorder="1" applyAlignment="1">
      <alignment horizontal="right" vertical="top"/>
    </xf>
    <xf numFmtId="0" fontId="28" fillId="4" borderId="5" xfId="0" applyFont="1" applyFill="1" applyBorder="1"/>
    <xf numFmtId="0" fontId="38" fillId="0" borderId="5" xfId="0" applyFont="1" applyBorder="1"/>
    <xf numFmtId="0" fontId="38" fillId="0" borderId="11" xfId="0" applyFont="1" applyBorder="1"/>
    <xf numFmtId="0" fontId="38" fillId="0" borderId="12" xfId="0" applyFont="1" applyBorder="1"/>
    <xf numFmtId="0" fontId="26" fillId="0" borderId="11" xfId="0" applyFont="1" applyBorder="1"/>
    <xf numFmtId="0" fontId="28" fillId="0" borderId="5" xfId="0" applyFont="1" applyBorder="1"/>
    <xf numFmtId="0" fontId="26" fillId="0" borderId="5" xfId="0" applyFont="1" applyBorder="1"/>
    <xf numFmtId="0" fontId="26" fillId="0" borderId="12" xfId="0" applyFont="1" applyBorder="1"/>
    <xf numFmtId="0" fontId="0" fillId="0" borderId="13" xfId="0" applyBorder="1"/>
    <xf numFmtId="0" fontId="0" fillId="0" borderId="14" xfId="0" applyBorder="1"/>
    <xf numFmtId="0" fontId="0" fillId="0" borderId="15" xfId="0" applyBorder="1"/>
    <xf numFmtId="0" fontId="1" fillId="0" borderId="0" xfId="0" applyFont="1"/>
    <xf numFmtId="0" fontId="0" fillId="0" borderId="5" xfId="0" applyBorder="1"/>
    <xf numFmtId="0" fontId="44" fillId="13" borderId="16" xfId="0" applyFont="1" applyFill="1" applyBorder="1" applyAlignment="1">
      <alignment vertical="center"/>
    </xf>
    <xf numFmtId="0" fontId="44" fillId="13" borderId="17" xfId="0" applyFont="1" applyFill="1" applyBorder="1" applyAlignment="1">
      <alignment vertical="center"/>
    </xf>
    <xf numFmtId="0" fontId="44" fillId="0" borderId="5" xfId="0" applyFont="1" applyBorder="1" applyAlignment="1">
      <alignment vertical="center"/>
    </xf>
    <xf numFmtId="0" fontId="1" fillId="0" borderId="0" xfId="0" applyFont="1" applyAlignment="1">
      <alignment vertical="center"/>
    </xf>
    <xf numFmtId="0" fontId="0" fillId="0" borderId="0" xfId="0" applyAlignment="1">
      <alignment vertical="center"/>
    </xf>
    <xf numFmtId="0" fontId="0" fillId="0" borderId="5" xfId="0" applyBorder="1" applyAlignment="1">
      <alignment vertical="center"/>
    </xf>
    <xf numFmtId="0" fontId="8" fillId="0" borderId="0" xfId="0" applyFont="1"/>
    <xf numFmtId="0" fontId="11" fillId="0" borderId="5" xfId="0" applyFont="1" applyBorder="1"/>
    <xf numFmtId="0" fontId="14" fillId="7" borderId="0" xfId="0" applyFont="1" applyFill="1" applyAlignment="1">
      <alignment vertical="center"/>
    </xf>
    <xf numFmtId="0" fontId="46" fillId="9" borderId="35" xfId="0" applyFont="1" applyFill="1" applyBorder="1" applyAlignment="1">
      <alignment horizontal="center" vertical="center" wrapText="1"/>
    </xf>
    <xf numFmtId="0" fontId="46" fillId="9" borderId="36" xfId="0" applyFont="1" applyFill="1" applyBorder="1" applyAlignment="1">
      <alignment horizontal="center" vertical="center" wrapText="1"/>
    </xf>
    <xf numFmtId="0" fontId="46" fillId="9" borderId="37" xfId="0" applyFont="1" applyFill="1" applyBorder="1" applyAlignment="1">
      <alignment horizontal="center" vertical="center" wrapText="1"/>
    </xf>
    <xf numFmtId="0" fontId="1" fillId="0" borderId="32" xfId="0" applyFont="1" applyBorder="1" applyAlignment="1">
      <alignment vertical="top" wrapText="1"/>
    </xf>
    <xf numFmtId="0" fontId="1" fillId="0" borderId="33" xfId="0" applyFont="1" applyBorder="1" applyAlignment="1">
      <alignment vertical="top" wrapText="1"/>
    </xf>
    <xf numFmtId="0" fontId="1" fillId="0" borderId="34" xfId="0" applyFont="1" applyBorder="1" applyAlignment="1">
      <alignment vertical="top" wrapText="1"/>
    </xf>
    <xf numFmtId="0" fontId="1" fillId="0" borderId="26" xfId="0" applyFont="1" applyBorder="1" applyAlignment="1">
      <alignment vertical="top" wrapText="1"/>
    </xf>
    <xf numFmtId="0" fontId="1" fillId="0" borderId="27" xfId="0" applyFont="1" applyBorder="1" applyAlignment="1">
      <alignment vertical="top" wrapText="1"/>
    </xf>
    <xf numFmtId="0" fontId="1" fillId="0" borderId="28" xfId="0" applyFont="1" applyBorder="1" applyAlignment="1">
      <alignment vertical="top" wrapText="1"/>
    </xf>
    <xf numFmtId="0" fontId="1" fillId="0" borderId="29" xfId="0" applyFont="1" applyBorder="1" applyAlignment="1">
      <alignment vertical="top" wrapText="1"/>
    </xf>
    <xf numFmtId="0" fontId="1" fillId="0" borderId="30" xfId="0" applyFont="1" applyBorder="1" applyAlignment="1">
      <alignment vertical="top" wrapText="1"/>
    </xf>
    <xf numFmtId="0" fontId="0" fillId="0" borderId="31" xfId="0" applyBorder="1" applyAlignment="1">
      <alignment vertical="top" wrapText="1"/>
    </xf>
    <xf numFmtId="0" fontId="46" fillId="9" borderId="35" xfId="0" applyFont="1" applyFill="1" applyBorder="1" applyAlignment="1">
      <alignment horizontal="center" vertical="center"/>
    </xf>
    <xf numFmtId="0" fontId="46" fillId="9" borderId="48" xfId="0" applyFont="1" applyFill="1" applyBorder="1" applyAlignment="1">
      <alignment horizontal="center" vertical="center"/>
    </xf>
    <xf numFmtId="0" fontId="0" fillId="17" borderId="18" xfId="0" applyFill="1" applyBorder="1"/>
    <xf numFmtId="0" fontId="0" fillId="0" borderId="47" xfId="0" applyBorder="1"/>
    <xf numFmtId="0" fontId="0" fillId="0" borderId="41" xfId="0" applyBorder="1"/>
    <xf numFmtId="0" fontId="0" fillId="0" borderId="44" xfId="0" applyBorder="1"/>
    <xf numFmtId="0" fontId="47" fillId="0" borderId="0" xfId="0" applyFont="1"/>
    <xf numFmtId="0" fontId="45" fillId="0" borderId="0" xfId="0" applyFont="1"/>
    <xf numFmtId="0" fontId="48" fillId="0" borderId="0" xfId="0" applyFont="1"/>
    <xf numFmtId="0" fontId="49" fillId="4" borderId="0" xfId="0" applyFont="1" applyFill="1"/>
    <xf numFmtId="0" fontId="51" fillId="0" borderId="0" xfId="0" applyFont="1"/>
    <xf numFmtId="0" fontId="52" fillId="0" borderId="0" xfId="0" applyFont="1"/>
    <xf numFmtId="0" fontId="41" fillId="0" borderId="0" xfId="0" applyFont="1" applyAlignment="1">
      <alignment horizontal="center" vertical="center" wrapText="1"/>
    </xf>
    <xf numFmtId="0" fontId="43" fillId="0" borderId="0" xfId="0" applyFont="1" applyAlignment="1">
      <alignment horizontal="center" vertical="center" wrapText="1"/>
    </xf>
    <xf numFmtId="0" fontId="54" fillId="0" borderId="0" xfId="0" applyFont="1" applyAlignment="1">
      <alignment horizontal="center" vertical="center" wrapText="1"/>
    </xf>
    <xf numFmtId="0" fontId="54" fillId="9" borderId="7" xfId="0" applyFont="1" applyFill="1" applyBorder="1" applyAlignment="1">
      <alignment horizontal="center" vertical="center" wrapText="1"/>
    </xf>
    <xf numFmtId="0" fontId="48" fillId="0" borderId="0" xfId="0" applyFont="1" applyAlignment="1">
      <alignment wrapText="1"/>
    </xf>
    <xf numFmtId="0" fontId="47" fillId="0" borderId="0" xfId="0" applyFont="1" applyAlignment="1">
      <alignment horizontal="center" vertical="center" wrapText="1"/>
    </xf>
    <xf numFmtId="0" fontId="45" fillId="0" borderId="0" xfId="0" applyFont="1" applyAlignment="1">
      <alignment horizontal="center" vertical="center" wrapText="1"/>
    </xf>
    <xf numFmtId="0" fontId="48" fillId="0" borderId="49" xfId="0" applyFont="1" applyBorder="1" applyAlignment="1">
      <alignment horizontal="left" vertical="top"/>
    </xf>
    <xf numFmtId="0" fontId="47" fillId="0" borderId="33" xfId="0" applyFont="1" applyBorder="1" applyAlignment="1">
      <alignment wrapText="1"/>
    </xf>
    <xf numFmtId="0" fontId="48" fillId="0" borderId="50" xfId="0" applyFont="1" applyBorder="1"/>
    <xf numFmtId="0" fontId="45" fillId="0" borderId="27" xfId="0" applyFont="1" applyBorder="1" applyAlignment="1">
      <alignment wrapText="1"/>
    </xf>
    <xf numFmtId="0" fontId="47" fillId="0" borderId="27" xfId="0" applyFont="1" applyBorder="1" applyAlignment="1">
      <alignment wrapText="1"/>
    </xf>
    <xf numFmtId="0" fontId="47" fillId="0" borderId="27" xfId="0" applyFont="1" applyBorder="1"/>
    <xf numFmtId="0" fontId="47" fillId="4" borderId="27" xfId="0" applyFont="1" applyFill="1" applyBorder="1" applyAlignment="1">
      <alignment wrapText="1"/>
    </xf>
    <xf numFmtId="0" fontId="48" fillId="0" borderId="32" xfId="0" applyFont="1" applyBorder="1"/>
    <xf numFmtId="0" fontId="48" fillId="0" borderId="26" xfId="0" applyFont="1" applyBorder="1" applyAlignment="1">
      <alignment wrapText="1"/>
    </xf>
    <xf numFmtId="0" fontId="48" fillId="0" borderId="51" xfId="0" applyFont="1" applyBorder="1" applyAlignment="1">
      <alignment wrapText="1"/>
    </xf>
    <xf numFmtId="0" fontId="48" fillId="0" borderId="52" xfId="0" applyFont="1" applyBorder="1"/>
    <xf numFmtId="0" fontId="47" fillId="0" borderId="30" xfId="0" applyFont="1" applyBorder="1" applyAlignment="1">
      <alignment wrapText="1"/>
    </xf>
    <xf numFmtId="0" fontId="47" fillId="4" borderId="0" xfId="0" applyFont="1" applyFill="1"/>
    <xf numFmtId="0" fontId="48" fillId="4" borderId="5" xfId="0" applyFont="1" applyFill="1" applyBorder="1"/>
    <xf numFmtId="0" fontId="47" fillId="4" borderId="5" xfId="0" applyFont="1" applyFill="1" applyBorder="1"/>
    <xf numFmtId="0" fontId="48" fillId="4" borderId="3" xfId="0" applyFont="1" applyFill="1" applyBorder="1"/>
    <xf numFmtId="0" fontId="47" fillId="0" borderId="24" xfId="0" applyFont="1" applyBorder="1" applyAlignment="1">
      <alignment vertical="top" wrapText="1"/>
    </xf>
    <xf numFmtId="0" fontId="47" fillId="0" borderId="27" xfId="0" applyFont="1" applyBorder="1" applyAlignment="1">
      <alignment vertical="top" wrapText="1"/>
    </xf>
    <xf numFmtId="0" fontId="47" fillId="4" borderId="27" xfId="0" applyFont="1" applyFill="1" applyBorder="1" applyAlignment="1">
      <alignment vertical="top" wrapText="1"/>
    </xf>
    <xf numFmtId="0" fontId="48" fillId="10" borderId="27" xfId="0" applyFont="1" applyFill="1" applyBorder="1" applyAlignment="1">
      <alignment vertical="top" wrapText="1"/>
    </xf>
    <xf numFmtId="0" fontId="47" fillId="10" borderId="27" xfId="0" applyFont="1" applyFill="1" applyBorder="1" applyAlignment="1">
      <alignment vertical="top" wrapText="1"/>
    </xf>
    <xf numFmtId="0" fontId="45" fillId="0" borderId="27" xfId="0" applyFont="1" applyBorder="1" applyAlignment="1">
      <alignment vertical="top" wrapText="1"/>
    </xf>
    <xf numFmtId="4" fontId="47" fillId="0" borderId="0" xfId="0" applyNumberFormat="1" applyFont="1"/>
    <xf numFmtId="4" fontId="47" fillId="4" borderId="27" xfId="0" applyNumberFormat="1" applyFont="1" applyFill="1" applyBorder="1" applyAlignment="1">
      <alignment vertical="top" wrapText="1"/>
    </xf>
    <xf numFmtId="0" fontId="45" fillId="0" borderId="30" xfId="0" applyFont="1" applyBorder="1" applyAlignment="1">
      <alignment vertical="top" wrapText="1"/>
    </xf>
    <xf numFmtId="0" fontId="48" fillId="0" borderId="5" xfId="0" applyFont="1" applyBorder="1" applyAlignment="1">
      <alignment vertical="top" wrapText="1"/>
    </xf>
    <xf numFmtId="0" fontId="47" fillId="0" borderId="5" xfId="0" applyFont="1" applyBorder="1" applyAlignment="1">
      <alignment wrapText="1"/>
    </xf>
    <xf numFmtId="0" fontId="47" fillId="0" borderId="5" xfId="0" applyFont="1" applyBorder="1"/>
    <xf numFmtId="0" fontId="47" fillId="0" borderId="30" xfId="0" applyFont="1" applyBorder="1" applyAlignment="1">
      <alignment vertical="top" wrapText="1"/>
    </xf>
    <xf numFmtId="0" fontId="47" fillId="0" borderId="29" xfId="0" applyFont="1" applyBorder="1" applyAlignment="1">
      <alignment vertical="top" wrapText="1"/>
    </xf>
    <xf numFmtId="0" fontId="53" fillId="4" borderId="27" xfId="0" applyFont="1" applyFill="1" applyBorder="1" applyAlignment="1">
      <alignment vertical="top" wrapText="1"/>
    </xf>
    <xf numFmtId="0" fontId="53" fillId="4" borderId="30" xfId="0" applyFont="1" applyFill="1" applyBorder="1" applyAlignment="1">
      <alignment vertical="top" wrapText="1"/>
    </xf>
    <xf numFmtId="0" fontId="47" fillId="8" borderId="33" xfId="0" applyFont="1" applyFill="1" applyBorder="1" applyProtection="1">
      <protection locked="0"/>
    </xf>
    <xf numFmtId="0" fontId="47" fillId="8" borderId="34" xfId="0" applyFont="1" applyFill="1" applyBorder="1" applyProtection="1">
      <protection locked="0"/>
    </xf>
    <xf numFmtId="0" fontId="47" fillId="8" borderId="27" xfId="0" applyFont="1" applyFill="1" applyBorder="1" applyProtection="1">
      <protection locked="0"/>
    </xf>
    <xf numFmtId="0" fontId="47" fillId="8" borderId="28" xfId="0" applyFont="1" applyFill="1" applyBorder="1" applyProtection="1">
      <protection locked="0"/>
    </xf>
    <xf numFmtId="0" fontId="47" fillId="8" borderId="30" xfId="0" applyFont="1" applyFill="1" applyBorder="1" applyProtection="1">
      <protection locked="0"/>
    </xf>
    <xf numFmtId="0" fontId="47" fillId="8" borderId="31" xfId="0" applyFont="1" applyFill="1" applyBorder="1" applyProtection="1">
      <protection locked="0"/>
    </xf>
    <xf numFmtId="0" fontId="47" fillId="8" borderId="24" xfId="0" applyFont="1" applyFill="1" applyBorder="1" applyAlignment="1" applyProtection="1">
      <alignment vertical="top" wrapText="1"/>
      <protection locked="0"/>
    </xf>
    <xf numFmtId="0" fontId="47" fillId="8" borderId="25" xfId="0" applyFont="1" applyFill="1" applyBorder="1" applyAlignment="1" applyProtection="1">
      <alignment vertical="top" wrapText="1"/>
      <protection locked="0"/>
    </xf>
    <xf numFmtId="0" fontId="47" fillId="8" borderId="27" xfId="0" applyFont="1" applyFill="1" applyBorder="1" applyAlignment="1" applyProtection="1">
      <alignment vertical="top" wrapText="1"/>
      <protection locked="0"/>
    </xf>
    <xf numFmtId="0" fontId="47" fillId="8" borderId="28" xfId="0" applyFont="1" applyFill="1" applyBorder="1" applyAlignment="1" applyProtection="1">
      <alignment vertical="top" wrapText="1"/>
      <protection locked="0"/>
    </xf>
    <xf numFmtId="0" fontId="47" fillId="8" borderId="30" xfId="0" applyFont="1" applyFill="1" applyBorder="1" applyAlignment="1" applyProtection="1">
      <alignment vertical="top" wrapText="1"/>
      <protection locked="0"/>
    </xf>
    <xf numFmtId="0" fontId="47" fillId="8" borderId="31" xfId="0" applyFont="1" applyFill="1" applyBorder="1" applyAlignment="1" applyProtection="1">
      <alignment vertical="top" wrapText="1"/>
      <protection locked="0"/>
    </xf>
    <xf numFmtId="0" fontId="44" fillId="13" borderId="18" xfId="0" applyFont="1" applyFill="1" applyBorder="1" applyAlignment="1">
      <alignment vertical="center"/>
    </xf>
    <xf numFmtId="0" fontId="8" fillId="0" borderId="1" xfId="0" applyFont="1" applyBorder="1"/>
    <xf numFmtId="0" fontId="8" fillId="11" borderId="1" xfId="0" applyFont="1" applyFill="1" applyBorder="1"/>
    <xf numFmtId="0" fontId="12" fillId="0" borderId="0" xfId="0" applyFont="1"/>
    <xf numFmtId="0" fontId="19" fillId="0" borderId="0" xfId="0" applyFont="1"/>
    <xf numFmtId="0" fontId="1" fillId="9" borderId="76" xfId="0" applyFont="1" applyFill="1" applyBorder="1"/>
    <xf numFmtId="0" fontId="1" fillId="9" borderId="5" xfId="0" applyFont="1" applyFill="1" applyBorder="1" applyAlignment="1">
      <alignment horizontal="center" vertical="center"/>
    </xf>
    <xf numFmtId="0" fontId="1" fillId="0" borderId="77" xfId="0" applyFont="1" applyBorder="1"/>
    <xf numFmtId="0" fontId="17" fillId="0" borderId="78" xfId="0" applyFont="1" applyBorder="1"/>
    <xf numFmtId="4" fontId="1" fillId="0" borderId="0" xfId="0" applyNumberFormat="1" applyFont="1"/>
    <xf numFmtId="0" fontId="12" fillId="0" borderId="8" xfId="0" applyFont="1" applyBorder="1"/>
    <xf numFmtId="0" fontId="16" fillId="0" borderId="0" xfId="0" applyFont="1"/>
    <xf numFmtId="4" fontId="1" fillId="0" borderId="0" xfId="0" applyNumberFormat="1" applyFont="1" applyAlignment="1">
      <alignment vertical="center"/>
    </xf>
    <xf numFmtId="0" fontId="1" fillId="0" borderId="0" xfId="0" applyFont="1" applyAlignment="1">
      <alignment horizontal="center" vertical="center" wrapText="1"/>
    </xf>
    <xf numFmtId="4" fontId="1" fillId="0" borderId="0" xfId="0" applyNumberFormat="1" applyFont="1" applyAlignment="1">
      <alignment horizontal="center" vertical="center" wrapText="1"/>
    </xf>
    <xf numFmtId="0" fontId="0" fillId="0" borderId="0" xfId="0" applyAlignment="1">
      <alignment horizontal="center" vertical="center" wrapText="1"/>
    </xf>
    <xf numFmtId="0" fontId="28" fillId="9" borderId="53" xfId="0" applyFont="1" applyFill="1" applyBorder="1" applyAlignment="1">
      <alignment horizontal="center" vertical="center" wrapText="1"/>
    </xf>
    <xf numFmtId="0" fontId="28" fillId="9" borderId="54" xfId="0" applyFont="1" applyFill="1" applyBorder="1" applyAlignment="1">
      <alignment horizontal="center" vertical="center" wrapText="1"/>
    </xf>
    <xf numFmtId="0" fontId="28" fillId="9" borderId="55" xfId="0" applyFont="1" applyFill="1" applyBorder="1" applyAlignment="1">
      <alignment horizontal="center" vertical="center" wrapText="1"/>
    </xf>
    <xf numFmtId="0" fontId="58" fillId="0" borderId="56" xfId="0" applyFont="1" applyBorder="1" applyAlignment="1">
      <alignment horizontal="left" vertical="top" wrapText="1"/>
    </xf>
    <xf numFmtId="0" fontId="58" fillId="0" borderId="57" xfId="0" applyFont="1" applyBorder="1" applyAlignment="1">
      <alignment horizontal="left" vertical="top" wrapText="1"/>
    </xf>
    <xf numFmtId="0" fontId="59" fillId="4" borderId="56" xfId="0" applyFont="1" applyFill="1" applyBorder="1" applyAlignment="1">
      <alignment horizontal="left" vertical="top" wrapText="1"/>
    </xf>
    <xf numFmtId="0" fontId="59" fillId="4" borderId="57" xfId="0" applyFont="1" applyFill="1" applyBorder="1" applyAlignment="1">
      <alignment horizontal="left" vertical="top" wrapText="1"/>
    </xf>
    <xf numFmtId="0" fontId="59" fillId="4" borderId="59" xfId="0" applyFont="1" applyFill="1" applyBorder="1" applyAlignment="1">
      <alignment horizontal="left" vertical="top" wrapText="1"/>
    </xf>
    <xf numFmtId="0" fontId="59" fillId="4" borderId="60" xfId="0" applyFont="1" applyFill="1" applyBorder="1" applyAlignment="1">
      <alignment horizontal="left" vertical="top" wrapText="1"/>
    </xf>
    <xf numFmtId="0" fontId="8" fillId="0" borderId="0" xfId="0" applyFont="1" applyAlignment="1">
      <alignment wrapText="1"/>
    </xf>
    <xf numFmtId="0" fontId="24" fillId="9" borderId="56" xfId="0" applyFont="1" applyFill="1" applyBorder="1" applyAlignment="1">
      <alignment horizontal="center" vertical="center" wrapText="1"/>
    </xf>
    <xf numFmtId="0" fontId="24" fillId="9" borderId="57" xfId="0" applyFont="1" applyFill="1" applyBorder="1" applyAlignment="1">
      <alignment horizontal="center" vertical="center" wrapText="1"/>
    </xf>
    <xf numFmtId="0" fontId="24" fillId="9" borderId="58" xfId="0" applyFont="1" applyFill="1" applyBorder="1" applyAlignment="1">
      <alignment horizontal="center" vertical="center" wrapText="1"/>
    </xf>
    <xf numFmtId="0" fontId="16" fillId="0" borderId="16" xfId="0" applyFont="1"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57" fillId="0" borderId="0" xfId="0" applyFont="1" applyAlignment="1">
      <alignment horizontal="center" vertical="center" wrapText="1"/>
    </xf>
    <xf numFmtId="4" fontId="24" fillId="0" borderId="0" xfId="0" applyNumberFormat="1" applyFont="1" applyAlignment="1">
      <alignment horizontal="center" vertical="center" wrapText="1"/>
    </xf>
    <xf numFmtId="0" fontId="24" fillId="9" borderId="53" xfId="0" applyFont="1" applyFill="1" applyBorder="1" applyAlignment="1">
      <alignment horizontal="center" vertical="center" wrapText="1"/>
    </xf>
    <xf numFmtId="0" fontId="24" fillId="9" borderId="54" xfId="0" applyFont="1" applyFill="1" applyBorder="1" applyAlignment="1">
      <alignment horizontal="center" vertical="center" wrapText="1"/>
    </xf>
    <xf numFmtId="0" fontId="24" fillId="9" borderId="55" xfId="0" applyFont="1" applyFill="1" applyBorder="1" applyAlignment="1">
      <alignment horizontal="center" vertical="center" wrapText="1"/>
    </xf>
    <xf numFmtId="0" fontId="17" fillId="12" borderId="56" xfId="0" applyFont="1" applyFill="1" applyBorder="1" applyAlignment="1">
      <alignment horizontal="center" vertical="center" wrapText="1"/>
    </xf>
    <xf numFmtId="0" fontId="17" fillId="12" borderId="57" xfId="0" applyFont="1" applyFill="1" applyBorder="1" applyAlignment="1">
      <alignment horizontal="center" vertical="center" wrapText="1"/>
    </xf>
    <xf numFmtId="0" fontId="17" fillId="12" borderId="58" xfId="0" applyFont="1" applyFill="1" applyBorder="1" applyAlignment="1">
      <alignment horizontal="center" vertical="center" wrapText="1"/>
    </xf>
    <xf numFmtId="0" fontId="1" fillId="0" borderId="56" xfId="0" applyFont="1" applyBorder="1" applyAlignment="1">
      <alignment vertical="top" wrapText="1"/>
    </xf>
    <xf numFmtId="0" fontId="1" fillId="0" borderId="57" xfId="0" applyFont="1" applyBorder="1" applyAlignment="1">
      <alignment vertical="top" wrapText="1"/>
    </xf>
    <xf numFmtId="0" fontId="17" fillId="0" borderId="59" xfId="0" applyFont="1" applyBorder="1" applyAlignment="1">
      <alignment vertical="top" wrapText="1"/>
    </xf>
    <xf numFmtId="0" fontId="17" fillId="0" borderId="60" xfId="0" applyFont="1" applyBorder="1" applyAlignment="1">
      <alignment vertical="top" wrapText="1"/>
    </xf>
    <xf numFmtId="4" fontId="28" fillId="9" borderId="56" xfId="0" applyNumberFormat="1" applyFont="1" applyFill="1" applyBorder="1" applyAlignment="1">
      <alignment wrapText="1"/>
    </xf>
    <xf numFmtId="4" fontId="28" fillId="9" borderId="57" xfId="0" applyNumberFormat="1" applyFont="1" applyFill="1" applyBorder="1" applyAlignment="1">
      <alignment wrapText="1"/>
    </xf>
    <xf numFmtId="4" fontId="28" fillId="9" borderId="58" xfId="0" applyNumberFormat="1" applyFont="1" applyFill="1" applyBorder="1" applyAlignment="1">
      <alignment wrapText="1"/>
    </xf>
    <xf numFmtId="0" fontId="22" fillId="8" borderId="5" xfId="0" applyFont="1" applyFill="1" applyBorder="1" applyAlignment="1" applyProtection="1">
      <alignment horizontal="center" vertical="center"/>
      <protection locked="0"/>
    </xf>
    <xf numFmtId="0" fontId="1" fillId="8" borderId="5" xfId="0" applyFont="1" applyFill="1" applyBorder="1" applyProtection="1">
      <protection locked="0"/>
    </xf>
    <xf numFmtId="0" fontId="1" fillId="8" borderId="5" xfId="0" applyFont="1" applyFill="1" applyBorder="1" applyAlignment="1" applyProtection="1">
      <alignment horizontal="center" vertical="center"/>
      <protection locked="0"/>
    </xf>
    <xf numFmtId="3" fontId="21" fillId="8" borderId="57" xfId="0" applyNumberFormat="1" applyFont="1" applyFill="1" applyBorder="1" applyAlignment="1" applyProtection="1">
      <alignment vertical="top" wrapText="1"/>
      <protection locked="0"/>
    </xf>
    <xf numFmtId="3" fontId="21" fillId="8" borderId="58" xfId="0" applyNumberFormat="1" applyFont="1" applyFill="1" applyBorder="1" applyAlignment="1" applyProtection="1">
      <alignment vertical="top" wrapText="1"/>
      <protection locked="0"/>
    </xf>
    <xf numFmtId="0" fontId="1" fillId="8" borderId="57" xfId="0" applyFont="1" applyFill="1" applyBorder="1" applyAlignment="1" applyProtection="1">
      <alignment vertical="top" wrapText="1"/>
      <protection locked="0"/>
    </xf>
    <xf numFmtId="0" fontId="1" fillId="8" borderId="58" xfId="0" applyFont="1" applyFill="1" applyBorder="1" applyAlignment="1" applyProtection="1">
      <alignment vertical="top" wrapText="1"/>
      <protection locked="0"/>
    </xf>
    <xf numFmtId="0" fontId="1" fillId="8" borderId="60" xfId="0" applyFont="1" applyFill="1" applyBorder="1" applyAlignment="1" applyProtection="1">
      <alignment vertical="top" wrapText="1"/>
      <protection locked="0"/>
    </xf>
    <xf numFmtId="0" fontId="1" fillId="8" borderId="61" xfId="0" applyFont="1" applyFill="1" applyBorder="1" applyAlignment="1" applyProtection="1">
      <alignment vertical="top" wrapText="1"/>
      <protection locked="0"/>
    </xf>
    <xf numFmtId="0" fontId="8" fillId="11" borderId="6" xfId="0" applyFont="1" applyFill="1" applyBorder="1"/>
    <xf numFmtId="0" fontId="1" fillId="0" borderId="0" xfId="0" applyFont="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4" fontId="1" fillId="0" borderId="5" xfId="0" applyNumberFormat="1" applyFont="1" applyBorder="1"/>
    <xf numFmtId="4" fontId="8" fillId="0" borderId="0" xfId="0" applyNumberFormat="1" applyFont="1"/>
    <xf numFmtId="0" fontId="1" fillId="0" borderId="0" xfId="0" applyFont="1" applyAlignment="1">
      <alignment wrapText="1"/>
    </xf>
    <xf numFmtId="0" fontId="10" fillId="0" borderId="0" xfId="0" applyFont="1" applyAlignment="1">
      <alignment wrapText="1"/>
    </xf>
    <xf numFmtId="0" fontId="10" fillId="8" borderId="7" xfId="0" applyFont="1" applyFill="1" applyBorder="1" applyProtection="1">
      <protection locked="0"/>
    </xf>
    <xf numFmtId="0" fontId="54" fillId="9" borderId="35" xfId="0" applyFont="1" applyFill="1" applyBorder="1" applyAlignment="1">
      <alignment horizontal="center" vertical="center" wrapText="1"/>
    </xf>
    <xf numFmtId="0" fontId="54" fillId="9" borderId="36" xfId="0" applyFont="1" applyFill="1" applyBorder="1" applyAlignment="1">
      <alignment horizontal="center" vertical="center" wrapText="1"/>
    </xf>
    <xf numFmtId="0" fontId="54" fillId="9" borderId="37" xfId="0" applyFont="1" applyFill="1" applyBorder="1" applyAlignment="1">
      <alignment horizontal="center" vertical="center" wrapText="1"/>
    </xf>
    <xf numFmtId="0" fontId="1" fillId="0" borderId="56" xfId="0" applyFont="1" applyBorder="1"/>
    <xf numFmtId="0" fontId="1" fillId="0" borderId="57" xfId="0" applyFont="1" applyBorder="1"/>
    <xf numFmtId="0" fontId="1" fillId="0" borderId="58" xfId="0" applyFont="1" applyBorder="1"/>
    <xf numFmtId="0" fontId="1" fillId="0" borderId="61" xfId="0" applyFont="1" applyBorder="1"/>
    <xf numFmtId="0" fontId="18" fillId="0" borderId="0" xfId="0" applyFont="1"/>
    <xf numFmtId="0" fontId="1" fillId="0" borderId="32" xfId="0" applyFont="1" applyBorder="1"/>
    <xf numFmtId="0" fontId="1" fillId="0" borderId="33" xfId="0" applyFont="1" applyBorder="1"/>
    <xf numFmtId="0" fontId="0" fillId="0" borderId="33" xfId="0" applyBorder="1"/>
    <xf numFmtId="0" fontId="1" fillId="0" borderId="45" xfId="0" applyFont="1" applyBorder="1"/>
    <xf numFmtId="0" fontId="1" fillId="0" borderId="53" xfId="0" applyFont="1" applyBorder="1"/>
    <xf numFmtId="0" fontId="1" fillId="0" borderId="54" xfId="0" applyFont="1" applyBorder="1"/>
    <xf numFmtId="0" fontId="1" fillId="0" borderId="55" xfId="0" applyFont="1" applyBorder="1"/>
    <xf numFmtId="0" fontId="1" fillId="0" borderId="26" xfId="0" applyFont="1" applyBorder="1"/>
    <xf numFmtId="0" fontId="1" fillId="0" borderId="27" xfId="0" applyFont="1" applyBorder="1"/>
    <xf numFmtId="0" fontId="0" fillId="0" borderId="27" xfId="0" applyBorder="1"/>
    <xf numFmtId="0" fontId="1" fillId="0" borderId="40" xfId="0" applyFont="1" applyBorder="1"/>
    <xf numFmtId="0" fontId="0" fillId="0" borderId="29" xfId="0" applyBorder="1"/>
    <xf numFmtId="0" fontId="0" fillId="0" borderId="30" xfId="0" applyBorder="1"/>
    <xf numFmtId="0" fontId="1" fillId="0" borderId="30" xfId="0" applyFont="1" applyBorder="1"/>
    <xf numFmtId="0" fontId="1" fillId="0" borderId="42" xfId="0" applyFont="1" applyBorder="1"/>
    <xf numFmtId="0" fontId="0" fillId="0" borderId="57" xfId="0" applyBorder="1"/>
    <xf numFmtId="0" fontId="0" fillId="0" borderId="56" xfId="0" applyBorder="1"/>
    <xf numFmtId="0" fontId="0" fillId="0" borderId="59" xfId="0" applyBorder="1"/>
    <xf numFmtId="0" fontId="0" fillId="0" borderId="60" xfId="0" applyBorder="1"/>
    <xf numFmtId="0" fontId="28" fillId="8" borderId="19" xfId="0" applyFont="1" applyFill="1" applyBorder="1" applyAlignment="1" applyProtection="1">
      <alignment horizontal="center" vertical="center"/>
      <protection locked="0"/>
    </xf>
    <xf numFmtId="0" fontId="22" fillId="8" borderId="5" xfId="0" applyFont="1" applyFill="1" applyBorder="1" applyAlignment="1" applyProtection="1">
      <alignment horizontal="center" vertical="center" wrapText="1"/>
      <protection locked="0"/>
    </xf>
    <xf numFmtId="0" fontId="1" fillId="9" borderId="8" xfId="0" applyFont="1" applyFill="1" applyBorder="1"/>
    <xf numFmtId="0" fontId="1" fillId="9" borderId="11" xfId="0" applyFont="1" applyFill="1" applyBorder="1"/>
    <xf numFmtId="0" fontId="1" fillId="0" borderId="11" xfId="0" applyFont="1" applyBorder="1"/>
    <xf numFmtId="0" fontId="17" fillId="0" borderId="13" xfId="0" applyFont="1" applyBorder="1"/>
    <xf numFmtId="0" fontId="21" fillId="8" borderId="79" xfId="0" applyFont="1" applyFill="1" applyBorder="1" applyProtection="1">
      <protection locked="0"/>
    </xf>
    <xf numFmtId="0" fontId="1" fillId="8" borderId="80" xfId="0" applyFont="1" applyFill="1" applyBorder="1" applyProtection="1">
      <protection locked="0"/>
    </xf>
    <xf numFmtId="0" fontId="1" fillId="8" borderId="81" xfId="0" applyFont="1" applyFill="1" applyBorder="1" applyProtection="1">
      <protection locked="0"/>
    </xf>
    <xf numFmtId="0" fontId="1" fillId="9" borderId="82" xfId="0" applyFont="1" applyFill="1" applyBorder="1" applyAlignment="1">
      <alignment horizontal="center" vertical="center"/>
    </xf>
    <xf numFmtId="0" fontId="22" fillId="8" borderId="83" xfId="0" applyFont="1" applyFill="1" applyBorder="1" applyAlignment="1" applyProtection="1">
      <alignment horizontal="center" vertical="center" wrapText="1"/>
      <protection locked="0"/>
    </xf>
    <xf numFmtId="0" fontId="1" fillId="8" borderId="82" xfId="0" applyFont="1" applyFill="1" applyBorder="1" applyAlignment="1" applyProtection="1">
      <alignment horizontal="center" vertical="center"/>
      <protection locked="0"/>
    </xf>
    <xf numFmtId="0" fontId="22" fillId="8" borderId="83" xfId="0" applyFont="1" applyFill="1" applyBorder="1" applyAlignment="1" applyProtection="1">
      <alignment horizontal="center" vertical="center"/>
      <protection locked="0"/>
    </xf>
    <xf numFmtId="3" fontId="21" fillId="8" borderId="82" xfId="0" applyNumberFormat="1" applyFont="1" applyFill="1" applyBorder="1" applyProtection="1">
      <protection locked="0"/>
    </xf>
    <xf numFmtId="0" fontId="1" fillId="8" borderId="83" xfId="0" applyFont="1" applyFill="1" applyBorder="1" applyProtection="1">
      <protection locked="0"/>
    </xf>
    <xf numFmtId="0" fontId="1" fillId="8" borderId="82" xfId="0" applyFont="1" applyFill="1" applyBorder="1" applyProtection="1">
      <protection locked="0"/>
    </xf>
    <xf numFmtId="0" fontId="1" fillId="8" borderId="84" xfId="0" applyFont="1" applyFill="1" applyBorder="1" applyProtection="1">
      <protection locked="0"/>
    </xf>
    <xf numFmtId="0" fontId="1" fillId="8" borderId="85" xfId="0" applyFont="1" applyFill="1" applyBorder="1" applyProtection="1">
      <protection locked="0"/>
    </xf>
    <xf numFmtId="0" fontId="1" fillId="8" borderId="86" xfId="0" applyFont="1" applyFill="1" applyBorder="1" applyProtection="1">
      <protection locked="0"/>
    </xf>
    <xf numFmtId="0" fontId="0" fillId="0" borderId="82" xfId="0" applyBorder="1"/>
    <xf numFmtId="4" fontId="12" fillId="9" borderId="35" xfId="0" applyNumberFormat="1" applyFont="1" applyFill="1" applyBorder="1" applyAlignment="1">
      <alignment horizontal="center" vertical="center" wrapText="1"/>
    </xf>
    <xf numFmtId="4" fontId="12" fillId="9" borderId="36" xfId="0" applyNumberFormat="1" applyFont="1" applyFill="1" applyBorder="1" applyAlignment="1">
      <alignment horizontal="center" vertical="center" wrapText="1"/>
    </xf>
    <xf numFmtId="4" fontId="12" fillId="9" borderId="37" xfId="0" applyNumberFormat="1" applyFont="1" applyFill="1" applyBorder="1" applyAlignment="1">
      <alignment horizontal="center" vertical="center" wrapText="1"/>
    </xf>
    <xf numFmtId="0" fontId="30" fillId="14" borderId="79" xfId="0" applyFont="1" applyFill="1" applyBorder="1" applyAlignment="1">
      <alignment horizontal="center" vertical="top"/>
    </xf>
    <xf numFmtId="0" fontId="30" fillId="14" borderId="82" xfId="0" applyFont="1" applyFill="1" applyBorder="1" applyAlignment="1">
      <alignment horizontal="center" vertical="top"/>
    </xf>
    <xf numFmtId="0" fontId="30" fillId="14" borderId="84" xfId="0" applyFont="1" applyFill="1" applyBorder="1" applyAlignment="1">
      <alignment horizontal="center" vertical="top"/>
    </xf>
    <xf numFmtId="0" fontId="26" fillId="20" borderId="82" xfId="0" applyFont="1" applyFill="1" applyBorder="1" applyAlignment="1">
      <alignment horizontal="left" wrapText="1"/>
    </xf>
    <xf numFmtId="0" fontId="26" fillId="20" borderId="5" xfId="0" applyFont="1" applyFill="1" applyBorder="1" applyAlignment="1">
      <alignment horizontal="left" wrapText="1"/>
    </xf>
    <xf numFmtId="0" fontId="26" fillId="20" borderId="83" xfId="0" applyFont="1" applyFill="1" applyBorder="1" applyAlignment="1">
      <alignment horizontal="left" wrapText="1"/>
    </xf>
    <xf numFmtId="0" fontId="26" fillId="21" borderId="84" xfId="0" applyFont="1" applyFill="1" applyBorder="1" applyAlignment="1">
      <alignment horizontal="left" vertical="top" wrapText="1"/>
    </xf>
    <xf numFmtId="0" fontId="26" fillId="21" borderId="85" xfId="0" applyFont="1" applyFill="1" applyBorder="1" applyAlignment="1">
      <alignment horizontal="left" vertical="top" wrapText="1"/>
    </xf>
    <xf numFmtId="0" fontId="26" fillId="21" borderId="85" xfId="0" applyFont="1" applyFill="1" applyBorder="1" applyAlignment="1">
      <alignment horizontal="left" wrapText="1"/>
    </xf>
    <xf numFmtId="0" fontId="26" fillId="21" borderId="86" xfId="0" applyFont="1" applyFill="1" applyBorder="1" applyAlignment="1">
      <alignment horizontal="left" wrapText="1"/>
    </xf>
    <xf numFmtId="0" fontId="3" fillId="4" borderId="5" xfId="0" applyFont="1" applyFill="1" applyBorder="1"/>
    <xf numFmtId="0" fontId="1" fillId="9" borderId="5" xfId="0" applyFont="1" applyFill="1" applyBorder="1" applyAlignment="1">
      <alignment horizontal="center" vertical="center" wrapText="1"/>
    </xf>
    <xf numFmtId="0" fontId="58" fillId="8" borderId="57" xfId="0" applyFont="1" applyFill="1" applyBorder="1" applyAlignment="1" applyProtection="1">
      <alignment horizontal="left" vertical="top" wrapText="1"/>
      <protection locked="0"/>
    </xf>
    <xf numFmtId="9" fontId="58" fillId="8" borderId="57" xfId="0" applyNumberFormat="1" applyFont="1" applyFill="1" applyBorder="1" applyAlignment="1" applyProtection="1">
      <alignment horizontal="left" vertical="top" wrapText="1"/>
      <protection locked="0"/>
    </xf>
    <xf numFmtId="0" fontId="58" fillId="8" borderId="58" xfId="0" applyFont="1" applyFill="1" applyBorder="1" applyAlignment="1" applyProtection="1">
      <alignment horizontal="left" vertical="top" wrapText="1"/>
      <protection locked="0"/>
    </xf>
    <xf numFmtId="0" fontId="12" fillId="0" borderId="0" xfId="0" applyFont="1" applyAlignment="1">
      <alignment horizontal="left" wrapText="1"/>
    </xf>
    <xf numFmtId="0" fontId="48" fillId="0" borderId="11" xfId="0" applyFont="1" applyBorder="1"/>
    <xf numFmtId="0" fontId="48" fillId="0" borderId="97" xfId="0" applyFont="1" applyBorder="1"/>
    <xf numFmtId="0" fontId="47" fillId="8" borderId="98" xfId="0" applyFont="1" applyFill="1" applyBorder="1" applyProtection="1">
      <protection locked="0"/>
    </xf>
    <xf numFmtId="0" fontId="47" fillId="0" borderId="99" xfId="0" applyFont="1" applyBorder="1" applyAlignment="1">
      <alignment wrapText="1"/>
    </xf>
    <xf numFmtId="0" fontId="47" fillId="8" borderId="100" xfId="0" applyFont="1" applyFill="1" applyBorder="1" applyProtection="1">
      <protection locked="0"/>
    </xf>
    <xf numFmtId="0" fontId="61" fillId="8" borderId="98" xfId="0" applyFont="1" applyFill="1" applyBorder="1" applyAlignment="1" applyProtection="1">
      <alignment horizontal="center"/>
      <protection locked="0"/>
    </xf>
    <xf numFmtId="0" fontId="8" fillId="14" borderId="11" xfId="0" applyFont="1" applyFill="1" applyBorder="1" applyAlignment="1">
      <alignment vertical="center"/>
    </xf>
    <xf numFmtId="0" fontId="8" fillId="14" borderId="5" xfId="0" applyFont="1" applyFill="1" applyBorder="1" applyAlignment="1">
      <alignment vertical="center" wrapText="1"/>
    </xf>
    <xf numFmtId="0" fontId="8" fillId="14" borderId="12" xfId="0" applyFont="1" applyFill="1" applyBorder="1" applyAlignment="1">
      <alignment vertical="center" wrapText="1"/>
    </xf>
    <xf numFmtId="0" fontId="8" fillId="14" borderId="11" xfId="0" applyFont="1" applyFill="1" applyBorder="1" applyAlignment="1">
      <alignment horizontal="center" vertical="top" wrapText="1"/>
    </xf>
    <xf numFmtId="0" fontId="3" fillId="0" borderId="0" xfId="0" applyFont="1"/>
    <xf numFmtId="0" fontId="12" fillId="0" borderId="0" xfId="0" applyFont="1" applyAlignment="1">
      <alignment vertical="center"/>
    </xf>
    <xf numFmtId="0" fontId="6" fillId="3" borderId="16" xfId="0" applyFont="1" applyFill="1" applyBorder="1" applyAlignment="1">
      <alignment vertical="center"/>
    </xf>
    <xf numFmtId="0" fontId="12" fillId="3" borderId="17" xfId="0" applyFont="1" applyFill="1" applyBorder="1" applyAlignment="1">
      <alignment vertical="center"/>
    </xf>
    <xf numFmtId="0" fontId="12" fillId="3" borderId="18" xfId="0" applyFont="1" applyFill="1" applyBorder="1" applyAlignment="1">
      <alignment vertical="center"/>
    </xf>
    <xf numFmtId="0" fontId="3" fillId="0" borderId="11" xfId="0" applyFont="1" applyBorder="1"/>
    <xf numFmtId="0" fontId="3" fillId="0" borderId="5" xfId="0" applyFont="1" applyBorder="1"/>
    <xf numFmtId="0" fontId="3" fillId="0" borderId="12" xfId="0" applyFont="1" applyBorder="1"/>
    <xf numFmtId="0" fontId="8" fillId="4" borderId="5" xfId="0" applyFont="1" applyFill="1" applyBorder="1"/>
    <xf numFmtId="0" fontId="8" fillId="4" borderId="12" xfId="0" applyFont="1" applyFill="1" applyBorder="1"/>
    <xf numFmtId="0" fontId="3" fillId="4" borderId="11" xfId="0" applyFont="1" applyFill="1" applyBorder="1" applyAlignment="1">
      <alignment horizontal="right" vertical="top"/>
    </xf>
    <xf numFmtId="0" fontId="5" fillId="0" borderId="12" xfId="0" applyFont="1" applyBorder="1"/>
    <xf numFmtId="0" fontId="3" fillId="4" borderId="11" xfId="0" applyFont="1" applyFill="1" applyBorder="1" applyAlignment="1">
      <alignment vertical="top"/>
    </xf>
    <xf numFmtId="0" fontId="22" fillId="4" borderId="5" xfId="0" applyFont="1" applyFill="1" applyBorder="1"/>
    <xf numFmtId="49" fontId="23" fillId="8" borderId="19" xfId="0" applyNumberFormat="1" applyFont="1" applyFill="1" applyBorder="1" applyAlignment="1" applyProtection="1">
      <alignment horizontal="center" vertical="center"/>
      <protection locked="0"/>
    </xf>
    <xf numFmtId="49" fontId="3" fillId="4" borderId="5" xfId="0" applyNumberFormat="1" applyFont="1" applyFill="1" applyBorder="1" applyAlignment="1">
      <alignment vertical="top"/>
    </xf>
    <xf numFmtId="49" fontId="3" fillId="4" borderId="12" xfId="0" applyNumberFormat="1" applyFont="1" applyFill="1" applyBorder="1" applyAlignment="1">
      <alignment vertical="top"/>
    </xf>
    <xf numFmtId="49" fontId="3" fillId="8" borderId="19" xfId="0" applyNumberFormat="1" applyFont="1" applyFill="1" applyBorder="1" applyAlignment="1" applyProtection="1">
      <alignment vertical="top"/>
      <protection locked="0"/>
    </xf>
    <xf numFmtId="0" fontId="3" fillId="4" borderId="5" xfId="0" applyFont="1" applyFill="1" applyBorder="1" applyAlignment="1">
      <alignment vertical="top"/>
    </xf>
    <xf numFmtId="0" fontId="6" fillId="0" borderId="0" xfId="0" applyFont="1" applyAlignment="1">
      <alignment vertical="center"/>
    </xf>
    <xf numFmtId="0" fontId="3" fillId="7" borderId="0" xfId="0" applyFont="1" applyFill="1" applyAlignment="1">
      <alignment vertical="center"/>
    </xf>
    <xf numFmtId="0" fontId="3" fillId="4" borderId="4" xfId="0" applyFont="1" applyFill="1" applyBorder="1"/>
    <xf numFmtId="0" fontId="5" fillId="18" borderId="0" xfId="0" applyFont="1" applyFill="1" applyAlignment="1">
      <alignment vertical="center"/>
    </xf>
    <xf numFmtId="4" fontId="3" fillId="0" borderId="0" xfId="0" applyNumberFormat="1" applyFont="1"/>
    <xf numFmtId="4" fontId="3" fillId="0" borderId="102" xfId="0" applyNumberFormat="1" applyFont="1" applyBorder="1"/>
    <xf numFmtId="0" fontId="3" fillId="8" borderId="57" xfId="0" applyFont="1" applyFill="1" applyBorder="1" applyAlignment="1" applyProtection="1">
      <alignment horizontal="left" vertical="top" wrapText="1"/>
      <protection locked="0"/>
    </xf>
    <xf numFmtId="0" fontId="3" fillId="0" borderId="103" xfId="0" applyFont="1" applyBorder="1"/>
    <xf numFmtId="0" fontId="3" fillId="0" borderId="101" xfId="0" applyFont="1" applyBorder="1"/>
    <xf numFmtId="0" fontId="3" fillId="0" borderId="9" xfId="0" applyFont="1" applyBorder="1"/>
    <xf numFmtId="0" fontId="3" fillId="0" borderId="10" xfId="0" applyFont="1" applyBorder="1"/>
    <xf numFmtId="0" fontId="12" fillId="9" borderId="71" xfId="0" applyFont="1" applyFill="1" applyBorder="1" applyAlignment="1">
      <alignment horizontal="center" vertical="center" wrapText="1"/>
    </xf>
    <xf numFmtId="0" fontId="12" fillId="9" borderId="72" xfId="0" applyFont="1" applyFill="1" applyBorder="1" applyAlignment="1">
      <alignment horizontal="center" vertical="center" wrapText="1"/>
    </xf>
    <xf numFmtId="0" fontId="12" fillId="9" borderId="73" xfId="0" applyFont="1" applyFill="1" applyBorder="1" applyAlignment="1">
      <alignment horizontal="center" vertical="center" wrapText="1"/>
    </xf>
    <xf numFmtId="0" fontId="3" fillId="0" borderId="68" xfId="0" applyFont="1" applyBorder="1"/>
    <xf numFmtId="0" fontId="3" fillId="8" borderId="69" xfId="0" applyFont="1" applyFill="1" applyBorder="1" applyProtection="1">
      <protection locked="0"/>
    </xf>
    <xf numFmtId="0" fontId="3" fillId="8" borderId="70" xfId="0" applyFont="1" applyFill="1" applyBorder="1" applyProtection="1">
      <protection locked="0"/>
    </xf>
    <xf numFmtId="0" fontId="3" fillId="0" borderId="62" xfId="0" applyFont="1" applyBorder="1"/>
    <xf numFmtId="0" fontId="3" fillId="8" borderId="63" xfId="0" applyFont="1" applyFill="1" applyBorder="1" applyProtection="1">
      <protection locked="0"/>
    </xf>
    <xf numFmtId="0" fontId="3" fillId="8" borderId="64" xfId="0" applyFont="1" applyFill="1" applyBorder="1" applyProtection="1">
      <protection locked="0"/>
    </xf>
    <xf numFmtId="0" fontId="3" fillId="0" borderId="65" xfId="0" applyFont="1" applyBorder="1"/>
    <xf numFmtId="0" fontId="3" fillId="8" borderId="66" xfId="0" applyFont="1" applyFill="1" applyBorder="1" applyProtection="1">
      <protection locked="0"/>
    </xf>
    <xf numFmtId="0" fontId="3" fillId="8" borderId="67" xfId="0" applyFont="1" applyFill="1" applyBorder="1" applyProtection="1">
      <protection locked="0"/>
    </xf>
    <xf numFmtId="0" fontId="3" fillId="0" borderId="0" xfId="0" applyFont="1" applyAlignment="1">
      <alignment vertical="center"/>
    </xf>
    <xf numFmtId="0" fontId="3" fillId="8" borderId="58" xfId="0" applyFont="1" applyFill="1" applyBorder="1" applyAlignment="1" applyProtection="1">
      <alignment horizontal="left" vertical="top" wrapText="1"/>
      <protection locked="0"/>
    </xf>
    <xf numFmtId="0" fontId="3" fillId="8" borderId="60" xfId="0" applyFont="1" applyFill="1" applyBorder="1" applyAlignment="1" applyProtection="1">
      <alignment horizontal="left" vertical="top" wrapText="1"/>
      <protection locked="0"/>
    </xf>
    <xf numFmtId="0" fontId="3" fillId="8" borderId="61" xfId="0" applyFont="1" applyFill="1" applyBorder="1" applyAlignment="1" applyProtection="1">
      <alignment horizontal="left" vertical="top" wrapText="1"/>
      <protection locked="0"/>
    </xf>
    <xf numFmtId="0" fontId="3" fillId="0" borderId="59" xfId="0" applyFont="1" applyBorder="1" applyAlignment="1">
      <alignment wrapText="1"/>
    </xf>
    <xf numFmtId="0" fontId="3" fillId="8" borderId="60" xfId="0" applyFont="1" applyFill="1" applyBorder="1" applyAlignment="1" applyProtection="1">
      <alignment wrapText="1"/>
      <protection locked="0"/>
    </xf>
    <xf numFmtId="0" fontId="3" fillId="8" borderId="61" xfId="0" applyFont="1" applyFill="1" applyBorder="1" applyAlignment="1" applyProtection="1">
      <alignment wrapText="1"/>
      <protection locked="0"/>
    </xf>
    <xf numFmtId="0" fontId="3" fillId="8" borderId="57" xfId="0" applyFont="1" applyFill="1" applyBorder="1" applyAlignment="1" applyProtection="1">
      <alignment wrapText="1"/>
      <protection locked="0"/>
    </xf>
    <xf numFmtId="0" fontId="3" fillId="8" borderId="58" xfId="0" applyFont="1" applyFill="1" applyBorder="1" applyAlignment="1" applyProtection="1">
      <alignment wrapText="1"/>
      <protection locked="0"/>
    </xf>
    <xf numFmtId="0" fontId="6" fillId="3" borderId="18" xfId="0" applyFont="1" applyFill="1" applyBorder="1" applyAlignment="1">
      <alignment vertical="center"/>
    </xf>
    <xf numFmtId="0" fontId="6" fillId="0" borderId="5" xfId="0" applyFont="1" applyBorder="1" applyAlignment="1">
      <alignment vertical="center"/>
    </xf>
    <xf numFmtId="0" fontId="3" fillId="0" borderId="5" xfId="0" applyFont="1" applyBorder="1" applyAlignment="1">
      <alignment vertical="center"/>
    </xf>
    <xf numFmtId="0" fontId="3" fillId="4" borderId="0" xfId="0" applyFont="1" applyFill="1"/>
    <xf numFmtId="0" fontId="12" fillId="9" borderId="87" xfId="0" applyFont="1" applyFill="1" applyBorder="1" applyAlignment="1">
      <alignment horizontal="center" vertical="center" wrapText="1"/>
    </xf>
    <xf numFmtId="0" fontId="12" fillId="9" borderId="88" xfId="0" applyFont="1" applyFill="1" applyBorder="1" applyAlignment="1">
      <alignment horizontal="center" vertical="center" wrapText="1"/>
    </xf>
    <xf numFmtId="0" fontId="12" fillId="9" borderId="89" xfId="0" applyFont="1" applyFill="1" applyBorder="1" applyAlignment="1">
      <alignment horizontal="center" vertical="center" wrapText="1"/>
    </xf>
    <xf numFmtId="0" fontId="3" fillId="0" borderId="90" xfId="0" applyFont="1" applyBorder="1"/>
    <xf numFmtId="0" fontId="3" fillId="8" borderId="91" xfId="0" applyFont="1" applyFill="1" applyBorder="1" applyProtection="1">
      <protection locked="0"/>
    </xf>
    <xf numFmtId="0" fontId="3" fillId="0" borderId="92" xfId="0" applyFont="1" applyBorder="1"/>
    <xf numFmtId="0" fontId="3" fillId="8" borderId="93" xfId="0" applyFont="1" applyFill="1" applyBorder="1" applyProtection="1">
      <protection locked="0"/>
    </xf>
    <xf numFmtId="0" fontId="3" fillId="0" borderId="94" xfId="0" applyFont="1" applyBorder="1"/>
    <xf numFmtId="0" fontId="3" fillId="8" borderId="96" xfId="0" applyFont="1" applyFill="1" applyBorder="1" applyProtection="1">
      <protection locked="0"/>
    </xf>
    <xf numFmtId="0" fontId="3" fillId="0" borderId="53" xfId="0" applyFont="1" applyBorder="1"/>
    <xf numFmtId="4" fontId="3" fillId="8" borderId="54" xfId="0" applyNumberFormat="1" applyFont="1" applyFill="1" applyBorder="1" applyProtection="1">
      <protection locked="0"/>
    </xf>
    <xf numFmtId="0" fontId="3" fillId="8" borderId="55" xfId="0" applyFont="1" applyFill="1" applyBorder="1" applyProtection="1">
      <protection locked="0"/>
    </xf>
    <xf numFmtId="0" fontId="3" fillId="0" borderId="56" xfId="0" applyFont="1" applyBorder="1"/>
    <xf numFmtId="4" fontId="3" fillId="8" borderId="57" xfId="0" applyNumberFormat="1" applyFont="1" applyFill="1" applyBorder="1" applyProtection="1">
      <protection locked="0"/>
    </xf>
    <xf numFmtId="0" fontId="3" fillId="8" borderId="58" xfId="0" applyFont="1" applyFill="1" applyBorder="1" applyProtection="1">
      <protection locked="0"/>
    </xf>
    <xf numFmtId="0" fontId="3" fillId="8" borderId="57" xfId="0" applyFont="1" applyFill="1" applyBorder="1" applyProtection="1">
      <protection locked="0"/>
    </xf>
    <xf numFmtId="0" fontId="3" fillId="0" borderId="59" xfId="0" applyFont="1" applyBorder="1"/>
    <xf numFmtId="0" fontId="3" fillId="8" borderId="60" xfId="0" applyFont="1" applyFill="1" applyBorder="1" applyProtection="1">
      <protection locked="0"/>
    </xf>
    <xf numFmtId="0" fontId="3" fillId="8" borderId="61" xfId="0" applyFont="1" applyFill="1" applyBorder="1" applyProtection="1">
      <protection locked="0"/>
    </xf>
    <xf numFmtId="0" fontId="3" fillId="9" borderId="17" xfId="0" applyFont="1" applyFill="1" applyBorder="1"/>
    <xf numFmtId="0" fontId="3" fillId="0" borderId="32" xfId="0" applyFont="1" applyBorder="1"/>
    <xf numFmtId="0" fontId="3" fillId="0" borderId="45" xfId="0" applyFont="1" applyBorder="1"/>
    <xf numFmtId="0" fontId="3" fillId="0" borderId="46" xfId="0" applyFont="1" applyBorder="1"/>
    <xf numFmtId="0" fontId="3" fillId="0" borderId="26" xfId="0" applyFont="1" applyBorder="1"/>
    <xf numFmtId="0" fontId="3" fillId="0" borderId="40" xfId="0" applyFont="1" applyBorder="1"/>
    <xf numFmtId="0" fontId="3" fillId="0" borderId="20" xfId="0" applyFont="1" applyBorder="1"/>
    <xf numFmtId="0" fontId="3" fillId="0" borderId="29" xfId="0" applyFont="1" applyBorder="1"/>
    <xf numFmtId="0" fontId="3" fillId="0" borderId="42" xfId="0" applyFont="1" applyBorder="1"/>
    <xf numFmtId="0" fontId="3" fillId="0" borderId="43" xfId="0" applyFont="1" applyBorder="1"/>
    <xf numFmtId="0" fontId="47" fillId="8" borderId="28" xfId="0" applyFont="1" applyFill="1" applyBorder="1" applyAlignment="1" applyProtection="1">
      <alignment wrapText="1"/>
      <protection locked="0"/>
    </xf>
    <xf numFmtId="20" fontId="3" fillId="8" borderId="57" xfId="0" applyNumberFormat="1" applyFont="1" applyFill="1" applyBorder="1" applyAlignment="1" applyProtection="1">
      <alignment horizontal="left" vertical="top" wrapText="1"/>
      <protection locked="0"/>
    </xf>
    <xf numFmtId="0" fontId="0" fillId="8" borderId="28" xfId="0" applyFill="1" applyBorder="1" applyAlignment="1" applyProtection="1">
      <alignment vertical="top" wrapText="1"/>
      <protection locked="0"/>
    </xf>
    <xf numFmtId="16" fontId="47" fillId="8" borderId="27" xfId="0" applyNumberFormat="1" applyFont="1" applyFill="1" applyBorder="1" applyAlignment="1" applyProtection="1">
      <alignment vertical="top" wrapText="1"/>
      <protection locked="0"/>
    </xf>
    <xf numFmtId="9" fontId="3" fillId="8" borderId="63" xfId="0" applyNumberFormat="1" applyFont="1" applyFill="1" applyBorder="1" applyProtection="1">
      <protection locked="0"/>
    </xf>
    <xf numFmtId="10" fontId="3" fillId="8" borderId="63" xfId="0" applyNumberFormat="1" applyFont="1" applyFill="1" applyBorder="1" applyProtection="1">
      <protection locked="0"/>
    </xf>
    <xf numFmtId="9" fontId="3" fillId="8" borderId="66" xfId="0" applyNumberFormat="1" applyFont="1" applyFill="1" applyBorder="1" applyProtection="1">
      <protection locked="0"/>
    </xf>
    <xf numFmtId="9" fontId="3" fillId="8" borderId="95" xfId="0" applyNumberFormat="1" applyFont="1" applyFill="1" applyBorder="1" applyProtection="1">
      <protection locked="0"/>
    </xf>
    <xf numFmtId="9" fontId="3" fillId="8" borderId="57" xfId="0" applyNumberFormat="1" applyFont="1" applyFill="1" applyBorder="1" applyAlignment="1" applyProtection="1">
      <alignment horizontal="left" vertical="top" wrapText="1"/>
      <protection locked="0"/>
    </xf>
    <xf numFmtId="9" fontId="3" fillId="8" borderId="60" xfId="0" applyNumberFormat="1" applyFont="1" applyFill="1" applyBorder="1" applyAlignment="1" applyProtection="1">
      <alignment horizontal="left" vertical="top" wrapText="1"/>
      <protection locked="0"/>
    </xf>
    <xf numFmtId="0" fontId="45" fillId="0" borderId="0" xfId="0" applyFont="1" applyProtection="1">
      <protection locked="0"/>
    </xf>
    <xf numFmtId="0" fontId="64" fillId="8" borderId="28" xfId="0" applyFont="1" applyFill="1" applyBorder="1" applyProtection="1">
      <protection locked="0"/>
    </xf>
    <xf numFmtId="0" fontId="4" fillId="3" borderId="8" xfId="0" applyFont="1" applyFill="1" applyBorder="1" applyAlignment="1">
      <alignment horizontal="center" vertical="center" wrapText="1"/>
    </xf>
    <xf numFmtId="0" fontId="5" fillId="0" borderId="9" xfId="0" applyFont="1" applyBorder="1"/>
    <xf numFmtId="0" fontId="5" fillId="0" borderId="10" xfId="0" applyFont="1" applyBorder="1"/>
    <xf numFmtId="0" fontId="6" fillId="3" borderId="13" xfId="0" applyFont="1" applyFill="1" applyBorder="1" applyAlignment="1">
      <alignment horizontal="center" vertical="center" wrapText="1"/>
    </xf>
    <xf numFmtId="0" fontId="5" fillId="0" borderId="14" xfId="0" applyFont="1" applyBorder="1"/>
    <xf numFmtId="0" fontId="5" fillId="0" borderId="15" xfId="0" applyFont="1" applyBorder="1"/>
    <xf numFmtId="0" fontId="62" fillId="15" borderId="11" xfId="0" applyFont="1" applyFill="1" applyBorder="1" applyAlignment="1">
      <alignment horizontal="left" vertical="top" wrapText="1"/>
    </xf>
    <xf numFmtId="0" fontId="62" fillId="15" borderId="5" xfId="0" applyFont="1" applyFill="1" applyBorder="1" applyAlignment="1">
      <alignment horizontal="left" vertical="top" wrapText="1"/>
    </xf>
    <xf numFmtId="0" fontId="62" fillId="15" borderId="12" xfId="0" applyFont="1" applyFill="1" applyBorder="1" applyAlignment="1">
      <alignment horizontal="left" vertical="top" wrapText="1"/>
    </xf>
    <xf numFmtId="0" fontId="62" fillId="15" borderId="13" xfId="0" applyFont="1" applyFill="1" applyBorder="1" applyAlignment="1">
      <alignment horizontal="left" vertical="top" wrapText="1"/>
    </xf>
    <xf numFmtId="0" fontId="62" fillId="15" borderId="14" xfId="0" applyFont="1" applyFill="1" applyBorder="1" applyAlignment="1">
      <alignment horizontal="left" vertical="top" wrapText="1"/>
    </xf>
    <xf numFmtId="0" fontId="62" fillId="15" borderId="15" xfId="0" applyFont="1" applyFill="1" applyBorder="1" applyAlignment="1">
      <alignment horizontal="left" vertical="top" wrapText="1"/>
    </xf>
    <xf numFmtId="0" fontId="34" fillId="3" borderId="8" xfId="0" applyFont="1" applyFill="1" applyBorder="1" applyAlignment="1">
      <alignment horizontal="center" vertical="center" wrapText="1"/>
    </xf>
    <xf numFmtId="0" fontId="35" fillId="0" borderId="9" xfId="0" applyFont="1" applyBorder="1" applyAlignment="1">
      <alignment vertical="center"/>
    </xf>
    <xf numFmtId="0" fontId="35" fillId="0" borderId="10" xfId="0" applyFont="1" applyBorder="1" applyAlignment="1">
      <alignment vertical="center"/>
    </xf>
    <xf numFmtId="0" fontId="36" fillId="0" borderId="14" xfId="0" applyFont="1" applyBorder="1" applyAlignment="1">
      <alignment vertical="center"/>
    </xf>
    <xf numFmtId="0" fontId="36" fillId="0" borderId="15" xfId="0" applyFont="1" applyBorder="1" applyAlignment="1">
      <alignment vertical="center"/>
    </xf>
    <xf numFmtId="0" fontId="6" fillId="3" borderId="16" xfId="0" applyFont="1" applyFill="1" applyBorder="1" applyAlignment="1">
      <alignment horizontal="center" vertical="center" wrapText="1"/>
    </xf>
    <xf numFmtId="0" fontId="36" fillId="0" borderId="17" xfId="0" applyFont="1" applyBorder="1" applyAlignment="1">
      <alignment vertical="center"/>
    </xf>
    <xf numFmtId="0" fontId="36" fillId="0" borderId="18" xfId="0" applyFont="1" applyBorder="1" applyAlignment="1">
      <alignment vertical="center"/>
    </xf>
    <xf numFmtId="0" fontId="8" fillId="14" borderId="11" xfId="0" applyFont="1" applyFill="1" applyBorder="1" applyAlignment="1">
      <alignment vertical="top" wrapText="1"/>
    </xf>
    <xf numFmtId="0" fontId="25" fillId="15" borderId="5" xfId="0" applyFont="1" applyFill="1" applyBorder="1"/>
    <xf numFmtId="0" fontId="25" fillId="15" borderId="12" xfId="0" applyFont="1" applyFill="1" applyBorder="1"/>
    <xf numFmtId="0" fontId="31" fillId="5" borderId="9" xfId="0" applyFont="1" applyFill="1" applyBorder="1" applyAlignment="1">
      <alignment vertical="top" wrapText="1"/>
    </xf>
    <xf numFmtId="0" fontId="32" fillId="0" borderId="9" xfId="0" applyFont="1" applyBorder="1"/>
    <xf numFmtId="0" fontId="32" fillId="0" borderId="10" xfId="0" applyFont="1" applyBorder="1"/>
    <xf numFmtId="0" fontId="33" fillId="14" borderId="5" xfId="0" applyFont="1" applyFill="1" applyBorder="1" applyAlignment="1">
      <alignment vertical="top"/>
    </xf>
    <xf numFmtId="0" fontId="32" fillId="15" borderId="5" xfId="0" applyFont="1" applyFill="1" applyBorder="1"/>
    <xf numFmtId="0" fontId="32" fillId="15" borderId="83" xfId="0" applyFont="1" applyFill="1" applyBorder="1"/>
    <xf numFmtId="0" fontId="29" fillId="14" borderId="5" xfId="0" applyFont="1" applyFill="1" applyBorder="1" applyAlignment="1">
      <alignment vertical="top" wrapText="1"/>
    </xf>
    <xf numFmtId="0" fontId="57" fillId="9" borderId="5" xfId="0" applyFont="1" applyFill="1" applyBorder="1" applyAlignment="1">
      <alignment horizontal="left" vertical="top" wrapText="1"/>
    </xf>
    <xf numFmtId="0" fontId="6" fillId="3" borderId="8" xfId="0" applyFont="1" applyFill="1" applyBorder="1" applyAlignment="1">
      <alignment horizontal="center" vertical="center" wrapText="1"/>
    </xf>
    <xf numFmtId="0" fontId="36" fillId="0" borderId="9" xfId="0" applyFont="1" applyBorder="1"/>
    <xf numFmtId="0" fontId="36" fillId="0" borderId="10" xfId="0" applyFont="1" applyBorder="1"/>
    <xf numFmtId="0" fontId="26" fillId="21" borderId="79" xfId="0" applyFont="1" applyFill="1" applyBorder="1" applyAlignment="1">
      <alignment horizontal="left" wrapText="1"/>
    </xf>
    <xf numFmtId="0" fontId="26" fillId="21" borderId="80" xfId="0" applyFont="1" applyFill="1" applyBorder="1" applyAlignment="1">
      <alignment horizontal="left" wrapText="1"/>
    </xf>
    <xf numFmtId="0" fontId="26" fillId="21" borderId="81" xfId="0" applyFont="1" applyFill="1" applyBorder="1" applyAlignment="1">
      <alignment horizontal="left" wrapText="1"/>
    </xf>
    <xf numFmtId="0" fontId="33" fillId="14" borderId="85" xfId="0" applyFont="1" applyFill="1" applyBorder="1" applyAlignment="1">
      <alignment vertical="top"/>
    </xf>
    <xf numFmtId="0" fontId="32" fillId="15" borderId="85" xfId="0" applyFont="1" applyFill="1" applyBorder="1"/>
    <xf numFmtId="0" fontId="32" fillId="15" borderId="86" xfId="0" applyFont="1" applyFill="1" applyBorder="1"/>
    <xf numFmtId="0" fontId="31" fillId="6" borderId="5" xfId="0" applyFont="1" applyFill="1" applyBorder="1" applyAlignment="1">
      <alignment vertical="top" wrapText="1"/>
    </xf>
    <xf numFmtId="0" fontId="32" fillId="0" borderId="5" xfId="0" applyFont="1" applyBorder="1"/>
    <xf numFmtId="0" fontId="32" fillId="0" borderId="12" xfId="0" applyFont="1" applyBorder="1"/>
    <xf numFmtId="0" fontId="33" fillId="4" borderId="5" xfId="0" applyFont="1" applyFill="1" applyBorder="1" applyAlignment="1">
      <alignment vertical="top" wrapText="1"/>
    </xf>
    <xf numFmtId="0" fontId="30" fillId="4" borderId="14" xfId="0" applyFont="1" applyFill="1" applyBorder="1" applyAlignment="1">
      <alignment vertical="top" wrapText="1"/>
    </xf>
    <xf numFmtId="0" fontId="32" fillId="0" borderId="14" xfId="0" applyFont="1" applyBorder="1"/>
    <xf numFmtId="0" fontId="32" fillId="0" borderId="15" xfId="0" applyFont="1" applyBorder="1"/>
    <xf numFmtId="0" fontId="33" fillId="14" borderId="80" xfId="0" applyFont="1" applyFill="1" applyBorder="1" applyAlignment="1">
      <alignment vertical="top" wrapText="1"/>
    </xf>
    <xf numFmtId="0" fontId="32" fillId="15" borderId="80" xfId="0" applyFont="1" applyFill="1" applyBorder="1"/>
    <xf numFmtId="0" fontId="32" fillId="15" borderId="81" xfId="0" applyFont="1" applyFill="1" applyBorder="1"/>
    <xf numFmtId="0" fontId="42" fillId="7" borderId="8" xfId="0" applyFont="1" applyFill="1" applyBorder="1" applyAlignment="1">
      <alignment vertical="center"/>
    </xf>
    <xf numFmtId="0" fontId="43" fillId="0" borderId="9" xfId="0" applyFont="1" applyBorder="1" applyAlignment="1">
      <alignment vertical="center"/>
    </xf>
    <xf numFmtId="49" fontId="3" fillId="8" borderId="21" xfId="0" applyNumberFormat="1" applyFont="1" applyFill="1" applyBorder="1" applyAlignment="1" applyProtection="1">
      <alignment horizontal="center" vertical="top"/>
      <protection locked="0"/>
    </xf>
    <xf numFmtId="49" fontId="3" fillId="8" borderId="22" xfId="0" applyNumberFormat="1" applyFont="1" applyFill="1" applyBorder="1" applyAlignment="1" applyProtection="1">
      <alignment horizontal="center" vertical="top"/>
      <protection locked="0"/>
    </xf>
    <xf numFmtId="49" fontId="3" fillId="8" borderId="23" xfId="0" applyNumberFormat="1" applyFont="1" applyFill="1" applyBorder="1" applyAlignment="1" applyProtection="1">
      <alignment horizontal="center" vertical="top"/>
      <protection locked="0"/>
    </xf>
    <xf numFmtId="0" fontId="3" fillId="4" borderId="5" xfId="0" applyFont="1" applyFill="1" applyBorder="1"/>
    <xf numFmtId="0" fontId="5" fillId="0" borderId="5" xfId="0" applyFont="1" applyBorder="1"/>
    <xf numFmtId="0" fontId="31" fillId="8" borderId="5" xfId="0" applyFont="1" applyFill="1" applyBorder="1" applyAlignment="1" applyProtection="1">
      <alignment horizontal="left" vertical="center"/>
      <protection locked="0"/>
    </xf>
    <xf numFmtId="0" fontId="39" fillId="0" borderId="5" xfId="0" applyFont="1" applyBorder="1" applyAlignment="1">
      <alignment wrapText="1"/>
    </xf>
    <xf numFmtId="0" fontId="38" fillId="0" borderId="5" xfId="0" applyFont="1" applyBorder="1" applyAlignment="1">
      <alignment wrapText="1"/>
    </xf>
    <xf numFmtId="0" fontId="38" fillId="0" borderId="12" xfId="0" applyFont="1" applyBorder="1" applyAlignment="1">
      <alignment wrapText="1"/>
    </xf>
    <xf numFmtId="0" fontId="3" fillId="0" borderId="5" xfId="0" applyFont="1" applyBorder="1" applyAlignment="1">
      <alignment vertical="top" wrapText="1"/>
    </xf>
    <xf numFmtId="0" fontId="12" fillId="4" borderId="5" xfId="0" applyFont="1" applyFill="1" applyBorder="1" applyAlignment="1">
      <alignment vertical="top" wrapText="1"/>
    </xf>
    <xf numFmtId="0" fontId="38" fillId="0" borderId="5" xfId="0" applyFont="1" applyBorder="1"/>
    <xf numFmtId="0" fontId="12" fillId="0" borderId="5" xfId="0" applyFont="1" applyBorder="1" applyAlignment="1">
      <alignment vertical="top" wrapText="1"/>
    </xf>
    <xf numFmtId="0" fontId="42" fillId="7" borderId="0" xfId="0" applyFont="1" applyFill="1" applyAlignment="1">
      <alignment vertical="center"/>
    </xf>
    <xf numFmtId="0" fontId="43" fillId="0" borderId="0" xfId="0" applyFont="1" applyAlignment="1">
      <alignment vertical="center"/>
    </xf>
    <xf numFmtId="0" fontId="56" fillId="18" borderId="0" xfId="0" applyFont="1" applyFill="1" applyAlignment="1">
      <alignment vertical="center"/>
    </xf>
    <xf numFmtId="0" fontId="55" fillId="19" borderId="0" xfId="0" applyFont="1" applyFill="1" applyAlignment="1">
      <alignment vertical="center"/>
    </xf>
    <xf numFmtId="0" fontId="3" fillId="11" borderId="1" xfId="0" applyFont="1" applyFill="1" applyBorder="1" applyAlignment="1">
      <alignment horizontal="left" wrapText="1"/>
    </xf>
    <xf numFmtId="0" fontId="3" fillId="11" borderId="2" xfId="0" applyFont="1" applyFill="1" applyBorder="1" applyAlignment="1">
      <alignment horizontal="left" wrapText="1"/>
    </xf>
    <xf numFmtId="0" fontId="13" fillId="0" borderId="53" xfId="0" applyFont="1" applyBorder="1" applyAlignment="1">
      <alignment horizontal="left" vertical="top" wrapText="1"/>
    </xf>
    <xf numFmtId="0" fontId="13" fillId="0" borderId="54" xfId="0" applyFont="1" applyBorder="1" applyAlignment="1">
      <alignment horizontal="left" vertical="top" wrapText="1"/>
    </xf>
    <xf numFmtId="0" fontId="13" fillId="0" borderId="55" xfId="0" applyFont="1" applyBorder="1" applyAlignment="1">
      <alignment horizontal="left" vertical="top" wrapText="1"/>
    </xf>
    <xf numFmtId="0" fontId="23" fillId="0" borderId="16" xfId="0" applyFont="1" applyBorder="1" applyAlignment="1">
      <alignment horizontal="left" vertical="center"/>
    </xf>
    <xf numFmtId="0" fontId="23" fillId="0" borderId="17" xfId="0" applyFont="1" applyBorder="1" applyAlignment="1">
      <alignment horizontal="left" vertical="center"/>
    </xf>
    <xf numFmtId="0" fontId="23" fillId="0" borderId="18" xfId="0" applyFont="1" applyBorder="1" applyAlignment="1">
      <alignment horizontal="left" vertical="center"/>
    </xf>
    <xf numFmtId="0" fontId="3" fillId="0" borderId="56" xfId="0" applyFont="1" applyBorder="1" applyAlignment="1">
      <alignment horizontal="left" vertical="top" wrapText="1"/>
    </xf>
    <xf numFmtId="0" fontId="0" fillId="0" borderId="56" xfId="0" applyBorder="1" applyAlignment="1">
      <alignment horizontal="left" vertical="top"/>
    </xf>
    <xf numFmtId="0" fontId="0" fillId="0" borderId="59" xfId="0" applyBorder="1" applyAlignment="1">
      <alignment horizontal="left" vertical="top"/>
    </xf>
    <xf numFmtId="0" fontId="20" fillId="0" borderId="0" xfId="0" applyFont="1" applyAlignment="1">
      <alignment horizontal="left"/>
    </xf>
    <xf numFmtId="0" fontId="0" fillId="0" borderId="0" xfId="0"/>
    <xf numFmtId="0" fontId="12" fillId="0" borderId="0" xfId="0" applyFont="1" applyAlignment="1">
      <alignment wrapText="1"/>
    </xf>
    <xf numFmtId="0" fontId="0" fillId="0" borderId="0" xfId="0" applyAlignment="1">
      <alignment wrapText="1"/>
    </xf>
    <xf numFmtId="0" fontId="3" fillId="8" borderId="11" xfId="0" applyFont="1" applyFill="1" applyBorder="1" applyProtection="1">
      <protection locked="0"/>
    </xf>
    <xf numFmtId="0" fontId="5" fillId="0" borderId="5" xfId="0" applyFont="1" applyBorder="1" applyProtection="1">
      <protection locked="0"/>
    </xf>
    <xf numFmtId="0" fontId="5" fillId="0" borderId="12" xfId="0" applyFont="1" applyBorder="1" applyProtection="1">
      <protection locked="0"/>
    </xf>
    <xf numFmtId="0" fontId="5" fillId="0" borderId="11" xfId="0" applyFont="1" applyBorder="1" applyProtection="1">
      <protection locked="0"/>
    </xf>
    <xf numFmtId="0" fontId="0" fillId="0" borderId="5" xfId="0" applyBorder="1" applyProtection="1">
      <protection locked="0"/>
    </xf>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0" fontId="8" fillId="0" borderId="0" xfId="0" applyFont="1" applyAlignment="1">
      <alignment wrapText="1"/>
    </xf>
    <xf numFmtId="0" fontId="3" fillId="8" borderId="0" xfId="0" applyFont="1" applyFill="1" applyProtection="1">
      <protection locked="0"/>
    </xf>
    <xf numFmtId="0" fontId="0" fillId="0" borderId="0" xfId="0" applyProtection="1">
      <protection locked="0"/>
    </xf>
    <xf numFmtId="0" fontId="16" fillId="0" borderId="53" xfId="0" applyFont="1" applyBorder="1" applyAlignment="1">
      <alignment horizontal="left" vertical="top" wrapText="1"/>
    </xf>
    <xf numFmtId="0" fontId="16" fillId="0" borderId="54" xfId="0" applyFont="1" applyBorder="1" applyAlignment="1">
      <alignment horizontal="left" vertical="top" wrapText="1"/>
    </xf>
    <xf numFmtId="0" fontId="16" fillId="0" borderId="55" xfId="0" applyFont="1" applyBorder="1" applyAlignment="1">
      <alignment horizontal="left" vertical="top" wrapText="1"/>
    </xf>
    <xf numFmtId="0" fontId="12" fillId="0" borderId="0" xfId="0" applyFont="1" applyAlignment="1">
      <alignment horizontal="left" wrapText="1"/>
    </xf>
    <xf numFmtId="0" fontId="54" fillId="8" borderId="1" xfId="0" applyFont="1" applyFill="1" applyBorder="1" applyAlignment="1" applyProtection="1">
      <alignment vertical="center"/>
      <protection locked="0"/>
    </xf>
    <xf numFmtId="0" fontId="55" fillId="0" borderId="1" xfId="0" applyFont="1" applyBorder="1" applyAlignment="1" applyProtection="1">
      <alignment vertical="center"/>
      <protection locked="0"/>
    </xf>
    <xf numFmtId="0" fontId="55" fillId="0" borderId="2" xfId="0" applyFont="1" applyBorder="1" applyAlignment="1" applyProtection="1">
      <alignment vertical="center"/>
      <protection locked="0"/>
    </xf>
    <xf numFmtId="0" fontId="54" fillId="9" borderId="7" xfId="0" applyFont="1" applyFill="1" applyBorder="1" applyAlignment="1">
      <alignment horizontal="center" vertical="center" wrapText="1"/>
    </xf>
    <xf numFmtId="0" fontId="55" fillId="0" borderId="7" xfId="0" applyFont="1" applyBorder="1" applyAlignment="1">
      <alignment horizontal="center" vertical="center" wrapText="1"/>
    </xf>
    <xf numFmtId="0" fontId="48" fillId="11" borderId="27" xfId="0" applyFont="1" applyFill="1" applyBorder="1" applyAlignment="1">
      <alignment wrapText="1"/>
    </xf>
    <xf numFmtId="0" fontId="50" fillId="0" borderId="27" xfId="0" applyFont="1" applyBorder="1"/>
    <xf numFmtId="0" fontId="60" fillId="0" borderId="26" xfId="0" applyFont="1" applyBorder="1" applyAlignment="1">
      <alignment vertical="top" wrapText="1"/>
    </xf>
    <xf numFmtId="0" fontId="50" fillId="0" borderId="26" xfId="0" applyFont="1" applyBorder="1" applyAlignment="1">
      <alignment vertical="top" wrapText="1"/>
    </xf>
    <xf numFmtId="0" fontId="50" fillId="0" borderId="29" xfId="0" applyFont="1" applyBorder="1" applyAlignment="1">
      <alignment vertical="top" wrapText="1"/>
    </xf>
    <xf numFmtId="0" fontId="47" fillId="0" borderId="26" xfId="0" applyFont="1" applyBorder="1" applyAlignment="1">
      <alignment vertical="top" wrapText="1"/>
    </xf>
    <xf numFmtId="0" fontId="48" fillId="0" borderId="26" xfId="0" applyFont="1" applyBorder="1" applyAlignment="1">
      <alignment vertical="top" wrapText="1"/>
    </xf>
    <xf numFmtId="4" fontId="48" fillId="0" borderId="26" xfId="0" applyNumberFormat="1" applyFont="1" applyBorder="1" applyAlignment="1">
      <alignment vertical="top" wrapText="1"/>
    </xf>
    <xf numFmtId="0" fontId="48" fillId="0" borderId="51" xfId="0" applyFont="1" applyBorder="1" applyAlignment="1">
      <alignment horizontal="left" vertical="top" wrapText="1"/>
    </xf>
    <xf numFmtId="0" fontId="48" fillId="0" borderId="50" xfId="0" applyFont="1" applyBorder="1" applyAlignment="1">
      <alignment horizontal="left" vertical="top" wrapText="1"/>
    </xf>
    <xf numFmtId="0" fontId="48" fillId="0" borderId="32" xfId="0" applyFont="1" applyBorder="1" applyAlignment="1">
      <alignment horizontal="left" vertical="top" wrapText="1"/>
    </xf>
    <xf numFmtId="0" fontId="48" fillId="0" borderId="49" xfId="0" applyFont="1" applyBorder="1" applyAlignment="1">
      <alignment horizontal="left" vertical="top" wrapText="1"/>
    </xf>
    <xf numFmtId="0" fontId="48" fillId="11" borderId="40" xfId="0" applyFont="1" applyFill="1" applyBorder="1" applyAlignment="1">
      <alignment horizontal="left" wrapText="1"/>
    </xf>
    <xf numFmtId="0" fontId="48" fillId="11" borderId="20" xfId="0" applyFont="1" applyFill="1" applyBorder="1" applyAlignment="1">
      <alignment horizontal="left" wrapText="1"/>
    </xf>
    <xf numFmtId="0" fontId="48" fillId="11" borderId="98" xfId="0" applyFont="1" applyFill="1" applyBorder="1" applyAlignment="1">
      <alignment horizontal="left" wrapText="1"/>
    </xf>
    <xf numFmtId="0" fontId="3" fillId="9" borderId="74" xfId="0" applyFont="1" applyFill="1" applyBorder="1" applyAlignment="1">
      <alignment horizontal="left" vertical="center" wrapText="1"/>
    </xf>
    <xf numFmtId="0" fontId="38" fillId="0" borderId="38" xfId="0" applyFont="1" applyBorder="1" applyAlignment="1">
      <alignment horizontal="left" vertical="center"/>
    </xf>
    <xf numFmtId="0" fontId="38" fillId="0" borderId="39" xfId="0" applyFont="1" applyBorder="1" applyAlignment="1">
      <alignment horizontal="left" vertical="center"/>
    </xf>
    <xf numFmtId="0" fontId="3" fillId="8" borderId="75" xfId="0" applyFont="1" applyFill="1" applyBorder="1" applyProtection="1">
      <protection locked="0"/>
    </xf>
    <xf numFmtId="0" fontId="0" fillId="0" borderId="43" xfId="0" applyBorder="1" applyProtection="1">
      <protection locked="0"/>
    </xf>
    <xf numFmtId="0" fontId="0" fillId="0" borderId="44" xfId="0" applyBorder="1" applyProtection="1">
      <protection locked="0"/>
    </xf>
    <xf numFmtId="0" fontId="8" fillId="11" borderId="1" xfId="0" applyFont="1" applyFill="1" applyBorder="1" applyAlignment="1">
      <alignment horizontal="left" wrapText="1"/>
    </xf>
    <xf numFmtId="0" fontId="8" fillId="11" borderId="2" xfId="0" applyFont="1" applyFill="1" applyBorder="1" applyAlignment="1">
      <alignment horizontal="left" wrapText="1"/>
    </xf>
    <xf numFmtId="0" fontId="3" fillId="9" borderId="74" xfId="0" applyFont="1" applyFill="1" applyBorder="1" applyAlignment="1">
      <alignment horizontal="left" vertical="center"/>
    </xf>
    <xf numFmtId="0" fontId="0" fillId="0" borderId="38" xfId="0" applyBorder="1" applyAlignment="1">
      <alignment horizontal="left" vertical="center"/>
    </xf>
    <xf numFmtId="0" fontId="0" fillId="0" borderId="39" xfId="0" applyBorder="1" applyAlignment="1">
      <alignment horizontal="left" vertical="center"/>
    </xf>
    <xf numFmtId="0" fontId="10" fillId="8" borderId="16" xfId="0" applyFont="1" applyFill="1" applyBorder="1" applyAlignment="1" applyProtection="1">
      <alignment vertical="top"/>
      <protection locked="0"/>
    </xf>
    <xf numFmtId="0" fontId="5" fillId="0" borderId="17" xfId="0" applyFont="1" applyBorder="1" applyProtection="1">
      <protection locked="0"/>
    </xf>
    <xf numFmtId="0" fontId="5" fillId="0" borderId="18" xfId="0" applyFont="1" applyBorder="1" applyProtection="1">
      <protection locked="0"/>
    </xf>
    <xf numFmtId="0" fontId="3" fillId="9" borderId="16" xfId="0" applyFont="1" applyFill="1" applyBorder="1" applyAlignment="1">
      <alignment horizontal="left" vertical="top" wrapText="1"/>
    </xf>
    <xf numFmtId="0" fontId="3" fillId="9" borderId="17" xfId="0" applyFont="1" applyFill="1" applyBorder="1" applyAlignment="1">
      <alignment horizontal="left" vertical="top" wrapText="1"/>
    </xf>
    <xf numFmtId="0" fontId="3" fillId="9" borderId="18" xfId="0" applyFont="1" applyFill="1" applyBorder="1" applyAlignment="1">
      <alignment horizontal="left" vertical="top" wrapText="1"/>
    </xf>
    <xf numFmtId="0" fontId="3" fillId="8" borderId="75" xfId="0" applyFont="1" applyFill="1" applyBorder="1" applyAlignment="1" applyProtection="1">
      <alignment horizontal="left" vertical="center"/>
      <protection locked="0"/>
    </xf>
    <xf numFmtId="0" fontId="0" fillId="0" borderId="43" xfId="0" applyBorder="1" applyAlignment="1" applyProtection="1">
      <alignment horizontal="left" vertical="center"/>
      <protection locked="0"/>
    </xf>
    <xf numFmtId="0" fontId="0" fillId="0" borderId="44" xfId="0" applyBorder="1" applyAlignment="1" applyProtection="1">
      <alignment horizontal="left" vertical="center"/>
      <protection locked="0"/>
    </xf>
    <xf numFmtId="0" fontId="12" fillId="0" borderId="5" xfId="0" applyFont="1" applyBorder="1" applyAlignment="1">
      <alignment horizontal="left" vertical="top" wrapText="1"/>
    </xf>
    <xf numFmtId="0" fontId="3" fillId="8" borderId="8" xfId="0" applyFont="1" applyFill="1" applyBorder="1" applyAlignment="1" applyProtection="1">
      <alignment vertical="top"/>
      <protection locked="0"/>
    </xf>
    <xf numFmtId="0" fontId="5" fillId="0" borderId="9" xfId="0" applyFont="1" applyBorder="1" applyProtection="1">
      <protection locked="0"/>
    </xf>
    <xf numFmtId="0" fontId="5" fillId="0" borderId="10" xfId="0" applyFont="1" applyBorder="1" applyProtection="1">
      <protection locked="0"/>
    </xf>
    <xf numFmtId="0" fontId="3" fillId="0" borderId="5" xfId="0" applyFont="1" applyBorder="1" applyAlignment="1">
      <alignment horizontal="left" wrapText="1"/>
    </xf>
    <xf numFmtId="0" fontId="10" fillId="8" borderId="8" xfId="0" applyFont="1" applyFill="1" applyBorder="1" applyAlignment="1" applyProtection="1">
      <alignment vertical="top"/>
      <protection locked="0"/>
    </xf>
    <xf numFmtId="0" fontId="15" fillId="0" borderId="5" xfId="0" applyFont="1" applyBorder="1" applyAlignment="1">
      <alignment horizontal="left"/>
    </xf>
    <xf numFmtId="0" fontId="15" fillId="0" borderId="5" xfId="0" applyFont="1" applyBorder="1" applyAlignment="1">
      <alignment horizontal="left" vertical="top" wrapText="1"/>
    </xf>
    <xf numFmtId="0" fontId="3"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2CC"/>
      <color rgb="FFFFFFCC"/>
      <color rgb="FFFFFFF3"/>
      <color rgb="FFFFFF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2" dT="2024-12-03T09:41:51.50" personId="{00000000-0000-0000-0000-000000000000}" id="{CB8F3492-57B6-4F4B-861D-678F73B35296}">
    <text xml:space="preserve">We calculate our revenue on Financial year basis, not calendar year. Financial year (Apr - Mar)
</text>
  </threadedComment>
  <threadedComment ref="G34" dT="2024-12-03T09:42:13.88" personId="{00000000-0000-0000-0000-000000000000}" id="{E13C94AD-B02D-4966-AF6A-0A07A71E2794}">
    <text>By preclinical, we are stating our Discovery services only (across Chemistry + Biology)</text>
  </threadedComment>
  <threadedComment ref="G35" dT="2024-12-03T09:42:37.39" personId="{00000000-0000-0000-0000-000000000000}" id="{BD8FE079-3F90-4584-AD83-330AA7FFFFE9}">
    <text>We have no separate revenue distinguishing parameters when we are calculating our revenue. We calculate only on the basis of Discovery &amp; Development</text>
  </threadedComment>
  <threadedComment ref="J36" dT="2024-12-03T09:43:20.41" personId="{00000000-0000-0000-0000-000000000000}" id="{DB6FEAA7-E42A-4625-B12B-587993DAE315}">
    <text>It was a FFS chemistry project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EF2CB"/>
  </sheetPr>
  <dimension ref="A1:Z23"/>
  <sheetViews>
    <sheetView showGridLines="0" zoomScale="85" zoomScaleNormal="85" workbookViewId="0"/>
  </sheetViews>
  <sheetFormatPr defaultColWidth="0" defaultRowHeight="15.75" customHeight="1" x14ac:dyDescent="0.25"/>
  <cols>
    <col min="1" max="1" width="2.7265625" customWidth="1"/>
    <col min="2" max="5" width="7.54296875" customWidth="1"/>
    <col min="6" max="6" width="88.54296875" customWidth="1"/>
    <col min="7" max="7" width="7.54296875" customWidth="1"/>
    <col min="8" max="8" width="2.7265625" customWidth="1"/>
    <col min="9" max="22" width="7.54296875" hidden="1" customWidth="1"/>
    <col min="23" max="26" width="0" hidden="1" customWidth="1"/>
    <col min="27" max="16384" width="12.54296875" hidden="1"/>
  </cols>
  <sheetData>
    <row r="1" spans="1:26" ht="20.149999999999999" customHeight="1" thickBot="1" x14ac:dyDescent="0.3">
      <c r="A1" s="1"/>
      <c r="B1" s="2"/>
      <c r="C1" s="2"/>
      <c r="D1" s="2"/>
      <c r="E1" s="2"/>
      <c r="F1" s="2"/>
      <c r="G1" s="2"/>
      <c r="H1" s="3"/>
      <c r="I1" s="3"/>
      <c r="J1" s="3"/>
      <c r="K1" s="3"/>
      <c r="L1" s="3"/>
      <c r="M1" s="3"/>
      <c r="N1" s="3"/>
      <c r="O1" s="3"/>
      <c r="P1" s="3"/>
      <c r="Q1" s="3"/>
      <c r="R1" s="3"/>
      <c r="S1" s="3"/>
      <c r="T1" s="3"/>
      <c r="U1" s="3"/>
      <c r="V1" s="3"/>
      <c r="W1" s="3"/>
      <c r="X1" s="3"/>
      <c r="Y1" s="3"/>
      <c r="Z1" s="1"/>
    </row>
    <row r="2" spans="1:26" ht="39" customHeight="1" x14ac:dyDescent="0.25">
      <c r="B2" s="368" t="s">
        <v>0</v>
      </c>
      <c r="C2" s="369"/>
      <c r="D2" s="369"/>
      <c r="E2" s="369"/>
      <c r="F2" s="369"/>
      <c r="G2" s="370"/>
      <c r="H2" s="4"/>
      <c r="I2" s="4"/>
      <c r="J2" s="4"/>
      <c r="K2" s="4"/>
      <c r="L2" s="4"/>
      <c r="M2" s="4"/>
      <c r="N2" s="4"/>
      <c r="O2" s="4"/>
      <c r="P2" s="4"/>
      <c r="Q2" s="4"/>
      <c r="R2" s="4"/>
      <c r="S2" s="4"/>
      <c r="T2" s="4"/>
      <c r="U2" s="4"/>
      <c r="V2" s="4"/>
      <c r="W2" s="4"/>
      <c r="X2" s="4"/>
      <c r="Y2" s="4"/>
    </row>
    <row r="3" spans="1:26" ht="18" customHeight="1" thickBot="1" x14ac:dyDescent="0.3">
      <c r="B3" s="371" t="s">
        <v>1</v>
      </c>
      <c r="C3" s="372"/>
      <c r="D3" s="372"/>
      <c r="E3" s="372"/>
      <c r="F3" s="372"/>
      <c r="G3" s="373"/>
      <c r="H3" s="4"/>
      <c r="I3" s="4"/>
      <c r="J3" s="4"/>
      <c r="K3" s="4"/>
      <c r="L3" s="4"/>
      <c r="M3" s="4"/>
      <c r="N3" s="4"/>
      <c r="O3" s="4"/>
      <c r="P3" s="4"/>
      <c r="Q3" s="4"/>
      <c r="R3" s="4"/>
      <c r="S3" s="4"/>
      <c r="T3" s="4"/>
      <c r="U3" s="4"/>
      <c r="V3" s="4"/>
      <c r="W3" s="4"/>
      <c r="X3" s="4"/>
      <c r="Y3" s="4"/>
    </row>
    <row r="4" spans="1:26" ht="10.5" customHeight="1" x14ac:dyDescent="0.25">
      <c r="B4" s="5"/>
      <c r="C4" s="6"/>
      <c r="D4" s="6"/>
      <c r="E4" s="6"/>
      <c r="F4" s="6"/>
      <c r="G4" s="7"/>
      <c r="H4" s="4"/>
      <c r="I4" s="4"/>
      <c r="J4" s="4"/>
      <c r="K4" s="4"/>
      <c r="L4" s="4"/>
      <c r="M4" s="4"/>
      <c r="N4" s="4"/>
      <c r="O4" s="4"/>
      <c r="P4" s="4"/>
      <c r="Q4" s="4"/>
      <c r="R4" s="4"/>
      <c r="S4" s="4"/>
      <c r="T4" s="4"/>
      <c r="U4" s="4"/>
      <c r="V4" s="4"/>
      <c r="W4" s="4"/>
      <c r="X4" s="4"/>
      <c r="Y4" s="4"/>
    </row>
    <row r="5" spans="1:26" ht="409.5" customHeight="1" x14ac:dyDescent="0.25">
      <c r="B5" s="374" t="s">
        <v>2</v>
      </c>
      <c r="C5" s="375"/>
      <c r="D5" s="375"/>
      <c r="E5" s="375"/>
      <c r="F5" s="375"/>
      <c r="G5" s="376"/>
      <c r="H5" s="4"/>
      <c r="I5" s="4"/>
      <c r="J5" s="4"/>
      <c r="K5" s="4"/>
      <c r="L5" s="4"/>
      <c r="M5" s="4"/>
      <c r="N5" s="4"/>
      <c r="O5" s="4"/>
      <c r="P5" s="4"/>
      <c r="Q5" s="4"/>
      <c r="R5" s="4"/>
      <c r="S5" s="4"/>
      <c r="T5" s="4"/>
      <c r="U5" s="4"/>
      <c r="V5" s="4"/>
      <c r="W5" s="4"/>
      <c r="X5" s="4"/>
      <c r="Y5" s="4"/>
    </row>
    <row r="6" spans="1:26" ht="219.75" customHeight="1" x14ac:dyDescent="0.25">
      <c r="B6" s="374"/>
      <c r="C6" s="375"/>
      <c r="D6" s="375"/>
      <c r="E6" s="375"/>
      <c r="F6" s="375"/>
      <c r="G6" s="376"/>
      <c r="H6" s="4"/>
      <c r="I6" s="4"/>
      <c r="J6" s="4"/>
      <c r="K6" s="4"/>
      <c r="L6" s="4"/>
      <c r="M6" s="4"/>
      <c r="N6" s="4"/>
      <c r="O6" s="4"/>
      <c r="P6" s="4"/>
      <c r="Q6" s="4"/>
      <c r="R6" s="4"/>
      <c r="S6" s="4"/>
      <c r="T6" s="4"/>
      <c r="U6" s="4"/>
      <c r="V6" s="4"/>
      <c r="W6" s="4"/>
      <c r="X6" s="4"/>
      <c r="Y6" s="4"/>
    </row>
    <row r="7" spans="1:26" ht="105.75" customHeight="1" x14ac:dyDescent="0.25">
      <c r="B7" s="374"/>
      <c r="C7" s="375"/>
      <c r="D7" s="375"/>
      <c r="E7" s="375"/>
      <c r="F7" s="375"/>
      <c r="G7" s="376"/>
    </row>
    <row r="8" spans="1:26" ht="15" customHeight="1" x14ac:dyDescent="0.25">
      <c r="B8" s="374"/>
      <c r="C8" s="375"/>
      <c r="D8" s="375"/>
      <c r="E8" s="375"/>
      <c r="F8" s="375"/>
      <c r="G8" s="376"/>
    </row>
    <row r="9" spans="1:26" ht="15" customHeight="1" x14ac:dyDescent="0.25">
      <c r="B9" s="374"/>
      <c r="C9" s="375"/>
      <c r="D9" s="375"/>
      <c r="E9" s="375"/>
      <c r="F9" s="375"/>
      <c r="G9" s="376"/>
    </row>
    <row r="10" spans="1:26" ht="15" customHeight="1" x14ac:dyDescent="0.25">
      <c r="B10" s="374"/>
      <c r="C10" s="375"/>
      <c r="D10" s="375"/>
      <c r="E10" s="375"/>
      <c r="F10" s="375"/>
      <c r="G10" s="376"/>
    </row>
    <row r="11" spans="1:26" ht="15" customHeight="1" x14ac:dyDescent="0.25">
      <c r="B11" s="374"/>
      <c r="C11" s="375"/>
      <c r="D11" s="375"/>
      <c r="E11" s="375"/>
      <c r="F11" s="375"/>
      <c r="G11" s="376"/>
    </row>
    <row r="12" spans="1:26" ht="15" customHeight="1" x14ac:dyDescent="0.25">
      <c r="B12" s="374"/>
      <c r="C12" s="375"/>
      <c r="D12" s="375"/>
      <c r="E12" s="375"/>
      <c r="F12" s="375"/>
      <c r="G12" s="376"/>
    </row>
    <row r="13" spans="1:26" ht="15" customHeight="1" x14ac:dyDescent="0.25">
      <c r="B13" s="374"/>
      <c r="C13" s="375"/>
      <c r="D13" s="375"/>
      <c r="E13" s="375"/>
      <c r="F13" s="375"/>
      <c r="G13" s="376"/>
    </row>
    <row r="14" spans="1:26" ht="15" customHeight="1" x14ac:dyDescent="0.25">
      <c r="B14" s="374"/>
      <c r="C14" s="375"/>
      <c r="D14" s="375"/>
      <c r="E14" s="375"/>
      <c r="F14" s="375"/>
      <c r="G14" s="376"/>
    </row>
    <row r="15" spans="1:26" ht="15" customHeight="1" x14ac:dyDescent="0.25">
      <c r="B15" s="374"/>
      <c r="C15" s="375"/>
      <c r="D15" s="375"/>
      <c r="E15" s="375"/>
      <c r="F15" s="375"/>
      <c r="G15" s="376"/>
    </row>
    <row r="16" spans="1:26" ht="15" customHeight="1" x14ac:dyDescent="0.25">
      <c r="B16" s="374"/>
      <c r="C16" s="375"/>
      <c r="D16" s="375"/>
      <c r="E16" s="375"/>
      <c r="F16" s="375"/>
      <c r="G16" s="376"/>
    </row>
    <row r="17" spans="2:7" ht="15" customHeight="1" x14ac:dyDescent="0.25">
      <c r="B17" s="374"/>
      <c r="C17" s="375"/>
      <c r="D17" s="375"/>
      <c r="E17" s="375"/>
      <c r="F17" s="375"/>
      <c r="G17" s="376"/>
    </row>
    <row r="18" spans="2:7" ht="15" customHeight="1" x14ac:dyDescent="0.25">
      <c r="B18" s="374"/>
      <c r="C18" s="375"/>
      <c r="D18" s="375"/>
      <c r="E18" s="375"/>
      <c r="F18" s="375"/>
      <c r="G18" s="376"/>
    </row>
    <row r="19" spans="2:7" ht="15" customHeight="1" x14ac:dyDescent="0.25">
      <c r="B19" s="374"/>
      <c r="C19" s="375"/>
      <c r="D19" s="375"/>
      <c r="E19" s="375"/>
      <c r="F19" s="375"/>
      <c r="G19" s="376"/>
    </row>
    <row r="20" spans="2:7" ht="15" customHeight="1" x14ac:dyDescent="0.25">
      <c r="B20" s="374"/>
      <c r="C20" s="375"/>
      <c r="D20" s="375"/>
      <c r="E20" s="375"/>
      <c r="F20" s="375"/>
      <c r="G20" s="376"/>
    </row>
    <row r="21" spans="2:7" ht="15" customHeight="1" x14ac:dyDescent="0.25">
      <c r="B21" s="374"/>
      <c r="C21" s="375"/>
      <c r="D21" s="375"/>
      <c r="E21" s="375"/>
      <c r="F21" s="375"/>
      <c r="G21" s="376"/>
    </row>
    <row r="22" spans="2:7" ht="15.75" customHeight="1" x14ac:dyDescent="0.25">
      <c r="B22" s="374"/>
      <c r="C22" s="375"/>
      <c r="D22" s="375"/>
      <c r="E22" s="375"/>
      <c r="F22" s="375"/>
      <c r="G22" s="376"/>
    </row>
    <row r="23" spans="2:7" ht="15.75" customHeight="1" thickBot="1" x14ac:dyDescent="0.3">
      <c r="B23" s="377"/>
      <c r="C23" s="378"/>
      <c r="D23" s="378"/>
      <c r="E23" s="378"/>
      <c r="F23" s="378"/>
      <c r="G23" s="379"/>
    </row>
  </sheetData>
  <sheetProtection algorithmName="SHA-512" hashValue="ZUEZUGFt8XGgKHCLl3FGW/Y5scu/xkF2ZAMC0bvYOypjoV2OGYSu/kGaiZXKEwxyJILcTFZUYrzOUqaZVC/XcQ==" saltValue="hfLk3ccKbfraodzu/DkkMA==" spinCount="100000" sheet="1" objects="1" scenarios="1"/>
  <mergeCells count="3">
    <mergeCell ref="B2:G2"/>
    <mergeCell ref="B3:G3"/>
    <mergeCell ref="B5:G23"/>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4"/>
  <sheetViews>
    <sheetView showGridLines="0" zoomScale="85" zoomScaleNormal="85" workbookViewId="0"/>
  </sheetViews>
  <sheetFormatPr defaultColWidth="0" defaultRowHeight="15.75" customHeight="1" x14ac:dyDescent="0.25"/>
  <cols>
    <col min="1" max="1" width="2.7265625" customWidth="1"/>
    <col min="2" max="2" width="15.81640625" customWidth="1"/>
    <col min="3" max="7" width="23.453125" customWidth="1"/>
    <col min="8" max="8" width="2.7265625" customWidth="1"/>
    <col min="9" max="26" width="0" hidden="1" customWidth="1"/>
    <col min="27" max="16384" width="12.54296875" hidden="1"/>
  </cols>
  <sheetData>
    <row r="1" spans="2:7" ht="15" customHeight="1" x14ac:dyDescent="0.25"/>
    <row r="2" spans="2:7" ht="49.5" customHeight="1" x14ac:dyDescent="0.25">
      <c r="B2" s="380" t="s">
        <v>0</v>
      </c>
      <c r="C2" s="381"/>
      <c r="D2" s="381"/>
      <c r="E2" s="381"/>
      <c r="F2" s="381"/>
      <c r="G2" s="382"/>
    </row>
    <row r="3" spans="2:7" s="9" customFormat="1" ht="20.149999999999999" customHeight="1" x14ac:dyDescent="0.25">
      <c r="B3" s="371" t="s">
        <v>3</v>
      </c>
      <c r="C3" s="383"/>
      <c r="D3" s="383"/>
      <c r="E3" s="383"/>
      <c r="F3" s="383"/>
      <c r="G3" s="384"/>
    </row>
    <row r="4" spans="2:7" ht="15" customHeight="1" thickBot="1" x14ac:dyDescent="0.3">
      <c r="B4" s="10"/>
      <c r="C4" s="11"/>
      <c r="D4" s="11"/>
      <c r="E4" s="11"/>
      <c r="F4" s="11"/>
      <c r="G4" s="11"/>
    </row>
    <row r="5" spans="2:7" s="9" customFormat="1" ht="22" customHeight="1" thickBot="1" x14ac:dyDescent="0.3">
      <c r="B5" s="385" t="s">
        <v>4</v>
      </c>
      <c r="C5" s="386"/>
      <c r="D5" s="386"/>
      <c r="E5" s="386"/>
      <c r="F5" s="386"/>
      <c r="G5" s="387"/>
    </row>
    <row r="6" spans="2:7" s="12" customFormat="1" ht="33.75" customHeight="1" x14ac:dyDescent="0.3">
      <c r="B6" s="388" t="s">
        <v>5</v>
      </c>
      <c r="C6" s="389"/>
      <c r="D6" s="389"/>
      <c r="E6" s="389"/>
      <c r="F6" s="389"/>
      <c r="G6" s="390"/>
    </row>
    <row r="7" spans="2:7" s="12" customFormat="1" ht="49.5" customHeight="1" x14ac:dyDescent="0.3">
      <c r="B7" s="388" t="s">
        <v>6</v>
      </c>
      <c r="C7" s="389"/>
      <c r="D7" s="389"/>
      <c r="E7" s="389"/>
      <c r="F7" s="389"/>
      <c r="G7" s="390"/>
    </row>
    <row r="8" spans="2:7" s="12" customFormat="1" ht="15" customHeight="1" x14ac:dyDescent="0.3">
      <c r="B8" s="268" t="s">
        <v>7</v>
      </c>
      <c r="C8" s="269"/>
      <c r="D8" s="269"/>
      <c r="E8" s="269"/>
      <c r="F8" s="269"/>
      <c r="G8" s="270"/>
    </row>
    <row r="9" spans="2:7" s="12" customFormat="1" ht="15" customHeight="1" x14ac:dyDescent="0.3">
      <c r="B9" s="271">
        <v>1</v>
      </c>
      <c r="C9" s="13" t="s">
        <v>8</v>
      </c>
      <c r="D9" s="269"/>
      <c r="E9" s="269"/>
      <c r="F9" s="269"/>
      <c r="G9" s="270"/>
    </row>
    <row r="10" spans="2:7" s="12" customFormat="1" ht="14" x14ac:dyDescent="0.3">
      <c r="B10" s="271">
        <v>2</v>
      </c>
      <c r="C10" s="13" t="s">
        <v>9</v>
      </c>
      <c r="D10" s="269"/>
      <c r="E10" s="269"/>
      <c r="F10" s="269"/>
      <c r="G10" s="270"/>
    </row>
    <row r="11" spans="2:7" s="12" customFormat="1" ht="14" x14ac:dyDescent="0.3">
      <c r="B11" s="271">
        <v>3</v>
      </c>
      <c r="C11" s="12" t="s">
        <v>10</v>
      </c>
      <c r="D11" s="269"/>
      <c r="E11" s="269"/>
      <c r="F11" s="269"/>
      <c r="G11" s="270"/>
    </row>
    <row r="12" spans="2:7" s="12" customFormat="1" ht="14" x14ac:dyDescent="0.3">
      <c r="B12" s="271">
        <v>4</v>
      </c>
      <c r="C12" s="13" t="s">
        <v>11</v>
      </c>
      <c r="D12" s="269"/>
      <c r="E12" s="269"/>
      <c r="F12" s="269"/>
      <c r="G12" s="270"/>
    </row>
    <row r="13" spans="2:7" s="12" customFormat="1" ht="14" x14ac:dyDescent="0.3">
      <c r="B13" s="271">
        <v>5</v>
      </c>
      <c r="C13" s="12" t="s">
        <v>12</v>
      </c>
      <c r="D13" s="269"/>
      <c r="E13" s="269"/>
      <c r="F13" s="269"/>
      <c r="G13" s="270"/>
    </row>
    <row r="14" spans="2:7" ht="16" thickBot="1" x14ac:dyDescent="0.3">
      <c r="B14" s="14"/>
      <c r="C14" s="8"/>
      <c r="D14" s="15"/>
      <c r="E14" s="15"/>
      <c r="F14" s="15"/>
      <c r="G14" s="16"/>
    </row>
    <row r="15" spans="2:7" ht="16" thickBot="1" x14ac:dyDescent="0.4">
      <c r="B15" s="17"/>
      <c r="C15" s="18"/>
      <c r="D15" s="11"/>
      <c r="E15" s="11"/>
      <c r="F15" s="11"/>
      <c r="G15" s="11"/>
    </row>
    <row r="16" spans="2:7" s="9" customFormat="1" ht="22" customHeight="1" thickBot="1" x14ac:dyDescent="0.3">
      <c r="B16" s="385" t="s">
        <v>13</v>
      </c>
      <c r="C16" s="386"/>
      <c r="D16" s="386"/>
      <c r="E16" s="386"/>
      <c r="F16" s="386"/>
      <c r="G16" s="387"/>
    </row>
    <row r="17" spans="1:26" s="19" customFormat="1" ht="15.75" customHeight="1" x14ac:dyDescent="0.3">
      <c r="B17" s="20">
        <v>1</v>
      </c>
      <c r="C17" s="391" t="s">
        <v>14</v>
      </c>
      <c r="D17" s="392"/>
      <c r="E17" s="392"/>
      <c r="F17" s="392"/>
      <c r="G17" s="393"/>
    </row>
    <row r="18" spans="1:26" s="19" customFormat="1" ht="15.75" customHeight="1" x14ac:dyDescent="0.3">
      <c r="B18" s="21">
        <v>2</v>
      </c>
      <c r="C18" s="398" t="s">
        <v>15</v>
      </c>
      <c r="D18" s="398"/>
      <c r="E18" s="398"/>
      <c r="F18" s="398"/>
      <c r="G18" s="398"/>
    </row>
    <row r="19" spans="1:26" s="19" customFormat="1" ht="33.75" customHeight="1" x14ac:dyDescent="0.3">
      <c r="B19" s="21">
        <v>3</v>
      </c>
      <c r="C19" s="408" t="s">
        <v>16</v>
      </c>
      <c r="D19" s="409"/>
      <c r="E19" s="409"/>
      <c r="F19" s="409"/>
      <c r="G19" s="410"/>
    </row>
    <row r="20" spans="1:26" s="19" customFormat="1" ht="15.75" customHeight="1" x14ac:dyDescent="0.3">
      <c r="B20" s="21">
        <v>4</v>
      </c>
      <c r="C20" s="411" t="s">
        <v>17</v>
      </c>
      <c r="D20" s="409"/>
      <c r="E20" s="409"/>
      <c r="F20" s="409"/>
      <c r="G20" s="410"/>
    </row>
    <row r="21" spans="1:26" s="19" customFormat="1" ht="15.75" customHeight="1" thickBot="1" x14ac:dyDescent="0.35">
      <c r="B21" s="22">
        <v>5</v>
      </c>
      <c r="C21" s="412" t="s">
        <v>18</v>
      </c>
      <c r="D21" s="413"/>
      <c r="E21" s="413"/>
      <c r="F21" s="413"/>
      <c r="G21" s="414"/>
    </row>
    <row r="22" spans="1:26" ht="13" thickBot="1" x14ac:dyDescent="0.3">
      <c r="B22" s="10"/>
      <c r="C22" s="10"/>
      <c r="D22" s="10"/>
      <c r="E22" s="10"/>
      <c r="F22" s="10"/>
      <c r="G22" s="10"/>
    </row>
    <row r="23" spans="1:26" s="23" customFormat="1" ht="19.5" customHeight="1" thickBot="1" x14ac:dyDescent="0.4">
      <c r="B23" s="399" t="s">
        <v>19</v>
      </c>
      <c r="C23" s="400"/>
      <c r="D23" s="400"/>
      <c r="E23" s="400"/>
      <c r="F23" s="400"/>
      <c r="G23" s="401"/>
    </row>
    <row r="24" spans="1:26" s="19" customFormat="1" ht="31.5" customHeight="1" x14ac:dyDescent="0.3">
      <c r="A24" s="24"/>
      <c r="B24" s="246">
        <v>1</v>
      </c>
      <c r="C24" s="415" t="s">
        <v>20</v>
      </c>
      <c r="D24" s="416"/>
      <c r="E24" s="416"/>
      <c r="F24" s="416"/>
      <c r="G24" s="417"/>
      <c r="H24" s="24"/>
      <c r="I24" s="24"/>
      <c r="J24" s="24"/>
      <c r="K24" s="24"/>
      <c r="L24" s="24"/>
      <c r="M24" s="24"/>
      <c r="N24" s="24"/>
      <c r="O24" s="24"/>
      <c r="P24" s="24"/>
      <c r="Q24" s="24"/>
      <c r="R24" s="24"/>
      <c r="S24" s="24"/>
      <c r="T24" s="24"/>
      <c r="U24" s="24"/>
      <c r="V24" s="24"/>
      <c r="W24" s="24"/>
      <c r="X24" s="24"/>
      <c r="Y24" s="24"/>
      <c r="Z24" s="24"/>
    </row>
    <row r="25" spans="1:26" s="19" customFormat="1" ht="15.75" customHeight="1" x14ac:dyDescent="0.3">
      <c r="A25" s="24"/>
      <c r="B25" s="247">
        <v>2</v>
      </c>
      <c r="C25" s="394" t="s">
        <v>21</v>
      </c>
      <c r="D25" s="395"/>
      <c r="E25" s="395"/>
      <c r="F25" s="395"/>
      <c r="G25" s="396"/>
      <c r="H25" s="24"/>
      <c r="I25" s="24"/>
      <c r="J25" s="24"/>
      <c r="K25" s="24"/>
      <c r="L25" s="24"/>
      <c r="M25" s="24"/>
      <c r="N25" s="24"/>
      <c r="O25" s="24"/>
      <c r="P25" s="24"/>
      <c r="Q25" s="24"/>
      <c r="R25" s="24"/>
      <c r="S25" s="24"/>
      <c r="T25" s="24"/>
      <c r="U25" s="24"/>
      <c r="V25" s="24"/>
      <c r="W25" s="24"/>
      <c r="X25" s="24"/>
      <c r="Y25" s="24"/>
      <c r="Z25" s="24"/>
    </row>
    <row r="26" spans="1:26" s="19" customFormat="1" ht="15.75" customHeight="1" x14ac:dyDescent="0.3">
      <c r="A26" s="24"/>
      <c r="B26" s="247">
        <v>3</v>
      </c>
      <c r="C26" s="394" t="s">
        <v>22</v>
      </c>
      <c r="D26" s="395"/>
      <c r="E26" s="395"/>
      <c r="F26" s="395"/>
      <c r="G26" s="396"/>
      <c r="H26" s="24"/>
      <c r="I26" s="24"/>
      <c r="J26" s="24"/>
      <c r="K26" s="24"/>
      <c r="L26" s="24"/>
      <c r="M26" s="24"/>
      <c r="N26" s="24"/>
      <c r="O26" s="24"/>
      <c r="P26" s="24"/>
      <c r="Q26" s="24"/>
      <c r="R26" s="24"/>
      <c r="S26" s="24"/>
      <c r="T26" s="24"/>
      <c r="U26" s="24"/>
      <c r="V26" s="24"/>
      <c r="W26" s="24"/>
      <c r="X26" s="24"/>
      <c r="Y26" s="24"/>
      <c r="Z26" s="24"/>
    </row>
    <row r="27" spans="1:26" s="19" customFormat="1" ht="15.75" customHeight="1" x14ac:dyDescent="0.3">
      <c r="A27" s="24"/>
      <c r="B27" s="247">
        <v>4</v>
      </c>
      <c r="C27" s="394" t="s">
        <v>23</v>
      </c>
      <c r="D27" s="395"/>
      <c r="E27" s="395"/>
      <c r="F27" s="395"/>
      <c r="G27" s="396"/>
      <c r="H27" s="24"/>
      <c r="I27" s="24"/>
      <c r="J27" s="24"/>
      <c r="K27" s="24"/>
      <c r="L27" s="24"/>
      <c r="M27" s="24"/>
      <c r="N27" s="24"/>
      <c r="O27" s="24"/>
      <c r="P27" s="24"/>
      <c r="Q27" s="24"/>
      <c r="R27" s="24"/>
      <c r="S27" s="24"/>
      <c r="T27" s="24"/>
      <c r="U27" s="24"/>
      <c r="V27" s="24"/>
      <c r="W27" s="24"/>
      <c r="X27" s="24"/>
      <c r="Y27" s="24"/>
      <c r="Z27" s="24"/>
    </row>
    <row r="28" spans="1:26" s="19" customFormat="1" ht="15.75" customHeight="1" x14ac:dyDescent="0.3">
      <c r="A28" s="24"/>
      <c r="B28" s="247">
        <v>5</v>
      </c>
      <c r="C28" s="397" t="s">
        <v>24</v>
      </c>
      <c r="D28" s="395"/>
      <c r="E28" s="395"/>
      <c r="F28" s="395"/>
      <c r="G28" s="396"/>
      <c r="H28" s="24"/>
      <c r="I28" s="24"/>
      <c r="J28" s="24"/>
      <c r="K28" s="24"/>
      <c r="L28" s="24"/>
      <c r="M28" s="24"/>
      <c r="N28" s="24"/>
      <c r="O28" s="24"/>
      <c r="P28" s="24"/>
      <c r="Q28" s="24"/>
      <c r="R28" s="24"/>
      <c r="S28" s="24"/>
      <c r="T28" s="24"/>
      <c r="U28" s="24"/>
      <c r="V28" s="24"/>
      <c r="W28" s="24"/>
      <c r="X28" s="24"/>
      <c r="Y28" s="24"/>
      <c r="Z28" s="24"/>
    </row>
    <row r="29" spans="1:26" s="19" customFormat="1" ht="15.75" customHeight="1" thickBot="1" x14ac:dyDescent="0.35">
      <c r="A29" s="24"/>
      <c r="B29" s="248">
        <v>6</v>
      </c>
      <c r="C29" s="405" t="s">
        <v>25</v>
      </c>
      <c r="D29" s="406"/>
      <c r="E29" s="406"/>
      <c r="F29" s="406"/>
      <c r="G29" s="407"/>
      <c r="H29" s="24"/>
      <c r="I29" s="24"/>
      <c r="J29" s="24"/>
      <c r="K29" s="24"/>
      <c r="L29" s="24"/>
      <c r="M29" s="24"/>
      <c r="N29" s="24"/>
      <c r="O29" s="24"/>
      <c r="P29" s="24"/>
      <c r="Q29" s="24"/>
      <c r="R29" s="24"/>
      <c r="S29" s="24"/>
      <c r="T29" s="24"/>
      <c r="U29" s="24"/>
      <c r="V29" s="24"/>
      <c r="W29" s="24"/>
      <c r="X29" s="24"/>
      <c r="Y29" s="24"/>
      <c r="Z29" s="24"/>
    </row>
    <row r="30" spans="1:26" ht="15.75" customHeight="1" thickBot="1" x14ac:dyDescent="0.3"/>
    <row r="31" spans="1:26" ht="18.75" customHeight="1" thickBot="1" x14ac:dyDescent="0.4">
      <c r="B31" s="399" t="s">
        <v>26</v>
      </c>
      <c r="C31" s="400"/>
      <c r="D31" s="400"/>
      <c r="E31" s="400"/>
      <c r="F31" s="400"/>
      <c r="G31" s="401"/>
    </row>
    <row r="32" spans="1:26" ht="15.75" customHeight="1" x14ac:dyDescent="0.3">
      <c r="B32" s="402" t="s">
        <v>27</v>
      </c>
      <c r="C32" s="403"/>
      <c r="D32" s="403" t="s">
        <v>28</v>
      </c>
      <c r="E32" s="403"/>
      <c r="F32" s="403"/>
      <c r="G32" s="404"/>
    </row>
    <row r="33" spans="2:7" ht="15.75" customHeight="1" x14ac:dyDescent="0.3">
      <c r="B33" s="249" t="s">
        <v>29</v>
      </c>
      <c r="C33" s="250"/>
      <c r="D33" s="250" t="s">
        <v>30</v>
      </c>
      <c r="E33" s="250"/>
      <c r="F33" s="250"/>
      <c r="G33" s="251"/>
    </row>
    <row r="34" spans="2:7" ht="15.75" customHeight="1" thickBot="1" x14ac:dyDescent="0.35">
      <c r="B34" s="252" t="s">
        <v>31</v>
      </c>
      <c r="C34" s="253"/>
      <c r="D34" s="253" t="s">
        <v>32</v>
      </c>
      <c r="E34" s="254"/>
      <c r="F34" s="254"/>
      <c r="G34" s="255"/>
    </row>
  </sheetData>
  <sheetProtection algorithmName="SHA-512" hashValue="CzHKKoR8MTZ8cSxF9uCa040ogM/zMbYC0J7FnKiCvamFXn1x9aE/O9cKZF6CiLwRlEFiBEEP2tDStVYYuOjkxQ==" saltValue="bF1Tj8kgVPZOzGhd9brGCA==" spinCount="100000" sheet="1" objects="1" scenarios="1"/>
  <mergeCells count="21">
    <mergeCell ref="B31:G31"/>
    <mergeCell ref="B32:C32"/>
    <mergeCell ref="D32:G32"/>
    <mergeCell ref="C29:G29"/>
    <mergeCell ref="C19:G19"/>
    <mergeCell ref="C20:G20"/>
    <mergeCell ref="C21:G21"/>
    <mergeCell ref="B23:G23"/>
    <mergeCell ref="C24:G24"/>
    <mergeCell ref="C25:G25"/>
    <mergeCell ref="B16:G16"/>
    <mergeCell ref="C17:G17"/>
    <mergeCell ref="C26:G26"/>
    <mergeCell ref="C27:G27"/>
    <mergeCell ref="C28:G28"/>
    <mergeCell ref="C18:G18"/>
    <mergeCell ref="B2:G2"/>
    <mergeCell ref="B3:G3"/>
    <mergeCell ref="B5:G5"/>
    <mergeCell ref="B6:G6"/>
    <mergeCell ref="B7:G7"/>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56"/>
  <sheetViews>
    <sheetView showGridLines="0" tabSelected="1" topLeftCell="B1" zoomScale="85" zoomScaleNormal="85" workbookViewId="0">
      <selection activeCell="G15" sqref="G15:P15"/>
    </sheetView>
  </sheetViews>
  <sheetFormatPr defaultColWidth="0" defaultRowHeight="15.75" customHeight="1" x14ac:dyDescent="0.25"/>
  <cols>
    <col min="1" max="1" width="2.7265625" customWidth="1"/>
    <col min="2" max="2" width="6.7265625" customWidth="1"/>
    <col min="3" max="3" width="30.7265625" customWidth="1"/>
    <col min="4" max="6" width="12.26953125" customWidth="1"/>
    <col min="7" max="16" width="11" customWidth="1"/>
    <col min="17" max="17" width="3.7265625" customWidth="1"/>
    <col min="18" max="18" width="2.7265625" customWidth="1"/>
    <col min="19" max="16384" width="12.54296875" hidden="1"/>
  </cols>
  <sheetData>
    <row r="1" spans="1:17" ht="15.75" customHeight="1" thickBot="1" x14ac:dyDescent="0.3"/>
    <row r="2" spans="1:17" ht="13" hidden="1" thickBot="1" x14ac:dyDescent="0.3">
      <c r="A2" s="272"/>
      <c r="B2" s="272"/>
      <c r="C2" s="272"/>
      <c r="D2" s="272"/>
      <c r="E2" s="272"/>
      <c r="F2" s="272"/>
      <c r="G2" s="272"/>
      <c r="H2" s="272"/>
      <c r="I2" s="272"/>
      <c r="J2" s="272"/>
      <c r="K2" s="272"/>
      <c r="L2" s="272"/>
      <c r="M2" s="272"/>
      <c r="N2" s="272"/>
      <c r="O2" s="272"/>
      <c r="P2" s="272"/>
      <c r="Q2" s="272"/>
    </row>
    <row r="3" spans="1:17" s="27" customFormat="1" ht="22.5" customHeight="1" thickBot="1" x14ac:dyDescent="0.3">
      <c r="A3" s="273"/>
      <c r="B3" s="274" t="s">
        <v>33</v>
      </c>
      <c r="C3" s="26"/>
      <c r="D3" s="26"/>
      <c r="E3" s="26"/>
      <c r="F3" s="26"/>
      <c r="G3" s="26"/>
      <c r="H3" s="275"/>
      <c r="I3" s="275"/>
      <c r="J3" s="275"/>
      <c r="K3" s="275"/>
      <c r="L3" s="275"/>
      <c r="M3" s="275"/>
      <c r="N3" s="275"/>
      <c r="O3" s="275"/>
      <c r="P3" s="275"/>
      <c r="Q3" s="276"/>
    </row>
    <row r="4" spans="1:17" s="27" customFormat="1" ht="22.5" customHeight="1" x14ac:dyDescent="0.25">
      <c r="A4" s="273"/>
      <c r="B4" s="272"/>
      <c r="C4" s="272"/>
      <c r="D4" s="272"/>
      <c r="E4" s="272"/>
      <c r="F4" s="272"/>
      <c r="G4" s="272"/>
      <c r="H4" s="272"/>
      <c r="I4" s="272"/>
      <c r="J4" s="272"/>
      <c r="K4" s="272"/>
      <c r="L4" s="272"/>
      <c r="M4" s="272"/>
      <c r="N4" s="272"/>
      <c r="O4" s="272"/>
      <c r="P4" s="272"/>
      <c r="Q4" s="272"/>
    </row>
    <row r="5" spans="1:17" s="27" customFormat="1" ht="15.75" customHeight="1" x14ac:dyDescent="0.25">
      <c r="A5" s="273"/>
      <c r="B5" s="425" t="s">
        <v>34</v>
      </c>
      <c r="C5" s="425"/>
      <c r="D5" s="425"/>
      <c r="E5" s="425"/>
      <c r="F5" s="425"/>
      <c r="G5" s="425"/>
      <c r="H5" s="425"/>
      <c r="I5" s="425"/>
      <c r="J5" s="425"/>
      <c r="K5" s="425"/>
      <c r="L5" s="425"/>
      <c r="M5" s="425"/>
      <c r="N5" s="425"/>
      <c r="O5" s="425"/>
      <c r="P5" s="425"/>
      <c r="Q5" s="425"/>
    </row>
    <row r="6" spans="1:17" ht="12.5" x14ac:dyDescent="0.25">
      <c r="A6" s="272"/>
      <c r="B6" s="272"/>
      <c r="C6" s="272"/>
      <c r="D6" s="272"/>
      <c r="E6" s="272"/>
      <c r="F6" s="272"/>
      <c r="G6" s="272"/>
      <c r="H6" s="272"/>
      <c r="I6" s="272"/>
      <c r="J6" s="272"/>
      <c r="K6" s="272"/>
      <c r="L6" s="272"/>
      <c r="M6" s="272"/>
      <c r="N6" s="272"/>
      <c r="O6" s="272"/>
      <c r="P6" s="272"/>
      <c r="Q6" s="272"/>
    </row>
    <row r="7" spans="1:17" ht="13" thickBot="1" x14ac:dyDescent="0.3">
      <c r="A7" s="272"/>
      <c r="B7" s="272"/>
      <c r="C7" s="272"/>
      <c r="D7" s="272"/>
      <c r="E7" s="272"/>
      <c r="F7" s="272"/>
      <c r="G7" s="272"/>
      <c r="H7" s="272"/>
      <c r="I7" s="272"/>
      <c r="J7" s="272"/>
      <c r="K7" s="272"/>
      <c r="L7" s="272"/>
      <c r="M7" s="272"/>
      <c r="N7" s="272"/>
      <c r="O7" s="272"/>
      <c r="P7" s="272"/>
      <c r="Q7" s="272"/>
    </row>
    <row r="8" spans="1:17" s="31" customFormat="1" ht="20.149999999999999" customHeight="1" x14ac:dyDescent="0.25">
      <c r="A8" s="28"/>
      <c r="B8" s="418" t="s">
        <v>35</v>
      </c>
      <c r="C8" s="419"/>
      <c r="D8" s="419"/>
      <c r="E8" s="419"/>
      <c r="F8" s="419"/>
      <c r="G8" s="419"/>
      <c r="H8" s="29"/>
      <c r="I8" s="29"/>
      <c r="J8" s="29"/>
      <c r="K8" s="29"/>
      <c r="L8" s="29"/>
      <c r="M8" s="29"/>
      <c r="N8" s="29"/>
      <c r="O8" s="29"/>
      <c r="P8" s="29"/>
      <c r="Q8" s="30"/>
    </row>
    <row r="9" spans="1:17" s="32" customFormat="1" ht="12.5" x14ac:dyDescent="0.25">
      <c r="A9" s="272"/>
      <c r="B9" s="277" t="s">
        <v>36</v>
      </c>
      <c r="C9" s="278"/>
      <c r="D9" s="278"/>
      <c r="E9" s="278"/>
      <c r="F9" s="278"/>
      <c r="G9" s="278"/>
      <c r="H9" s="278"/>
      <c r="I9" s="278"/>
      <c r="J9" s="278"/>
      <c r="K9" s="278"/>
      <c r="L9" s="278"/>
      <c r="M9" s="278"/>
      <c r="N9" s="278"/>
      <c r="O9" s="278"/>
      <c r="P9" s="278"/>
      <c r="Q9" s="279"/>
    </row>
    <row r="10" spans="1:17" s="32" customFormat="1" ht="12.5" x14ac:dyDescent="0.25">
      <c r="A10" s="272"/>
      <c r="B10" s="277"/>
      <c r="C10" s="278"/>
      <c r="D10" s="278"/>
      <c r="E10" s="278"/>
      <c r="F10" s="278"/>
      <c r="G10" s="278"/>
      <c r="H10" s="278"/>
      <c r="I10" s="278"/>
      <c r="J10" s="278"/>
      <c r="K10" s="278"/>
      <c r="L10" s="278"/>
      <c r="M10" s="278"/>
      <c r="N10" s="278"/>
      <c r="O10" s="278"/>
      <c r="P10" s="278"/>
      <c r="Q10" s="279"/>
    </row>
    <row r="11" spans="1:17" s="12" customFormat="1" ht="14" x14ac:dyDescent="0.3">
      <c r="A11" s="53"/>
      <c r="B11" s="33">
        <v>1</v>
      </c>
      <c r="C11" s="34" t="s">
        <v>37</v>
      </c>
      <c r="D11" s="280"/>
      <c r="E11" s="280"/>
      <c r="F11" s="280"/>
      <c r="G11" s="34" t="s">
        <v>38</v>
      </c>
      <c r="H11" s="280"/>
      <c r="I11" s="280"/>
      <c r="J11" s="280"/>
      <c r="K11" s="280"/>
      <c r="L11" s="280"/>
      <c r="M11" s="280"/>
      <c r="N11" s="280"/>
      <c r="O11" s="280"/>
      <c r="P11" s="280"/>
      <c r="Q11" s="281"/>
    </row>
    <row r="12" spans="1:17" s="32" customFormat="1" ht="12.5" x14ac:dyDescent="0.25">
      <c r="A12" s="272"/>
      <c r="B12" s="282">
        <v>1.1000000000000001</v>
      </c>
      <c r="C12" s="256" t="s">
        <v>39</v>
      </c>
      <c r="D12" s="256"/>
      <c r="E12" s="256"/>
      <c r="F12" s="256"/>
      <c r="G12" s="420" t="s">
        <v>40</v>
      </c>
      <c r="H12" s="421"/>
      <c r="I12" s="421"/>
      <c r="J12" s="421"/>
      <c r="K12" s="421"/>
      <c r="L12" s="421"/>
      <c r="M12" s="421"/>
      <c r="N12" s="421"/>
      <c r="O12" s="421"/>
      <c r="P12" s="422"/>
      <c r="Q12" s="283"/>
    </row>
    <row r="13" spans="1:17" s="32" customFormat="1" ht="12.5" x14ac:dyDescent="0.25">
      <c r="A13" s="272"/>
      <c r="B13" s="282">
        <v>1.2</v>
      </c>
      <c r="C13" s="256" t="s">
        <v>41</v>
      </c>
      <c r="D13" s="256"/>
      <c r="E13" s="256"/>
      <c r="F13" s="256"/>
      <c r="G13" s="420" t="s">
        <v>42</v>
      </c>
      <c r="H13" s="421"/>
      <c r="I13" s="421"/>
      <c r="J13" s="421"/>
      <c r="K13" s="421"/>
      <c r="L13" s="421"/>
      <c r="M13" s="421"/>
      <c r="N13" s="421"/>
      <c r="O13" s="421"/>
      <c r="P13" s="422"/>
      <c r="Q13" s="283"/>
    </row>
    <row r="14" spans="1:17" s="32" customFormat="1" ht="12.5" x14ac:dyDescent="0.25">
      <c r="A14" s="272"/>
      <c r="B14" s="282">
        <v>1.3</v>
      </c>
      <c r="C14" s="256" t="s">
        <v>43</v>
      </c>
      <c r="D14" s="256"/>
      <c r="E14" s="256"/>
      <c r="F14" s="256"/>
      <c r="G14" s="420" t="s">
        <v>44</v>
      </c>
      <c r="H14" s="421"/>
      <c r="I14" s="421"/>
      <c r="J14" s="421"/>
      <c r="K14" s="421"/>
      <c r="L14" s="421"/>
      <c r="M14" s="421"/>
      <c r="N14" s="421"/>
      <c r="O14" s="421"/>
      <c r="P14" s="422"/>
      <c r="Q14" s="283"/>
    </row>
    <row r="15" spans="1:17" s="32" customFormat="1" ht="12.5" x14ac:dyDescent="0.25">
      <c r="A15" s="272"/>
      <c r="B15" s="282">
        <v>1.4</v>
      </c>
      <c r="C15" s="256" t="s">
        <v>45</v>
      </c>
      <c r="D15" s="256"/>
      <c r="E15" s="256"/>
      <c r="F15" s="256"/>
      <c r="G15" s="420" t="s">
        <v>46</v>
      </c>
      <c r="H15" s="421"/>
      <c r="I15" s="421"/>
      <c r="J15" s="421"/>
      <c r="K15" s="421"/>
      <c r="L15" s="421"/>
      <c r="M15" s="421"/>
      <c r="N15" s="421"/>
      <c r="O15" s="421"/>
      <c r="P15" s="422"/>
      <c r="Q15" s="283"/>
    </row>
    <row r="16" spans="1:17" s="32" customFormat="1" ht="12.5" x14ac:dyDescent="0.25">
      <c r="A16" s="272"/>
      <c r="B16" s="282">
        <v>1.5</v>
      </c>
      <c r="C16" s="256" t="s">
        <v>47</v>
      </c>
      <c r="D16" s="256"/>
      <c r="E16" s="256"/>
      <c r="F16" s="256"/>
      <c r="G16" s="420" t="s">
        <v>48</v>
      </c>
      <c r="H16" s="421"/>
      <c r="I16" s="421"/>
      <c r="J16" s="421"/>
      <c r="K16" s="421"/>
      <c r="L16" s="421"/>
      <c r="M16" s="421"/>
      <c r="N16" s="421"/>
      <c r="O16" s="421"/>
      <c r="P16" s="422"/>
      <c r="Q16" s="283"/>
    </row>
    <row r="17" spans="1:17" s="32" customFormat="1" ht="12.5" x14ac:dyDescent="0.25">
      <c r="A17" s="272"/>
      <c r="B17" s="282">
        <v>1.6</v>
      </c>
      <c r="C17" s="423" t="s">
        <v>49</v>
      </c>
      <c r="D17" s="424"/>
      <c r="E17" s="424"/>
      <c r="F17" s="424"/>
      <c r="G17" s="420" t="s">
        <v>50</v>
      </c>
      <c r="H17" s="421"/>
      <c r="I17" s="421"/>
      <c r="J17" s="421"/>
      <c r="K17" s="421"/>
      <c r="L17" s="421"/>
      <c r="M17" s="421"/>
      <c r="N17" s="421"/>
      <c r="O17" s="421"/>
      <c r="P17" s="422"/>
      <c r="Q17" s="283"/>
    </row>
    <row r="18" spans="1:17" s="32" customFormat="1" ht="12.5" x14ac:dyDescent="0.25">
      <c r="A18" s="272"/>
      <c r="B18" s="282">
        <v>1.7</v>
      </c>
      <c r="C18" s="256" t="s">
        <v>51</v>
      </c>
      <c r="D18" s="256"/>
      <c r="E18" s="256"/>
      <c r="F18" s="256"/>
      <c r="G18" s="420" t="s">
        <v>52</v>
      </c>
      <c r="H18" s="421"/>
      <c r="I18" s="421"/>
      <c r="J18" s="421"/>
      <c r="K18" s="421"/>
      <c r="L18" s="421"/>
      <c r="M18" s="421"/>
      <c r="N18" s="421"/>
      <c r="O18" s="421"/>
      <c r="P18" s="422"/>
      <c r="Q18" s="283"/>
    </row>
    <row r="19" spans="1:17" s="32" customFormat="1" ht="12.5" x14ac:dyDescent="0.25">
      <c r="A19" s="272"/>
      <c r="B19" s="282">
        <v>1.8</v>
      </c>
      <c r="C19" s="256" t="s">
        <v>53</v>
      </c>
      <c r="D19" s="256"/>
      <c r="E19" s="256"/>
      <c r="F19" s="256"/>
      <c r="G19" s="420" t="s">
        <v>54</v>
      </c>
      <c r="H19" s="421"/>
      <c r="I19" s="421"/>
      <c r="J19" s="421"/>
      <c r="K19" s="421"/>
      <c r="L19" s="421"/>
      <c r="M19" s="421"/>
      <c r="N19" s="421"/>
      <c r="O19" s="421"/>
      <c r="P19" s="422"/>
      <c r="Q19" s="283"/>
    </row>
    <row r="20" spans="1:17" s="32" customFormat="1" ht="12.5" x14ac:dyDescent="0.25">
      <c r="A20" s="272"/>
      <c r="B20" s="277">
        <v>1.9</v>
      </c>
      <c r="C20" s="256" t="s">
        <v>55</v>
      </c>
      <c r="D20" s="278"/>
      <c r="E20" s="278"/>
      <c r="F20" s="278"/>
      <c r="G20" s="420" t="s">
        <v>56</v>
      </c>
      <c r="H20" s="421"/>
      <c r="I20" s="421"/>
      <c r="J20" s="421"/>
      <c r="K20" s="421"/>
      <c r="L20" s="421"/>
      <c r="M20" s="421"/>
      <c r="N20" s="421"/>
      <c r="O20" s="421"/>
      <c r="P20" s="422"/>
      <c r="Q20" s="283"/>
    </row>
    <row r="21" spans="1:17" s="32" customFormat="1" ht="12.5" x14ac:dyDescent="0.25">
      <c r="A21" s="272"/>
      <c r="B21" s="277"/>
      <c r="C21" s="278"/>
      <c r="D21" s="278"/>
      <c r="E21" s="278"/>
      <c r="F21" s="278"/>
      <c r="G21" s="278"/>
      <c r="H21" s="278"/>
      <c r="I21" s="278"/>
      <c r="J21" s="278"/>
      <c r="K21" s="278"/>
      <c r="L21" s="278"/>
      <c r="M21" s="278"/>
      <c r="N21" s="278"/>
      <c r="O21" s="278"/>
      <c r="P21" s="278"/>
      <c r="Q21" s="279"/>
    </row>
    <row r="22" spans="1:17" s="32" customFormat="1" ht="12.5" x14ac:dyDescent="0.25">
      <c r="A22" s="272"/>
      <c r="B22" s="277"/>
      <c r="C22" s="278"/>
      <c r="D22" s="278"/>
      <c r="E22" s="278"/>
      <c r="F22" s="278"/>
      <c r="G22" s="278"/>
      <c r="H22" s="278"/>
      <c r="I22" s="278"/>
      <c r="J22" s="278"/>
      <c r="K22" s="278"/>
      <c r="L22" s="278"/>
      <c r="M22" s="278"/>
      <c r="N22" s="278"/>
      <c r="O22" s="278"/>
      <c r="P22" s="278"/>
      <c r="Q22" s="279"/>
    </row>
    <row r="23" spans="1:17" s="12" customFormat="1" ht="14" x14ac:dyDescent="0.3">
      <c r="A23" s="53"/>
      <c r="B23" s="33">
        <v>2</v>
      </c>
      <c r="C23" s="34" t="s">
        <v>57</v>
      </c>
      <c r="D23" s="280"/>
      <c r="E23" s="280"/>
      <c r="F23" s="280"/>
      <c r="G23" s="34" t="s">
        <v>38</v>
      </c>
      <c r="H23" s="280"/>
      <c r="I23" s="280"/>
      <c r="J23" s="280"/>
      <c r="K23" s="280"/>
      <c r="L23" s="280"/>
      <c r="M23" s="280"/>
      <c r="N23" s="280"/>
      <c r="O23" s="280"/>
      <c r="P23" s="280"/>
      <c r="Q23" s="281"/>
    </row>
    <row r="24" spans="1:17" s="32" customFormat="1" ht="12.5" x14ac:dyDescent="0.25">
      <c r="A24" s="272"/>
      <c r="B24" s="282">
        <v>1.1000000000000001</v>
      </c>
      <c r="C24" s="256" t="s">
        <v>58</v>
      </c>
      <c r="D24" s="256"/>
      <c r="E24" s="256"/>
      <c r="F24" s="256"/>
      <c r="G24" s="420" t="s">
        <v>59</v>
      </c>
      <c r="H24" s="421"/>
      <c r="I24" s="421"/>
      <c r="J24" s="421"/>
      <c r="K24" s="421"/>
      <c r="L24" s="421"/>
      <c r="M24" s="421"/>
      <c r="N24" s="421"/>
      <c r="O24" s="421"/>
      <c r="P24" s="422"/>
      <c r="Q24" s="283"/>
    </row>
    <row r="25" spans="1:17" s="32" customFormat="1" ht="12.5" x14ac:dyDescent="0.25">
      <c r="A25" s="272"/>
      <c r="B25" s="282">
        <v>1.2</v>
      </c>
      <c r="C25" s="256" t="s">
        <v>60</v>
      </c>
      <c r="D25" s="256"/>
      <c r="E25" s="256"/>
      <c r="F25" s="256"/>
      <c r="G25" s="420" t="s">
        <v>61</v>
      </c>
      <c r="H25" s="421"/>
      <c r="I25" s="421"/>
      <c r="J25" s="421"/>
      <c r="K25" s="421"/>
      <c r="L25" s="421"/>
      <c r="M25" s="421"/>
      <c r="N25" s="421"/>
      <c r="O25" s="421"/>
      <c r="P25" s="422"/>
      <c r="Q25" s="283"/>
    </row>
    <row r="26" spans="1:17" s="32" customFormat="1" ht="12.5" x14ac:dyDescent="0.25">
      <c r="A26" s="272"/>
      <c r="B26" s="282">
        <v>1.3</v>
      </c>
      <c r="C26" s="256" t="s">
        <v>62</v>
      </c>
      <c r="D26" s="256"/>
      <c r="E26" s="256"/>
      <c r="F26" s="256"/>
      <c r="G26" s="420" t="s">
        <v>63</v>
      </c>
      <c r="H26" s="421"/>
      <c r="I26" s="421"/>
      <c r="J26" s="421"/>
      <c r="K26" s="421"/>
      <c r="L26" s="421"/>
      <c r="M26" s="421"/>
      <c r="N26" s="421"/>
      <c r="O26" s="421"/>
      <c r="P26" s="422"/>
      <c r="Q26" s="283"/>
    </row>
    <row r="27" spans="1:17" s="32" customFormat="1" ht="12.5" x14ac:dyDescent="0.25">
      <c r="A27" s="272"/>
      <c r="B27" s="282">
        <v>1.4</v>
      </c>
      <c r="C27" s="256" t="s">
        <v>64</v>
      </c>
      <c r="D27" s="256"/>
      <c r="E27" s="256"/>
      <c r="F27" s="256"/>
      <c r="G27" s="420" t="s">
        <v>65</v>
      </c>
      <c r="H27" s="421"/>
      <c r="I27" s="421"/>
      <c r="J27" s="421"/>
      <c r="K27" s="421"/>
      <c r="L27" s="421"/>
      <c r="M27" s="421"/>
      <c r="N27" s="421"/>
      <c r="O27" s="421"/>
      <c r="P27" s="422"/>
      <c r="Q27" s="283"/>
    </row>
    <row r="28" spans="1:17" s="32" customFormat="1" ht="12.5" x14ac:dyDescent="0.25">
      <c r="A28" s="272"/>
      <c r="B28" s="282">
        <v>1.5</v>
      </c>
      <c r="C28" s="256" t="s">
        <v>66</v>
      </c>
      <c r="D28" s="256"/>
      <c r="E28" s="256"/>
      <c r="F28" s="256"/>
      <c r="G28" s="420" t="s">
        <v>67</v>
      </c>
      <c r="H28" s="421"/>
      <c r="I28" s="421"/>
      <c r="J28" s="421"/>
      <c r="K28" s="421"/>
      <c r="L28" s="421"/>
      <c r="M28" s="421"/>
      <c r="N28" s="421"/>
      <c r="O28" s="421"/>
      <c r="P28" s="422"/>
      <c r="Q28" s="283"/>
    </row>
    <row r="29" spans="1:17" s="32" customFormat="1" ht="12.5" x14ac:dyDescent="0.25">
      <c r="A29" s="272"/>
      <c r="B29" s="277"/>
      <c r="C29" s="278"/>
      <c r="D29" s="278"/>
      <c r="E29" s="278"/>
      <c r="F29" s="278"/>
      <c r="G29" s="278"/>
      <c r="H29" s="278"/>
      <c r="I29" s="278"/>
      <c r="J29" s="278"/>
      <c r="K29" s="278"/>
      <c r="L29" s="278"/>
      <c r="M29" s="278"/>
      <c r="N29" s="278"/>
      <c r="O29" s="278"/>
      <c r="P29" s="278"/>
      <c r="Q29" s="279"/>
    </row>
    <row r="30" spans="1:17" s="32" customFormat="1" ht="12.5" x14ac:dyDescent="0.25">
      <c r="A30" s="272"/>
      <c r="B30" s="277"/>
      <c r="C30" s="278"/>
      <c r="D30" s="278"/>
      <c r="E30" s="278"/>
      <c r="F30" s="278"/>
      <c r="G30" s="278"/>
      <c r="H30" s="278"/>
      <c r="I30" s="278"/>
      <c r="J30" s="278"/>
      <c r="K30" s="278"/>
      <c r="L30" s="278"/>
      <c r="M30" s="278"/>
      <c r="N30" s="278"/>
      <c r="O30" s="278"/>
      <c r="P30" s="278"/>
      <c r="Q30" s="279"/>
    </row>
    <row r="31" spans="1:17" s="12" customFormat="1" ht="14" x14ac:dyDescent="0.3">
      <c r="A31" s="53"/>
      <c r="B31" s="33">
        <v>3</v>
      </c>
      <c r="C31" s="34" t="s">
        <v>68</v>
      </c>
      <c r="D31" s="280"/>
      <c r="E31" s="280"/>
      <c r="F31" s="280"/>
      <c r="G31" s="34" t="s">
        <v>38</v>
      </c>
      <c r="H31" s="280"/>
      <c r="I31" s="280"/>
      <c r="J31" s="280"/>
      <c r="K31" s="280"/>
      <c r="L31" s="280"/>
      <c r="M31" s="280"/>
      <c r="N31" s="280"/>
      <c r="O31" s="280"/>
      <c r="P31" s="280"/>
      <c r="Q31" s="281"/>
    </row>
    <row r="32" spans="1:17" s="32" customFormat="1" ht="14" x14ac:dyDescent="0.3">
      <c r="A32" s="272"/>
      <c r="B32" s="284"/>
      <c r="C32" s="285" t="s">
        <v>69</v>
      </c>
      <c r="D32" s="256"/>
      <c r="E32" s="256"/>
      <c r="F32" s="256"/>
      <c r="G32" s="223">
        <v>2021</v>
      </c>
      <c r="H32" s="223">
        <v>2022</v>
      </c>
      <c r="I32" s="223">
        <v>2023</v>
      </c>
      <c r="J32" s="286" t="s">
        <v>70</v>
      </c>
      <c r="K32" s="287"/>
      <c r="L32" s="287"/>
      <c r="M32" s="287"/>
      <c r="N32" s="287"/>
      <c r="O32" s="287"/>
      <c r="P32" s="287"/>
      <c r="Q32" s="288"/>
    </row>
    <row r="33" spans="1:17" s="32" customFormat="1" ht="12.5" x14ac:dyDescent="0.25">
      <c r="A33" s="272"/>
      <c r="B33" s="282">
        <v>3.1</v>
      </c>
      <c r="C33" s="256" t="s">
        <v>71</v>
      </c>
      <c r="D33" s="256"/>
      <c r="E33" s="256"/>
      <c r="F33" s="256"/>
      <c r="G33" s="289" t="s">
        <v>72</v>
      </c>
      <c r="H33" s="289" t="s">
        <v>73</v>
      </c>
      <c r="I33" s="289" t="s">
        <v>74</v>
      </c>
      <c r="J33" s="289" t="s">
        <v>75</v>
      </c>
      <c r="K33" s="287"/>
      <c r="L33" s="287"/>
      <c r="M33" s="287"/>
      <c r="N33" s="287"/>
      <c r="O33" s="287"/>
      <c r="P33" s="287"/>
      <c r="Q33" s="288"/>
    </row>
    <row r="34" spans="1:17" s="32" customFormat="1" ht="12.5" x14ac:dyDescent="0.25">
      <c r="A34" s="272"/>
      <c r="B34" s="282">
        <v>3.2</v>
      </c>
      <c r="C34" s="256" t="s">
        <v>76</v>
      </c>
      <c r="D34" s="256"/>
      <c r="E34" s="256"/>
      <c r="F34" s="256"/>
      <c r="G34" s="289">
        <v>0.49</v>
      </c>
      <c r="H34" s="289">
        <v>0.38</v>
      </c>
      <c r="I34" s="289">
        <v>0.5</v>
      </c>
      <c r="J34" s="289">
        <v>0.44</v>
      </c>
      <c r="K34" s="287"/>
      <c r="L34" s="287"/>
      <c r="M34" s="287"/>
      <c r="N34" s="287"/>
      <c r="O34" s="287"/>
      <c r="P34" s="287"/>
      <c r="Q34" s="288"/>
    </row>
    <row r="35" spans="1:17" s="32" customFormat="1" ht="12.5" x14ac:dyDescent="0.25">
      <c r="A35" s="272"/>
      <c r="B35" s="282">
        <v>3.3</v>
      </c>
      <c r="C35" s="256" t="s">
        <v>77</v>
      </c>
      <c r="D35" s="256"/>
      <c r="E35" s="256"/>
      <c r="F35" s="256"/>
      <c r="G35" s="289"/>
      <c r="H35" s="289"/>
      <c r="I35" s="289"/>
      <c r="J35" s="289"/>
      <c r="K35" s="287"/>
      <c r="L35" s="287"/>
      <c r="M35" s="287"/>
      <c r="N35" s="287"/>
      <c r="O35" s="287"/>
      <c r="P35" s="287"/>
      <c r="Q35" s="288"/>
    </row>
    <row r="36" spans="1:17" s="32" customFormat="1" ht="12.5" x14ac:dyDescent="0.25">
      <c r="A36" s="272"/>
      <c r="B36" s="282">
        <v>3.4</v>
      </c>
      <c r="C36" s="256" t="s">
        <v>78</v>
      </c>
      <c r="D36" s="256"/>
      <c r="E36" s="256"/>
      <c r="F36" s="256"/>
      <c r="G36" s="289"/>
      <c r="H36" s="289"/>
      <c r="I36" s="289"/>
      <c r="J36" s="289" t="s">
        <v>79</v>
      </c>
      <c r="K36" s="287"/>
      <c r="L36" s="287"/>
      <c r="M36" s="287"/>
      <c r="N36" s="287"/>
      <c r="O36" s="287"/>
      <c r="P36" s="287"/>
      <c r="Q36" s="288"/>
    </row>
    <row r="37" spans="1:17" s="32" customFormat="1" ht="12.5" x14ac:dyDescent="0.25">
      <c r="A37" s="272"/>
      <c r="B37" s="282">
        <v>3.5</v>
      </c>
      <c r="C37" s="256" t="s">
        <v>80</v>
      </c>
      <c r="D37" s="256"/>
      <c r="E37" s="256"/>
      <c r="F37" s="256"/>
      <c r="G37" s="289"/>
      <c r="H37" s="289"/>
      <c r="I37" s="289"/>
      <c r="J37" s="289"/>
      <c r="K37" s="287"/>
      <c r="L37" s="287"/>
      <c r="M37" s="287"/>
      <c r="N37" s="287"/>
      <c r="O37" s="287"/>
      <c r="P37" s="287"/>
      <c r="Q37" s="288"/>
    </row>
    <row r="38" spans="1:17" s="32" customFormat="1" ht="12.5" x14ac:dyDescent="0.25">
      <c r="A38" s="272"/>
      <c r="B38" s="282">
        <v>3.6</v>
      </c>
      <c r="C38" s="256" t="s">
        <v>81</v>
      </c>
      <c r="D38" s="256"/>
      <c r="E38" s="256"/>
      <c r="F38" s="256"/>
      <c r="G38" s="289" t="s">
        <v>82</v>
      </c>
      <c r="H38" s="289" t="s">
        <v>83</v>
      </c>
      <c r="I38" s="289" t="s">
        <v>84</v>
      </c>
      <c r="J38" s="289" t="s">
        <v>85</v>
      </c>
      <c r="K38" s="287"/>
      <c r="L38" s="287"/>
      <c r="M38" s="287"/>
      <c r="N38" s="287"/>
      <c r="O38" s="287"/>
      <c r="P38" s="287"/>
      <c r="Q38" s="288"/>
    </row>
    <row r="39" spans="1:17" s="32" customFormat="1" ht="12.5" x14ac:dyDescent="0.25">
      <c r="A39" s="272"/>
      <c r="B39" s="282">
        <v>3.7</v>
      </c>
      <c r="C39" s="256" t="s">
        <v>86</v>
      </c>
      <c r="D39" s="256"/>
      <c r="E39" s="256"/>
      <c r="F39" s="256"/>
      <c r="G39" s="289" t="s">
        <v>87</v>
      </c>
      <c r="H39" s="289" t="s">
        <v>88</v>
      </c>
      <c r="I39" s="289" t="s">
        <v>89</v>
      </c>
      <c r="J39" s="289" t="s">
        <v>90</v>
      </c>
      <c r="K39" s="287"/>
      <c r="L39" s="287"/>
      <c r="M39" s="287"/>
      <c r="N39" s="287"/>
      <c r="O39" s="287"/>
      <c r="P39" s="287"/>
      <c r="Q39" s="288"/>
    </row>
    <row r="40" spans="1:17" s="32" customFormat="1" ht="12.5" x14ac:dyDescent="0.25">
      <c r="A40" s="272"/>
      <c r="B40" s="282">
        <v>3.8</v>
      </c>
      <c r="C40" s="256" t="s">
        <v>91</v>
      </c>
      <c r="D40" s="256"/>
      <c r="E40" s="256"/>
      <c r="F40" s="256"/>
      <c r="G40" s="289" t="s">
        <v>67</v>
      </c>
      <c r="H40" s="289" t="s">
        <v>67</v>
      </c>
      <c r="I40" s="289" t="s">
        <v>67</v>
      </c>
      <c r="J40" s="289" t="s">
        <v>67</v>
      </c>
      <c r="K40" s="287"/>
      <c r="L40" s="287"/>
      <c r="M40" s="287"/>
      <c r="N40" s="287"/>
      <c r="O40" s="287"/>
      <c r="P40" s="287"/>
      <c r="Q40" s="288"/>
    </row>
    <row r="41" spans="1:17" s="32" customFormat="1" ht="12.5" x14ac:dyDescent="0.25">
      <c r="A41" s="272"/>
      <c r="B41" s="277"/>
      <c r="C41" s="278"/>
      <c r="D41" s="278"/>
      <c r="E41" s="278"/>
      <c r="F41" s="278"/>
      <c r="G41" s="278"/>
      <c r="H41" s="278"/>
      <c r="I41" s="278"/>
      <c r="J41" s="278"/>
      <c r="K41" s="278"/>
      <c r="L41" s="278"/>
      <c r="M41" s="278"/>
      <c r="N41" s="278"/>
      <c r="O41" s="278"/>
      <c r="P41" s="278"/>
      <c r="Q41" s="279"/>
    </row>
    <row r="42" spans="1:17" s="32" customFormat="1" ht="12.5" x14ac:dyDescent="0.25">
      <c r="A42" s="272"/>
      <c r="B42" s="277"/>
      <c r="C42" s="278"/>
      <c r="D42" s="278"/>
      <c r="E42" s="278"/>
      <c r="F42" s="278"/>
      <c r="G42" s="278"/>
      <c r="H42" s="278"/>
      <c r="I42" s="278"/>
      <c r="J42" s="278"/>
      <c r="K42" s="278"/>
      <c r="L42" s="278"/>
      <c r="M42" s="278"/>
      <c r="N42" s="278"/>
      <c r="O42" s="278"/>
      <c r="P42" s="278"/>
      <c r="Q42" s="279"/>
    </row>
    <row r="43" spans="1:17" s="12" customFormat="1" ht="14" x14ac:dyDescent="0.3">
      <c r="A43" s="53"/>
      <c r="B43" s="33">
        <v>4</v>
      </c>
      <c r="C43" s="34" t="s">
        <v>92</v>
      </c>
      <c r="D43" s="280"/>
      <c r="E43" s="280"/>
      <c r="F43" s="280"/>
      <c r="G43" s="34" t="s">
        <v>38</v>
      </c>
      <c r="H43" s="280"/>
      <c r="I43" s="280"/>
      <c r="J43" s="280"/>
      <c r="K43" s="280"/>
      <c r="L43" s="280"/>
      <c r="M43" s="280"/>
      <c r="N43" s="280"/>
      <c r="O43" s="280"/>
      <c r="P43" s="280"/>
      <c r="Q43" s="281"/>
    </row>
    <row r="44" spans="1:17" s="32" customFormat="1" ht="12.5" x14ac:dyDescent="0.25">
      <c r="A44" s="272"/>
      <c r="B44" s="282">
        <v>4.0999999999999996</v>
      </c>
      <c r="C44" s="429" t="s">
        <v>93</v>
      </c>
      <c r="D44" s="424"/>
      <c r="E44" s="424"/>
      <c r="F44" s="256"/>
      <c r="G44" s="420" t="s">
        <v>773</v>
      </c>
      <c r="H44" s="421"/>
      <c r="I44" s="421"/>
      <c r="J44" s="421"/>
      <c r="K44" s="421"/>
      <c r="L44" s="421"/>
      <c r="M44" s="421"/>
      <c r="N44" s="421"/>
      <c r="O44" s="421"/>
      <c r="P44" s="422"/>
      <c r="Q44" s="283"/>
    </row>
    <row r="45" spans="1:17" s="32" customFormat="1" ht="12.5" x14ac:dyDescent="0.25">
      <c r="A45" s="272"/>
      <c r="B45" s="282">
        <v>4.2</v>
      </c>
      <c r="C45" s="429" t="s">
        <v>94</v>
      </c>
      <c r="D45" s="424"/>
      <c r="E45" s="424"/>
      <c r="F45" s="256"/>
      <c r="G45" s="420" t="s">
        <v>776</v>
      </c>
      <c r="H45" s="421"/>
      <c r="I45" s="421"/>
      <c r="J45" s="421"/>
      <c r="K45" s="421"/>
      <c r="L45" s="421"/>
      <c r="M45" s="421"/>
      <c r="N45" s="421"/>
      <c r="O45" s="421"/>
      <c r="P45" s="422"/>
      <c r="Q45" s="283"/>
    </row>
    <row r="46" spans="1:17" s="32" customFormat="1" ht="12.5" x14ac:dyDescent="0.25">
      <c r="A46" s="272"/>
      <c r="B46" s="282">
        <v>4.3</v>
      </c>
      <c r="C46" s="432" t="s">
        <v>95</v>
      </c>
      <c r="D46" s="424"/>
      <c r="E46" s="424"/>
      <c r="F46" s="256"/>
      <c r="G46" s="420" t="s">
        <v>774</v>
      </c>
      <c r="H46" s="421"/>
      <c r="I46" s="421"/>
      <c r="J46" s="421"/>
      <c r="K46" s="421"/>
      <c r="L46" s="421"/>
      <c r="M46" s="421"/>
      <c r="N46" s="421"/>
      <c r="O46" s="421"/>
      <c r="P46" s="422"/>
      <c r="Q46" s="283"/>
    </row>
    <row r="47" spans="1:17" s="32" customFormat="1" ht="39.75" customHeight="1" x14ac:dyDescent="0.25">
      <c r="A47" s="272"/>
      <c r="B47" s="282">
        <v>4.5</v>
      </c>
      <c r="C47" s="429" t="s">
        <v>96</v>
      </c>
      <c r="D47" s="424"/>
      <c r="E47" s="424"/>
      <c r="F47" s="256"/>
      <c r="G47" s="420"/>
      <c r="H47" s="421"/>
      <c r="I47" s="421"/>
      <c r="J47" s="421"/>
      <c r="K47" s="421"/>
      <c r="L47" s="421"/>
      <c r="M47" s="421"/>
      <c r="N47" s="421"/>
      <c r="O47" s="421"/>
      <c r="P47" s="422"/>
      <c r="Q47" s="283"/>
    </row>
    <row r="48" spans="1:17" s="32" customFormat="1" ht="12.5" x14ac:dyDescent="0.25">
      <c r="A48" s="272"/>
      <c r="B48" s="282">
        <v>4.5999999999999996</v>
      </c>
      <c r="C48" s="429" t="s">
        <v>97</v>
      </c>
      <c r="D48" s="424"/>
      <c r="E48" s="424"/>
      <c r="F48" s="256"/>
      <c r="G48" s="420" t="s">
        <v>775</v>
      </c>
      <c r="H48" s="421"/>
      <c r="I48" s="421"/>
      <c r="J48" s="421"/>
      <c r="K48" s="421"/>
      <c r="L48" s="421"/>
      <c r="M48" s="421"/>
      <c r="N48" s="421"/>
      <c r="O48" s="421"/>
      <c r="P48" s="422"/>
      <c r="Q48" s="283"/>
    </row>
    <row r="49" spans="1:17" s="32" customFormat="1" ht="12.5" x14ac:dyDescent="0.25">
      <c r="A49" s="272"/>
      <c r="B49" s="282">
        <v>4.7</v>
      </c>
      <c r="C49" s="429" t="s">
        <v>94</v>
      </c>
      <c r="D49" s="424"/>
      <c r="E49" s="424"/>
      <c r="F49" s="256"/>
      <c r="G49" s="420" t="s">
        <v>776</v>
      </c>
      <c r="H49" s="421"/>
      <c r="I49" s="421"/>
      <c r="J49" s="421"/>
      <c r="K49" s="421"/>
      <c r="L49" s="421"/>
      <c r="M49" s="421"/>
      <c r="N49" s="421"/>
      <c r="O49" s="421"/>
      <c r="P49" s="422"/>
      <c r="Q49" s="283"/>
    </row>
    <row r="50" spans="1:17" s="32" customFormat="1" ht="12.5" x14ac:dyDescent="0.25">
      <c r="A50" s="272"/>
      <c r="B50" s="277"/>
      <c r="C50" s="290"/>
      <c r="D50" s="256"/>
      <c r="E50" s="256"/>
      <c r="F50" s="278"/>
      <c r="G50" s="278"/>
      <c r="H50" s="278"/>
      <c r="I50" s="278"/>
      <c r="J50" s="278"/>
      <c r="K50" s="278"/>
      <c r="L50" s="278"/>
      <c r="M50" s="278"/>
      <c r="N50" s="278"/>
      <c r="O50" s="278"/>
      <c r="P50" s="278"/>
      <c r="Q50" s="279"/>
    </row>
    <row r="51" spans="1:17" s="32" customFormat="1" ht="12.5" x14ac:dyDescent="0.25">
      <c r="A51" s="272"/>
      <c r="B51" s="277"/>
      <c r="C51" s="430" t="s">
        <v>98</v>
      </c>
      <c r="D51" s="431"/>
      <c r="E51" s="431"/>
      <c r="F51" s="431"/>
      <c r="G51" s="420"/>
      <c r="H51" s="421"/>
      <c r="I51" s="421"/>
      <c r="J51" s="421"/>
      <c r="K51" s="421"/>
      <c r="L51" s="421"/>
      <c r="M51" s="421"/>
      <c r="N51" s="421"/>
      <c r="O51" s="421"/>
      <c r="P51" s="422"/>
      <c r="Q51" s="283"/>
    </row>
    <row r="52" spans="1:17" s="32" customFormat="1" ht="15.75" customHeight="1" x14ac:dyDescent="0.25">
      <c r="B52" s="36"/>
      <c r="C52" s="35"/>
      <c r="D52" s="35"/>
      <c r="E52" s="35"/>
      <c r="F52" s="35"/>
      <c r="G52" s="35"/>
      <c r="H52" s="35"/>
      <c r="I52" s="35"/>
      <c r="J52" s="35"/>
      <c r="K52" s="35"/>
      <c r="L52" s="35"/>
      <c r="M52" s="35"/>
      <c r="N52" s="35"/>
      <c r="O52" s="35"/>
      <c r="P52" s="35"/>
      <c r="Q52" s="37"/>
    </row>
    <row r="53" spans="1:17" s="32" customFormat="1" ht="15.75" customHeight="1" x14ac:dyDescent="0.25">
      <c r="B53" s="36"/>
      <c r="C53" s="35"/>
      <c r="D53" s="35"/>
      <c r="E53" s="35"/>
      <c r="F53" s="35"/>
      <c r="G53" s="35"/>
      <c r="H53" s="35"/>
      <c r="I53" s="35"/>
      <c r="J53" s="35"/>
      <c r="K53" s="35"/>
      <c r="L53" s="35"/>
      <c r="M53" s="35"/>
      <c r="N53" s="35"/>
      <c r="O53" s="35"/>
      <c r="P53" s="35"/>
      <c r="Q53" s="37"/>
    </row>
    <row r="54" spans="1:17" s="12" customFormat="1" ht="14" x14ac:dyDescent="0.3">
      <c r="B54" s="38"/>
      <c r="C54" s="39" t="s">
        <v>99</v>
      </c>
      <c r="D54" s="40"/>
      <c r="E54" s="40"/>
      <c r="F54" s="40"/>
      <c r="G54" s="40"/>
      <c r="H54" s="40"/>
      <c r="I54" s="40"/>
      <c r="J54" s="40"/>
      <c r="K54" s="40"/>
      <c r="L54" s="40"/>
      <c r="M54" s="40"/>
      <c r="N54" s="40"/>
      <c r="O54" s="40"/>
      <c r="P54" s="40"/>
      <c r="Q54" s="41"/>
    </row>
    <row r="55" spans="1:17" s="32" customFormat="1" ht="25.9" customHeight="1" x14ac:dyDescent="0.25">
      <c r="B55" s="36"/>
      <c r="C55" s="426" t="s">
        <v>100</v>
      </c>
      <c r="D55" s="427"/>
      <c r="E55" s="427"/>
      <c r="F55" s="427"/>
      <c r="G55" s="427"/>
      <c r="H55" s="427"/>
      <c r="I55" s="427"/>
      <c r="J55" s="427"/>
      <c r="K55" s="427"/>
      <c r="L55" s="427"/>
      <c r="M55" s="427"/>
      <c r="N55" s="427"/>
      <c r="O55" s="427"/>
      <c r="P55" s="427"/>
      <c r="Q55" s="428"/>
    </row>
    <row r="56" spans="1:17" ht="15.75" customHeight="1" thickBot="1" x14ac:dyDescent="0.3">
      <c r="B56" s="42"/>
      <c r="C56" s="43"/>
      <c r="D56" s="43"/>
      <c r="E56" s="43"/>
      <c r="F56" s="43"/>
      <c r="G56" s="43"/>
      <c r="H56" s="43"/>
      <c r="I56" s="43"/>
      <c r="J56" s="43"/>
      <c r="K56" s="43"/>
      <c r="L56" s="43"/>
      <c r="M56" s="43"/>
      <c r="N56" s="43"/>
      <c r="O56" s="43"/>
      <c r="P56" s="43"/>
      <c r="Q56" s="44"/>
    </row>
  </sheetData>
  <sheetProtection algorithmName="SHA-512" hashValue="+FktJUjIfpINMTDe8YiaKn/lxLgZsLu+E637NNDtAlKBeKZ2Qw8Ke4OVl+T1VpxUjcKncUgffJGVqzo8Nt4DfQ==" saltValue="mE8ULfDrBZie3dNG5ava4Q==" spinCount="100000" sheet="1" objects="1" scenarios="1"/>
  <mergeCells count="32">
    <mergeCell ref="B5:Q5"/>
    <mergeCell ref="C55:Q55"/>
    <mergeCell ref="C47:E47"/>
    <mergeCell ref="C48:E48"/>
    <mergeCell ref="C49:E49"/>
    <mergeCell ref="C51:F51"/>
    <mergeCell ref="G47:P47"/>
    <mergeCell ref="G48:P48"/>
    <mergeCell ref="G49:P49"/>
    <mergeCell ref="G51:P51"/>
    <mergeCell ref="C44:E44"/>
    <mergeCell ref="C45:E45"/>
    <mergeCell ref="C46:E46"/>
    <mergeCell ref="G26:P26"/>
    <mergeCell ref="G27:P27"/>
    <mergeCell ref="G28:P28"/>
    <mergeCell ref="G18:P18"/>
    <mergeCell ref="G44:P44"/>
    <mergeCell ref="G45:P45"/>
    <mergeCell ref="G46:P46"/>
    <mergeCell ref="G19:P19"/>
    <mergeCell ref="G20:P20"/>
    <mergeCell ref="G24:P24"/>
    <mergeCell ref="G25:P25"/>
    <mergeCell ref="B8:G8"/>
    <mergeCell ref="G12:P12"/>
    <mergeCell ref="G13:P13"/>
    <mergeCell ref="G14:P14"/>
    <mergeCell ref="C17:F17"/>
    <mergeCell ref="G15:P15"/>
    <mergeCell ref="G16:P16"/>
    <mergeCell ref="G17:P17"/>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L113"/>
  <sheetViews>
    <sheetView showGridLines="0" topLeftCell="H19" zoomScale="70" zoomScaleNormal="70" workbookViewId="0">
      <selection activeCell="S28" sqref="S28"/>
    </sheetView>
  </sheetViews>
  <sheetFormatPr defaultColWidth="0" defaultRowHeight="15.75" customHeight="1" x14ac:dyDescent="0.25"/>
  <cols>
    <col min="1" max="2" width="7.81640625" hidden="1" customWidth="1"/>
    <col min="3" max="3" width="2.7265625" customWidth="1"/>
    <col min="4" max="4" width="28.81640625" customWidth="1"/>
    <col min="5" max="5" width="42.26953125" customWidth="1"/>
    <col min="6" max="6" width="46" customWidth="1"/>
    <col min="7" max="7" width="28.81640625" customWidth="1"/>
    <col min="8" max="8" width="16.7265625" customWidth="1"/>
    <col min="9" max="9" width="29.81640625" customWidth="1"/>
    <col min="10" max="30" width="13.54296875" customWidth="1"/>
    <col min="31" max="31" width="2.7265625" customWidth="1"/>
    <col min="32" max="38" width="0" hidden="1" customWidth="1"/>
    <col min="39" max="16384" width="12.54296875" hidden="1"/>
  </cols>
  <sheetData>
    <row r="1" spans="1:38" ht="13" thickBot="1" x14ac:dyDescent="0.3">
      <c r="A1" s="45" t="s">
        <v>101</v>
      </c>
      <c r="B1" s="45" t="s">
        <v>102</v>
      </c>
    </row>
    <row r="2" spans="1:38" s="49" customFormat="1" ht="22.5" customHeight="1" thickBot="1" x14ac:dyDescent="0.3">
      <c r="A2" s="291">
        <v>1</v>
      </c>
      <c r="B2" s="274">
        <v>1</v>
      </c>
      <c r="C2"/>
      <c r="D2" s="47" t="s">
        <v>103</v>
      </c>
      <c r="E2" s="48"/>
      <c r="F2" s="48"/>
      <c r="G2" s="48"/>
      <c r="H2" s="48"/>
      <c r="I2" s="48"/>
      <c r="J2" s="48"/>
      <c r="K2" s="48"/>
      <c r="L2" s="48"/>
      <c r="M2" s="48"/>
      <c r="N2" s="48"/>
      <c r="O2" s="48"/>
      <c r="P2" s="48"/>
      <c r="Q2" s="48"/>
      <c r="R2" s="48"/>
      <c r="S2" s="48"/>
      <c r="T2" s="48"/>
      <c r="U2" s="48"/>
      <c r="V2" s="48"/>
      <c r="W2" s="48"/>
      <c r="X2" s="48"/>
      <c r="Y2" s="48"/>
      <c r="Z2" s="48"/>
      <c r="AA2" s="48"/>
      <c r="AB2" s="48"/>
      <c r="AC2" s="48"/>
      <c r="AD2" s="131"/>
    </row>
    <row r="3" spans="1:38" ht="12.5" x14ac:dyDescent="0.25">
      <c r="A3" s="45">
        <v>1</v>
      </c>
      <c r="B3" s="45">
        <f t="shared" ref="B3:B17" si="0">B2+1</f>
        <v>2</v>
      </c>
      <c r="G3" s="45"/>
      <c r="H3" s="45"/>
    </row>
    <row r="4" spans="1:38" s="52" customFormat="1" ht="20.149999999999999" customHeight="1" x14ac:dyDescent="0.25">
      <c r="A4" s="50"/>
      <c r="B4" s="50">
        <f t="shared" si="0"/>
        <v>3</v>
      </c>
      <c r="C4" s="51"/>
      <c r="D4" s="433" t="s">
        <v>35</v>
      </c>
      <c r="E4" s="434"/>
      <c r="F4" s="434"/>
      <c r="G4" s="434"/>
      <c r="H4" s="292"/>
      <c r="I4" s="292"/>
      <c r="J4" s="292"/>
      <c r="K4" s="292"/>
      <c r="L4" s="292"/>
      <c r="M4" s="292"/>
      <c r="N4" s="292"/>
      <c r="O4" s="292"/>
      <c r="P4" s="292"/>
      <c r="Q4" s="292"/>
      <c r="R4" s="292"/>
      <c r="S4" s="292"/>
      <c r="T4" s="292"/>
      <c r="U4" s="292"/>
      <c r="V4" s="292"/>
      <c r="W4" s="292"/>
      <c r="X4" s="292"/>
      <c r="Y4" s="292"/>
      <c r="Z4" s="292"/>
      <c r="AA4" s="292"/>
      <c r="AB4" s="292"/>
      <c r="AC4" s="292"/>
      <c r="AD4" s="292"/>
    </row>
    <row r="5" spans="1:38" ht="123" customHeight="1" x14ac:dyDescent="0.3">
      <c r="A5" s="45"/>
      <c r="B5" s="45">
        <f t="shared" si="0"/>
        <v>4</v>
      </c>
      <c r="C5" s="132"/>
      <c r="D5" s="437" t="s">
        <v>104</v>
      </c>
      <c r="E5" s="437"/>
      <c r="F5" s="437"/>
      <c r="G5" s="438"/>
      <c r="H5" s="272"/>
      <c r="I5" s="293"/>
      <c r="J5" s="293"/>
      <c r="K5" s="293"/>
      <c r="L5" s="293"/>
      <c r="M5" s="293"/>
      <c r="N5" s="293"/>
      <c r="O5" s="293"/>
      <c r="P5" s="293"/>
      <c r="Q5" s="293"/>
      <c r="R5" s="293"/>
      <c r="S5" s="293"/>
      <c r="T5" s="293"/>
      <c r="U5" s="293"/>
      <c r="V5" s="293"/>
      <c r="W5" s="293"/>
      <c r="X5" s="293"/>
      <c r="Y5" s="293"/>
      <c r="Z5" s="293"/>
      <c r="AA5" s="293"/>
      <c r="AB5" s="272"/>
      <c r="AC5" s="272"/>
      <c r="AD5" s="272"/>
      <c r="AE5" s="272"/>
      <c r="AF5" s="272"/>
      <c r="AG5" s="272"/>
      <c r="AH5" s="272"/>
    </row>
    <row r="6" spans="1:38" ht="12.5" x14ac:dyDescent="0.25">
      <c r="A6" s="45"/>
      <c r="B6" s="45">
        <f t="shared" si="0"/>
        <v>5</v>
      </c>
    </row>
    <row r="7" spans="1:38" ht="12.5" x14ac:dyDescent="0.25">
      <c r="A7" s="45">
        <v>1</v>
      </c>
      <c r="B7" s="45">
        <f t="shared" si="0"/>
        <v>6</v>
      </c>
    </row>
    <row r="8" spans="1:38" s="52" customFormat="1" ht="20.149999999999999" customHeight="1" x14ac:dyDescent="0.25">
      <c r="A8" s="50">
        <v>1</v>
      </c>
      <c r="B8" s="50">
        <f t="shared" si="0"/>
        <v>7</v>
      </c>
      <c r="C8" s="51"/>
      <c r="D8" s="433" t="s">
        <v>105</v>
      </c>
      <c r="E8" s="434"/>
      <c r="F8" s="434"/>
      <c r="G8" s="434"/>
      <c r="H8" s="292"/>
      <c r="I8" s="292"/>
      <c r="J8" s="292"/>
      <c r="K8" s="292"/>
      <c r="L8" s="292"/>
      <c r="M8" s="292"/>
      <c r="N8" s="292"/>
      <c r="O8" s="292"/>
      <c r="P8" s="292"/>
      <c r="Q8" s="292"/>
      <c r="R8" s="292"/>
      <c r="S8" s="292"/>
      <c r="T8" s="292"/>
      <c r="U8" s="292"/>
      <c r="V8" s="292"/>
      <c r="W8" s="292"/>
      <c r="X8" s="292"/>
      <c r="Y8" s="292"/>
      <c r="Z8" s="292"/>
      <c r="AA8" s="292"/>
      <c r="AB8" s="292"/>
      <c r="AC8" s="292"/>
      <c r="AD8" s="292"/>
    </row>
    <row r="9" spans="1:38" ht="12.5" x14ac:dyDescent="0.25">
      <c r="A9" s="45">
        <v>1</v>
      </c>
      <c r="B9" s="45">
        <f t="shared" si="0"/>
        <v>8</v>
      </c>
      <c r="G9" s="45"/>
      <c r="H9" s="45"/>
    </row>
    <row r="10" spans="1:38" ht="13" x14ac:dyDescent="0.3">
      <c r="A10" s="45">
        <v>1</v>
      </c>
      <c r="B10" s="45">
        <f t="shared" si="0"/>
        <v>9</v>
      </c>
      <c r="D10" s="134" t="s">
        <v>106</v>
      </c>
      <c r="G10" s="45"/>
      <c r="H10" s="45"/>
    </row>
    <row r="11" spans="1:38" ht="13" x14ac:dyDescent="0.3">
      <c r="A11" s="45">
        <v>1</v>
      </c>
      <c r="B11" s="45">
        <f t="shared" si="0"/>
        <v>10</v>
      </c>
      <c r="D11" s="134" t="s">
        <v>107</v>
      </c>
      <c r="G11" s="45"/>
      <c r="H11" s="45"/>
    </row>
    <row r="12" spans="1:38" ht="13" x14ac:dyDescent="0.3">
      <c r="A12" s="45">
        <v>1</v>
      </c>
      <c r="B12" s="45">
        <f t="shared" si="0"/>
        <v>11</v>
      </c>
      <c r="D12" s="134" t="s">
        <v>108</v>
      </c>
      <c r="G12" s="45"/>
      <c r="H12" s="45"/>
    </row>
    <row r="13" spans="1:38" ht="13" x14ac:dyDescent="0.3">
      <c r="A13" s="45">
        <v>1</v>
      </c>
      <c r="B13" s="45">
        <f t="shared" si="0"/>
        <v>12</v>
      </c>
      <c r="D13" s="135"/>
      <c r="G13" s="45"/>
      <c r="H13" s="45"/>
    </row>
    <row r="14" spans="1:38" ht="12.5" x14ac:dyDescent="0.25">
      <c r="A14" s="45">
        <v>1</v>
      </c>
      <c r="B14" s="45">
        <f t="shared" si="0"/>
        <v>13</v>
      </c>
      <c r="G14" s="45"/>
      <c r="H14" s="45"/>
    </row>
    <row r="15" spans="1:38" s="52" customFormat="1" ht="20.149999999999999" customHeight="1" x14ac:dyDescent="0.25">
      <c r="A15" s="50">
        <v>1</v>
      </c>
      <c r="B15" s="50">
        <f t="shared" si="0"/>
        <v>14</v>
      </c>
      <c r="C15" s="51"/>
      <c r="D15" s="435" t="s">
        <v>109</v>
      </c>
      <c r="E15" s="436"/>
      <c r="F15" s="436"/>
      <c r="G15" s="436"/>
      <c r="H15" s="294"/>
      <c r="I15" s="294"/>
      <c r="J15" s="294"/>
      <c r="K15" s="294"/>
      <c r="L15" s="294"/>
      <c r="M15" s="294"/>
      <c r="N15" s="294"/>
      <c r="O15" s="294"/>
      <c r="P15" s="294"/>
      <c r="Q15" s="294"/>
      <c r="R15" s="294"/>
      <c r="S15" s="294"/>
      <c r="T15" s="294"/>
      <c r="U15" s="294"/>
      <c r="V15" s="294"/>
      <c r="W15" s="294"/>
      <c r="X15" s="294"/>
      <c r="Y15" s="294"/>
      <c r="Z15" s="294"/>
      <c r="AA15" s="294"/>
      <c r="AB15" s="294"/>
      <c r="AC15" s="294"/>
      <c r="AD15" s="294"/>
    </row>
    <row r="16" spans="1:38" ht="12.5" x14ac:dyDescent="0.25">
      <c r="A16" s="45">
        <v>1</v>
      </c>
      <c r="B16" s="45">
        <f t="shared" si="0"/>
        <v>15</v>
      </c>
      <c r="C16" s="295"/>
      <c r="D16" s="272"/>
      <c r="E16" s="272"/>
      <c r="F16" s="272"/>
      <c r="G16" s="272"/>
      <c r="H16" s="272"/>
      <c r="I16" s="272"/>
      <c r="J16" s="272"/>
      <c r="K16" s="272"/>
      <c r="L16" s="272"/>
      <c r="M16" s="272"/>
      <c r="N16" s="272"/>
      <c r="O16" s="272"/>
      <c r="P16" s="272"/>
      <c r="Q16" s="272"/>
      <c r="R16" s="272"/>
      <c r="S16" s="272"/>
      <c r="T16" s="272"/>
      <c r="U16" s="272"/>
      <c r="V16" s="272"/>
      <c r="W16" s="272"/>
      <c r="X16" s="272"/>
      <c r="Y16" s="272"/>
      <c r="Z16" s="272"/>
      <c r="AA16" s="272"/>
      <c r="AB16" s="272"/>
      <c r="AC16" s="272"/>
      <c r="AD16" s="272"/>
      <c r="AE16" s="272"/>
      <c r="AF16" s="295"/>
      <c r="AG16" s="295"/>
      <c r="AH16" s="295"/>
      <c r="AI16" s="295"/>
      <c r="AJ16" s="295"/>
      <c r="AK16" s="295"/>
      <c r="AL16" s="295"/>
    </row>
    <row r="17" spans="1:38" ht="13" x14ac:dyDescent="0.3">
      <c r="A17" s="45">
        <v>1</v>
      </c>
      <c r="B17" s="45">
        <f t="shared" si="0"/>
        <v>16</v>
      </c>
      <c r="C17" s="295"/>
      <c r="D17" s="134" t="s">
        <v>110</v>
      </c>
      <c r="E17" s="272"/>
      <c r="F17" s="272"/>
      <c r="G17" s="272"/>
      <c r="H17" s="272"/>
      <c r="I17" s="272"/>
      <c r="J17" s="272"/>
      <c r="K17" s="272"/>
      <c r="L17" s="272"/>
      <c r="M17" s="272"/>
      <c r="N17" s="272"/>
      <c r="O17" s="272"/>
      <c r="P17" s="272"/>
      <c r="Q17" s="272"/>
      <c r="R17" s="272"/>
      <c r="S17" s="272"/>
      <c r="T17" s="272"/>
      <c r="U17" s="272"/>
      <c r="V17" s="272"/>
      <c r="W17" s="272"/>
      <c r="X17" s="272"/>
      <c r="Y17" s="272"/>
      <c r="Z17" s="272"/>
      <c r="AA17" s="272"/>
      <c r="AB17" s="272"/>
      <c r="AC17" s="272"/>
      <c r="AD17" s="272"/>
      <c r="AE17" s="272"/>
      <c r="AF17" s="295"/>
      <c r="AG17" s="295"/>
      <c r="AH17" s="295"/>
      <c r="AI17" s="295"/>
      <c r="AJ17" s="295"/>
      <c r="AK17" s="295"/>
      <c r="AL17" s="295"/>
    </row>
    <row r="18" spans="1:38" ht="13" x14ac:dyDescent="0.3">
      <c r="A18" s="45"/>
      <c r="D18" s="448" t="s">
        <v>111</v>
      </c>
      <c r="E18" s="449"/>
      <c r="F18" s="449"/>
      <c r="G18" s="449"/>
      <c r="H18" s="449"/>
      <c r="I18" s="449"/>
      <c r="J18" s="449"/>
      <c r="K18" s="449"/>
      <c r="L18" s="449"/>
      <c r="M18" s="449"/>
      <c r="N18" s="449"/>
      <c r="O18" s="449"/>
      <c r="P18" s="449"/>
      <c r="Q18" s="449"/>
      <c r="R18" s="449"/>
      <c r="S18" s="449"/>
      <c r="T18" s="449"/>
      <c r="U18" s="45"/>
      <c r="V18" s="45"/>
      <c r="W18" s="45"/>
      <c r="X18" s="45"/>
      <c r="Y18" s="45"/>
      <c r="Z18" s="45"/>
      <c r="AA18" s="45"/>
      <c r="AB18" s="45"/>
      <c r="AC18" s="45"/>
      <c r="AD18" s="45"/>
      <c r="AE18" s="45"/>
      <c r="AF18" s="45"/>
    </row>
    <row r="19" spans="1:38" ht="13" thickBot="1" x14ac:dyDescent="0.3">
      <c r="A19" s="45"/>
      <c r="W19" s="45"/>
      <c r="X19" s="45"/>
      <c r="Y19" s="45"/>
      <c r="Z19" s="45"/>
      <c r="AA19" s="45"/>
      <c r="AB19" s="45"/>
      <c r="AC19" s="45"/>
      <c r="AD19" s="45"/>
      <c r="AE19" s="45"/>
      <c r="AF19" s="45"/>
    </row>
    <row r="20" spans="1:38" ht="13" x14ac:dyDescent="0.3">
      <c r="A20" s="45">
        <v>1</v>
      </c>
      <c r="B20" s="45">
        <f>B17+1</f>
        <v>17</v>
      </c>
      <c r="D20" s="45"/>
      <c r="E20" s="225" t="s">
        <v>112</v>
      </c>
      <c r="F20" s="229"/>
      <c r="G20" s="230"/>
      <c r="H20" s="230"/>
      <c r="I20" s="230"/>
      <c r="J20" s="230"/>
      <c r="K20" s="230"/>
      <c r="L20" s="230"/>
      <c r="M20" s="230"/>
      <c r="N20" s="230"/>
      <c r="O20" s="230"/>
      <c r="P20" s="230"/>
      <c r="Q20" s="230"/>
      <c r="R20" s="230"/>
      <c r="S20" s="230"/>
      <c r="T20" s="230"/>
      <c r="U20" s="230"/>
      <c r="V20" s="230"/>
      <c r="W20" s="230"/>
      <c r="X20" s="230"/>
      <c r="Y20" s="230"/>
      <c r="Z20" s="230"/>
      <c r="AA20" s="230"/>
      <c r="AB20" s="230"/>
      <c r="AC20" s="230"/>
      <c r="AD20" s="231"/>
    </row>
    <row r="21" spans="1:38" ht="26.5" thickBot="1" x14ac:dyDescent="0.3">
      <c r="A21" s="45"/>
      <c r="D21" s="45"/>
      <c r="E21" s="226" t="s">
        <v>113</v>
      </c>
      <c r="F21" s="232" t="s">
        <v>114</v>
      </c>
      <c r="G21" s="137" t="s">
        <v>115</v>
      </c>
      <c r="H21" s="137" t="s">
        <v>116</v>
      </c>
      <c r="I21" s="137" t="s">
        <v>117</v>
      </c>
      <c r="J21" s="137" t="s">
        <v>117</v>
      </c>
      <c r="K21" s="137" t="s">
        <v>117</v>
      </c>
      <c r="L21" s="137" t="s">
        <v>117</v>
      </c>
      <c r="M21" s="137" t="s">
        <v>117</v>
      </c>
      <c r="N21" s="137" t="s">
        <v>117</v>
      </c>
      <c r="O21" s="137" t="s">
        <v>117</v>
      </c>
      <c r="P21" s="137" t="s">
        <v>118</v>
      </c>
      <c r="Q21" s="137" t="s">
        <v>119</v>
      </c>
      <c r="R21" s="137" t="s">
        <v>114</v>
      </c>
      <c r="S21" s="137" t="s">
        <v>114</v>
      </c>
      <c r="T21" s="137" t="s">
        <v>120</v>
      </c>
      <c r="U21" s="137" t="s">
        <v>119</v>
      </c>
      <c r="V21" s="224" t="s">
        <v>121</v>
      </c>
      <c r="W21" s="224" t="s">
        <v>121</v>
      </c>
      <c r="X21" s="224" t="s">
        <v>121</v>
      </c>
      <c r="Y21" s="224" t="s">
        <v>121</v>
      </c>
      <c r="Z21" s="224" t="s">
        <v>121</v>
      </c>
      <c r="AA21" s="224" t="s">
        <v>121</v>
      </c>
      <c r="AB21" s="224" t="s">
        <v>121</v>
      </c>
      <c r="AC21" s="224" t="s">
        <v>121</v>
      </c>
      <c r="AD21" s="233" t="s">
        <v>121</v>
      </c>
    </row>
    <row r="22" spans="1:38" ht="13.5" thickBot="1" x14ac:dyDescent="0.3">
      <c r="A22" s="45"/>
      <c r="D22" s="45"/>
      <c r="E22" s="226" t="s">
        <v>122</v>
      </c>
      <c r="F22" s="234"/>
      <c r="G22" s="180"/>
      <c r="H22" s="180"/>
      <c r="I22" s="180"/>
      <c r="J22" s="180"/>
      <c r="K22" s="180"/>
      <c r="L22" s="180"/>
      <c r="M22" s="180"/>
      <c r="N22" s="180"/>
      <c r="O22" s="180"/>
      <c r="P22" s="180"/>
      <c r="Q22" s="180"/>
      <c r="R22" s="180"/>
      <c r="S22" s="180"/>
      <c r="T22" s="180"/>
      <c r="U22" s="180"/>
      <c r="V22" s="178"/>
      <c r="W22" s="178"/>
      <c r="X22" s="178"/>
      <c r="Y22" s="178"/>
      <c r="Z22" s="178"/>
      <c r="AA22" s="178"/>
      <c r="AB22" s="178"/>
      <c r="AC22" s="178"/>
      <c r="AD22" s="235"/>
    </row>
    <row r="23" spans="1:38" ht="37.5" x14ac:dyDescent="0.25">
      <c r="A23" s="45">
        <v>1</v>
      </c>
      <c r="B23" s="45">
        <f>B20+1</f>
        <v>18</v>
      </c>
      <c r="D23" s="136" t="s">
        <v>123</v>
      </c>
      <c r="E23" s="226" t="s">
        <v>124</v>
      </c>
      <c r="F23" s="232" t="s">
        <v>125</v>
      </c>
      <c r="G23" s="137" t="s">
        <v>126</v>
      </c>
      <c r="H23" s="137" t="s">
        <v>127</v>
      </c>
      <c r="I23" s="137" t="s">
        <v>128</v>
      </c>
      <c r="J23" s="137" t="s">
        <v>129</v>
      </c>
      <c r="K23" s="137" t="s">
        <v>130</v>
      </c>
      <c r="L23" s="137" t="s">
        <v>131</v>
      </c>
      <c r="M23" s="257" t="s">
        <v>132</v>
      </c>
      <c r="N23" s="137" t="s">
        <v>133</v>
      </c>
      <c r="O23" s="137" t="s">
        <v>134</v>
      </c>
      <c r="P23" s="137" t="s">
        <v>135</v>
      </c>
      <c r="Q23" s="257" t="s">
        <v>136</v>
      </c>
      <c r="R23" s="137" t="s">
        <v>137</v>
      </c>
      <c r="S23" s="137" t="s">
        <v>138</v>
      </c>
      <c r="T23" s="137" t="s">
        <v>139</v>
      </c>
      <c r="U23" s="137" t="s">
        <v>140</v>
      </c>
      <c r="V23" s="224" t="s">
        <v>141</v>
      </c>
      <c r="W23" s="224" t="s">
        <v>141</v>
      </c>
      <c r="X23" s="224" t="s">
        <v>141</v>
      </c>
      <c r="Y23" s="224" t="s">
        <v>141</v>
      </c>
      <c r="Z23" s="224" t="s">
        <v>141</v>
      </c>
      <c r="AA23" s="224" t="s">
        <v>141</v>
      </c>
      <c r="AB23" s="224" t="s">
        <v>141</v>
      </c>
      <c r="AC23" s="224" t="s">
        <v>141</v>
      </c>
      <c r="AD23" s="233" t="s">
        <v>141</v>
      </c>
    </row>
    <row r="24" spans="1:38" ht="13" x14ac:dyDescent="0.3">
      <c r="A24" s="45">
        <v>1</v>
      </c>
      <c r="B24" s="45">
        <f t="shared" ref="B24:B32" si="1">B23+1</f>
        <v>19</v>
      </c>
      <c r="D24" s="138" t="s">
        <v>142</v>
      </c>
      <c r="E24" s="227" t="s">
        <v>143</v>
      </c>
      <c r="F24" s="236"/>
      <c r="G24" s="179"/>
      <c r="H24" s="179"/>
      <c r="I24" s="179"/>
      <c r="J24" s="179"/>
      <c r="K24" s="179"/>
      <c r="L24" s="179"/>
      <c r="M24" s="179"/>
      <c r="N24" s="179"/>
      <c r="O24" s="179"/>
      <c r="P24" s="179"/>
      <c r="Q24" s="179"/>
      <c r="R24" s="179"/>
      <c r="S24" s="179">
        <v>68000</v>
      </c>
      <c r="T24" s="179"/>
      <c r="U24" s="179"/>
      <c r="V24" s="179"/>
      <c r="W24" s="179"/>
      <c r="X24" s="179"/>
      <c r="Y24" s="179"/>
      <c r="Z24" s="179"/>
      <c r="AA24" s="179"/>
      <c r="AB24" s="179"/>
      <c r="AC24" s="179"/>
      <c r="AD24" s="237"/>
    </row>
    <row r="25" spans="1:38" ht="13" x14ac:dyDescent="0.3">
      <c r="A25" s="45">
        <v>1</v>
      </c>
      <c r="B25" s="45">
        <f t="shared" si="1"/>
        <v>20</v>
      </c>
      <c r="D25" s="138" t="s">
        <v>142</v>
      </c>
      <c r="E25" s="227" t="s">
        <v>144</v>
      </c>
      <c r="F25" s="236"/>
      <c r="G25" s="179"/>
      <c r="H25" s="179"/>
      <c r="I25" s="179"/>
      <c r="J25" s="179"/>
      <c r="K25" s="179"/>
      <c r="L25" s="179"/>
      <c r="M25" s="179"/>
      <c r="N25" s="179"/>
      <c r="O25" s="179"/>
      <c r="P25" s="179"/>
      <c r="Q25" s="179"/>
      <c r="R25" s="179"/>
      <c r="S25" s="179">
        <v>68000</v>
      </c>
      <c r="T25" s="179"/>
      <c r="U25" s="179"/>
      <c r="V25" s="179"/>
      <c r="W25" s="179"/>
      <c r="X25" s="179"/>
      <c r="Y25" s="179"/>
      <c r="Z25" s="179"/>
      <c r="AA25" s="179"/>
      <c r="AB25" s="179"/>
      <c r="AC25" s="179"/>
      <c r="AD25" s="179"/>
      <c r="AE25" s="242"/>
    </row>
    <row r="26" spans="1:38" ht="12.5" x14ac:dyDescent="0.25">
      <c r="A26" s="45">
        <v>1</v>
      </c>
      <c r="B26" s="45">
        <f t="shared" si="1"/>
        <v>21</v>
      </c>
      <c r="D26" s="138" t="s">
        <v>145</v>
      </c>
      <c r="E26" s="227" t="s">
        <v>146</v>
      </c>
      <c r="F26" s="238"/>
      <c r="G26" s="179"/>
      <c r="H26" s="179"/>
      <c r="I26" s="179"/>
      <c r="J26" s="179"/>
      <c r="K26" s="179"/>
      <c r="L26" s="179"/>
      <c r="M26" s="179"/>
      <c r="N26" s="179"/>
      <c r="O26" s="179"/>
      <c r="P26" s="179"/>
      <c r="Q26" s="179"/>
      <c r="R26" s="179"/>
      <c r="S26" s="179">
        <v>68000</v>
      </c>
      <c r="T26" s="179"/>
      <c r="U26" s="179"/>
      <c r="V26" s="179"/>
      <c r="W26" s="179"/>
      <c r="X26" s="179"/>
      <c r="Y26" s="179"/>
      <c r="Z26" s="179"/>
      <c r="AA26" s="179"/>
      <c r="AB26" s="179"/>
      <c r="AC26" s="179"/>
      <c r="AD26" s="237"/>
    </row>
    <row r="27" spans="1:38" ht="12.5" x14ac:dyDescent="0.25">
      <c r="A27" s="45">
        <v>1</v>
      </c>
      <c r="B27" s="45">
        <f t="shared" si="1"/>
        <v>22</v>
      </c>
      <c r="D27" s="138" t="s">
        <v>145</v>
      </c>
      <c r="E27" s="227" t="s">
        <v>147</v>
      </c>
      <c r="F27" s="238"/>
      <c r="G27" s="179"/>
      <c r="H27" s="179"/>
      <c r="I27" s="179"/>
      <c r="J27" s="179"/>
      <c r="K27" s="179"/>
      <c r="L27" s="179"/>
      <c r="M27" s="179"/>
      <c r="N27" s="179"/>
      <c r="O27" s="179"/>
      <c r="P27" s="179"/>
      <c r="Q27" s="179"/>
      <c r="R27" s="179"/>
      <c r="S27" s="179">
        <v>68000</v>
      </c>
      <c r="T27" s="179"/>
      <c r="U27" s="179"/>
      <c r="V27" s="179"/>
      <c r="W27" s="179"/>
      <c r="X27" s="179"/>
      <c r="Y27" s="179"/>
      <c r="Z27" s="179"/>
      <c r="AA27" s="179"/>
      <c r="AB27" s="179"/>
      <c r="AC27" s="179"/>
      <c r="AD27" s="237"/>
    </row>
    <row r="28" spans="1:38" ht="12.5" x14ac:dyDescent="0.25">
      <c r="A28" s="45">
        <v>1</v>
      </c>
      <c r="B28" s="45">
        <f t="shared" si="1"/>
        <v>23</v>
      </c>
      <c r="D28" s="138" t="s">
        <v>148</v>
      </c>
      <c r="E28" s="227" t="s">
        <v>149</v>
      </c>
      <c r="F28" s="238"/>
      <c r="G28" s="179"/>
      <c r="H28" s="179"/>
      <c r="I28" s="179"/>
      <c r="J28" s="179"/>
      <c r="K28" s="179"/>
      <c r="L28" s="179"/>
      <c r="M28" s="179"/>
      <c r="N28" s="179"/>
      <c r="O28" s="179"/>
      <c r="P28" s="179"/>
      <c r="Q28" s="179"/>
      <c r="R28" s="179"/>
      <c r="S28" s="179">
        <v>75000</v>
      </c>
      <c r="T28" s="179"/>
      <c r="U28" s="179"/>
      <c r="V28" s="179"/>
      <c r="W28" s="179"/>
      <c r="X28" s="179"/>
      <c r="Y28" s="179"/>
      <c r="Z28" s="179"/>
      <c r="AA28" s="179"/>
      <c r="AB28" s="179"/>
      <c r="AC28" s="179"/>
      <c r="AD28" s="237"/>
    </row>
    <row r="29" spans="1:38" ht="12.5" x14ac:dyDescent="0.25">
      <c r="A29" s="45">
        <v>1</v>
      </c>
      <c r="B29" s="45">
        <f t="shared" si="1"/>
        <v>24</v>
      </c>
      <c r="D29" s="138" t="s">
        <v>148</v>
      </c>
      <c r="E29" s="227" t="s">
        <v>144</v>
      </c>
      <c r="F29" s="238"/>
      <c r="G29" s="179"/>
      <c r="H29" s="179"/>
      <c r="I29" s="179"/>
      <c r="J29" s="179"/>
      <c r="K29" s="179"/>
      <c r="L29" s="179"/>
      <c r="M29" s="179"/>
      <c r="N29" s="179"/>
      <c r="O29" s="179"/>
      <c r="P29" s="179"/>
      <c r="Q29" s="179"/>
      <c r="R29" s="179"/>
      <c r="S29" s="179">
        <v>75000</v>
      </c>
      <c r="T29" s="179"/>
      <c r="U29" s="179"/>
      <c r="V29" s="179"/>
      <c r="W29" s="179"/>
      <c r="X29" s="179"/>
      <c r="Y29" s="179"/>
      <c r="Z29" s="179"/>
      <c r="AA29" s="179"/>
      <c r="AB29" s="179"/>
      <c r="AC29" s="179"/>
      <c r="AD29" s="237"/>
    </row>
    <row r="30" spans="1:38" ht="12.5" x14ac:dyDescent="0.25">
      <c r="A30" s="45">
        <v>1</v>
      </c>
      <c r="B30" s="45">
        <f t="shared" si="1"/>
        <v>25</v>
      </c>
      <c r="D30" s="138" t="s">
        <v>150</v>
      </c>
      <c r="E30" s="227" t="s">
        <v>151</v>
      </c>
      <c r="F30" s="238"/>
      <c r="G30" s="179"/>
      <c r="H30" s="179"/>
      <c r="I30" s="179"/>
      <c r="J30" s="179"/>
      <c r="K30" s="179"/>
      <c r="L30" s="179"/>
      <c r="M30" s="179"/>
      <c r="N30" s="179"/>
      <c r="O30" s="179"/>
      <c r="P30" s="179"/>
      <c r="Q30" s="179"/>
      <c r="R30" s="179"/>
      <c r="S30" s="179">
        <v>0</v>
      </c>
      <c r="T30" s="179"/>
      <c r="U30" s="179"/>
      <c r="V30" s="179"/>
      <c r="W30" s="179"/>
      <c r="X30" s="179"/>
      <c r="Y30" s="179"/>
      <c r="Z30" s="179"/>
      <c r="AA30" s="179"/>
      <c r="AB30" s="179"/>
      <c r="AC30" s="179"/>
      <c r="AD30" s="237"/>
    </row>
    <row r="31" spans="1:38" ht="13.5" thickBot="1" x14ac:dyDescent="0.35">
      <c r="A31" s="45">
        <v>1</v>
      </c>
      <c r="B31" s="45">
        <f t="shared" si="1"/>
        <v>26</v>
      </c>
      <c r="D31" s="139" t="s">
        <v>152</v>
      </c>
      <c r="E31" s="228" t="s">
        <v>153</v>
      </c>
      <c r="F31" s="239"/>
      <c r="G31" s="240"/>
      <c r="H31" s="240"/>
      <c r="I31" s="240"/>
      <c r="J31" s="240"/>
      <c r="K31" s="240"/>
      <c r="L31" s="240"/>
      <c r="M31" s="240"/>
      <c r="N31" s="240"/>
      <c r="O31" s="240"/>
      <c r="P31" s="240"/>
      <c r="Q31" s="240"/>
      <c r="R31" s="240"/>
      <c r="S31" s="240"/>
      <c r="T31" s="240"/>
      <c r="U31" s="240"/>
      <c r="V31" s="240"/>
      <c r="W31" s="240"/>
      <c r="X31" s="240"/>
      <c r="Y31" s="240"/>
      <c r="Z31" s="240"/>
      <c r="AA31" s="240"/>
      <c r="AB31" s="240"/>
      <c r="AC31" s="240"/>
      <c r="AD31" s="241"/>
    </row>
    <row r="32" spans="1:38" ht="12.5" x14ac:dyDescent="0.25">
      <c r="A32" s="140">
        <v>1</v>
      </c>
      <c r="B32" s="140">
        <f t="shared" si="1"/>
        <v>27</v>
      </c>
      <c r="C32" s="140"/>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row>
    <row r="33" spans="1:38" ht="12.5" x14ac:dyDescent="0.25">
      <c r="A33" s="140"/>
      <c r="B33" s="140"/>
      <c r="C33" s="140"/>
      <c r="D33" s="295"/>
      <c r="E33" s="295"/>
      <c r="F33" s="295"/>
      <c r="G33" s="296"/>
      <c r="H33" s="295"/>
      <c r="I33" s="295"/>
      <c r="J33" s="295"/>
      <c r="K33" s="295"/>
      <c r="L33" s="295"/>
      <c r="M33" s="295"/>
      <c r="N33" s="295"/>
      <c r="O33" s="295"/>
      <c r="P33" s="295"/>
      <c r="Q33" s="295"/>
      <c r="R33" s="295"/>
      <c r="S33" s="295"/>
      <c r="T33" s="295"/>
      <c r="U33" s="295"/>
      <c r="V33" s="295"/>
      <c r="W33" s="295"/>
      <c r="X33" s="295"/>
      <c r="Y33" s="295"/>
      <c r="Z33" s="295"/>
      <c r="AA33" s="295"/>
      <c r="AB33" s="295"/>
      <c r="AC33" s="295"/>
      <c r="AD33" s="295"/>
      <c r="AE33" s="295"/>
      <c r="AF33" s="295"/>
      <c r="AG33" s="295"/>
      <c r="AH33" s="295"/>
      <c r="AI33" s="295"/>
      <c r="AJ33" s="295"/>
      <c r="AK33" s="295"/>
      <c r="AL33" s="295"/>
    </row>
    <row r="34" spans="1:38" ht="29.25" customHeight="1" x14ac:dyDescent="0.3">
      <c r="A34" s="45">
        <v>1</v>
      </c>
      <c r="B34" s="140">
        <f>B32+1</f>
        <v>28</v>
      </c>
      <c r="D34" s="450" t="s">
        <v>154</v>
      </c>
      <c r="E34" s="451"/>
      <c r="F34" s="451"/>
      <c r="G34" s="297" t="s">
        <v>155</v>
      </c>
      <c r="H34" s="298"/>
      <c r="I34" s="272"/>
      <c r="J34" s="272"/>
      <c r="K34" s="272"/>
      <c r="L34" s="272"/>
      <c r="M34" s="272"/>
      <c r="N34" s="272"/>
      <c r="O34" s="272"/>
      <c r="P34" s="272"/>
      <c r="Q34" s="272"/>
      <c r="R34" s="272"/>
      <c r="S34" s="272"/>
      <c r="T34" s="272"/>
      <c r="U34" s="272"/>
      <c r="V34" s="272"/>
      <c r="W34" s="272"/>
      <c r="X34" s="272"/>
      <c r="Y34" s="272"/>
      <c r="Z34" s="272"/>
      <c r="AA34" s="272"/>
      <c r="AB34" s="272"/>
      <c r="AC34" s="272"/>
      <c r="AD34" s="272"/>
      <c r="AE34" s="272"/>
      <c r="AF34" s="272"/>
      <c r="AG34" s="272"/>
      <c r="AH34" s="272"/>
      <c r="AI34" s="272"/>
      <c r="AJ34" s="272"/>
      <c r="AK34" s="272"/>
      <c r="AL34" s="272"/>
    </row>
    <row r="35" spans="1:38" ht="13" thickBot="1" x14ac:dyDescent="0.3">
      <c r="A35" s="45">
        <v>1</v>
      </c>
      <c r="B35" s="140">
        <f t="shared" ref="B35:B45" si="2">B34+1</f>
        <v>29</v>
      </c>
      <c r="D35" s="272"/>
      <c r="E35" s="272"/>
      <c r="F35" s="272"/>
      <c r="G35" s="299"/>
      <c r="H35" s="272"/>
      <c r="I35" s="272"/>
      <c r="J35" s="272"/>
      <c r="K35" s="272"/>
      <c r="L35" s="272"/>
      <c r="M35" s="272"/>
      <c r="N35" s="272"/>
      <c r="O35" s="272"/>
      <c r="P35" s="272"/>
      <c r="Q35" s="272"/>
      <c r="R35" s="272"/>
      <c r="S35" s="272"/>
      <c r="T35" s="272"/>
      <c r="U35" s="272"/>
      <c r="V35" s="272"/>
      <c r="W35" s="272"/>
      <c r="X35" s="272"/>
      <c r="Y35" s="272"/>
      <c r="Z35" s="272"/>
      <c r="AA35" s="272"/>
      <c r="AB35" s="272"/>
      <c r="AC35" s="272"/>
      <c r="AD35" s="272"/>
      <c r="AE35" s="272"/>
      <c r="AF35" s="272"/>
      <c r="AG35" s="272"/>
      <c r="AH35" s="272"/>
      <c r="AI35" s="272"/>
      <c r="AJ35" s="272"/>
      <c r="AK35" s="272"/>
      <c r="AL35" s="272"/>
    </row>
    <row r="36" spans="1:38" ht="13" x14ac:dyDescent="0.3">
      <c r="A36" s="45">
        <v>1</v>
      </c>
      <c r="B36" s="140">
        <f t="shared" si="2"/>
        <v>30</v>
      </c>
      <c r="D36" s="141" t="s">
        <v>156</v>
      </c>
      <c r="E36" s="300"/>
      <c r="F36" s="300"/>
      <c r="G36" s="301"/>
      <c r="H36" s="272"/>
      <c r="I36" s="272"/>
      <c r="J36" s="272"/>
      <c r="K36" s="272"/>
      <c r="L36" s="272"/>
      <c r="M36" s="272"/>
      <c r="N36" s="272"/>
      <c r="O36" s="272"/>
      <c r="P36" s="272"/>
      <c r="Q36" s="272"/>
      <c r="R36" s="272"/>
      <c r="S36" s="272"/>
      <c r="T36" s="272"/>
      <c r="U36" s="272"/>
      <c r="V36" s="272"/>
      <c r="W36" s="272"/>
      <c r="X36" s="272"/>
      <c r="Y36" s="272"/>
      <c r="Z36" s="272"/>
      <c r="AA36" s="272"/>
      <c r="AB36" s="272"/>
      <c r="AC36" s="272"/>
      <c r="AD36" s="272"/>
      <c r="AE36" s="272"/>
      <c r="AF36" s="272"/>
      <c r="AG36" s="272"/>
      <c r="AH36" s="272"/>
      <c r="AI36" s="272"/>
      <c r="AJ36" s="272"/>
      <c r="AK36" s="272"/>
      <c r="AL36" s="272"/>
    </row>
    <row r="37" spans="1:38" ht="12.5" x14ac:dyDescent="0.25">
      <c r="A37" s="45">
        <v>1</v>
      </c>
      <c r="B37" s="140">
        <f t="shared" si="2"/>
        <v>31</v>
      </c>
      <c r="D37" s="452"/>
      <c r="E37" s="453"/>
      <c r="F37" s="453"/>
      <c r="G37" s="454"/>
      <c r="H37" s="272"/>
      <c r="I37" s="272"/>
      <c r="J37" s="272"/>
      <c r="K37" s="272"/>
      <c r="L37" s="272"/>
      <c r="M37" s="272"/>
      <c r="N37" s="272"/>
      <c r="O37" s="272"/>
      <c r="P37" s="272"/>
      <c r="Q37" s="272"/>
      <c r="R37" s="272"/>
      <c r="S37" s="272"/>
      <c r="T37" s="272"/>
      <c r="U37" s="272"/>
      <c r="V37" s="272"/>
      <c r="W37" s="272"/>
      <c r="X37" s="272"/>
      <c r="Y37" s="272"/>
      <c r="Z37" s="272"/>
      <c r="AA37" s="272"/>
      <c r="AB37" s="272"/>
      <c r="AC37" s="272"/>
      <c r="AD37" s="272"/>
      <c r="AE37" s="272"/>
      <c r="AF37" s="272"/>
      <c r="AG37" s="272"/>
      <c r="AH37" s="272"/>
      <c r="AI37" s="272"/>
      <c r="AJ37" s="272"/>
      <c r="AK37" s="272"/>
      <c r="AL37" s="272"/>
    </row>
    <row r="38" spans="1:38" ht="12.5" x14ac:dyDescent="0.25">
      <c r="A38" s="45">
        <v>1</v>
      </c>
      <c r="B38" s="140">
        <f t="shared" si="2"/>
        <v>32</v>
      </c>
      <c r="D38" s="455"/>
      <c r="E38" s="456"/>
      <c r="F38" s="456"/>
      <c r="G38" s="454"/>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row>
    <row r="39" spans="1:38" ht="13" thickBot="1" x14ac:dyDescent="0.3">
      <c r="A39" s="45">
        <v>1</v>
      </c>
      <c r="B39" s="140">
        <f t="shared" si="2"/>
        <v>33</v>
      </c>
      <c r="D39" s="457"/>
      <c r="E39" s="458"/>
      <c r="F39" s="458"/>
      <c r="G39" s="459"/>
      <c r="H39" s="272"/>
      <c r="I39" s="272"/>
      <c r="J39" s="272"/>
      <c r="K39" s="272"/>
      <c r="L39" s="272"/>
      <c r="M39" s="272"/>
      <c r="N39" s="272"/>
      <c r="O39" s="272"/>
      <c r="P39" s="272"/>
      <c r="Q39" s="272"/>
      <c r="R39" s="272"/>
      <c r="S39" s="272"/>
      <c r="T39" s="272"/>
      <c r="U39" s="272"/>
      <c r="V39" s="272"/>
      <c r="W39" s="272"/>
      <c r="X39" s="272"/>
      <c r="Y39" s="272"/>
      <c r="Z39" s="272"/>
      <c r="AA39" s="272"/>
      <c r="AB39" s="272"/>
      <c r="AC39" s="272"/>
      <c r="AD39" s="272"/>
      <c r="AE39" s="272"/>
      <c r="AF39" s="272"/>
      <c r="AG39" s="272"/>
      <c r="AH39" s="272"/>
      <c r="AI39" s="272"/>
      <c r="AJ39" s="272"/>
      <c r="AK39" s="272"/>
      <c r="AL39" s="272"/>
    </row>
    <row r="40" spans="1:38" ht="12.5" x14ac:dyDescent="0.25">
      <c r="A40" s="45">
        <v>1</v>
      </c>
      <c r="B40" s="140">
        <f t="shared" si="2"/>
        <v>34</v>
      </c>
      <c r="C40" s="272"/>
      <c r="D40" s="272"/>
      <c r="E40" s="272"/>
      <c r="F40" s="272"/>
      <c r="G40" s="272"/>
      <c r="H40" s="272"/>
      <c r="I40" s="272"/>
      <c r="J40" s="272"/>
      <c r="K40" s="272"/>
      <c r="L40" s="272"/>
      <c r="M40" s="272"/>
      <c r="N40" s="272"/>
      <c r="O40" s="272"/>
      <c r="P40" s="272"/>
      <c r="Q40" s="272"/>
      <c r="R40" s="272"/>
      <c r="S40" s="272"/>
      <c r="T40" s="272"/>
      <c r="U40" s="272"/>
      <c r="V40" s="272"/>
      <c r="W40" s="272"/>
      <c r="X40" s="272"/>
      <c r="Y40" s="272"/>
      <c r="Z40" s="272"/>
      <c r="AA40" s="272"/>
      <c r="AB40" s="278"/>
      <c r="AC40" s="272"/>
      <c r="AD40" s="272"/>
      <c r="AE40" s="272"/>
      <c r="AF40" s="272"/>
      <c r="AG40" s="272"/>
      <c r="AH40" s="272"/>
      <c r="AI40" s="272"/>
      <c r="AJ40" s="272"/>
      <c r="AK40" s="272"/>
      <c r="AL40" s="272"/>
    </row>
    <row r="41" spans="1:38" ht="13" x14ac:dyDescent="0.3">
      <c r="A41" s="45">
        <v>1</v>
      </c>
      <c r="B41" s="140">
        <f t="shared" si="2"/>
        <v>35</v>
      </c>
      <c r="C41" s="272"/>
      <c r="D41" s="134" t="s">
        <v>157</v>
      </c>
      <c r="E41" s="272"/>
      <c r="F41" s="272"/>
      <c r="G41" s="297">
        <v>0.5</v>
      </c>
      <c r="H41" s="272"/>
      <c r="I41" s="272"/>
      <c r="J41" s="272"/>
      <c r="K41" s="272"/>
      <c r="L41" s="272"/>
      <c r="M41" s="272"/>
      <c r="N41" s="272"/>
      <c r="O41" s="272"/>
      <c r="P41" s="272"/>
      <c r="Q41" s="272"/>
      <c r="R41" s="272"/>
      <c r="S41" s="272"/>
      <c r="T41" s="272"/>
      <c r="U41" s="272"/>
      <c r="V41" s="272"/>
      <c r="W41" s="272"/>
      <c r="X41" s="272"/>
      <c r="Y41" s="272"/>
      <c r="Z41" s="272"/>
      <c r="AA41" s="272"/>
      <c r="AB41" s="272"/>
      <c r="AC41" s="272"/>
      <c r="AD41" s="272"/>
      <c r="AE41" s="272"/>
      <c r="AF41" s="272"/>
      <c r="AG41" s="272"/>
      <c r="AH41" s="272"/>
      <c r="AI41" s="272"/>
      <c r="AJ41" s="272"/>
      <c r="AK41" s="272"/>
      <c r="AL41" s="272"/>
    </row>
    <row r="42" spans="1:38" ht="12.5" x14ac:dyDescent="0.25">
      <c r="A42" s="45">
        <v>1</v>
      </c>
      <c r="B42" s="140">
        <f t="shared" si="2"/>
        <v>36</v>
      </c>
    </row>
    <row r="43" spans="1:38" ht="33.75" customHeight="1" x14ac:dyDescent="0.3">
      <c r="A43" s="45">
        <v>1</v>
      </c>
      <c r="B43" s="140">
        <f t="shared" si="2"/>
        <v>37</v>
      </c>
      <c r="C43" s="272"/>
      <c r="D43" s="466" t="s">
        <v>158</v>
      </c>
      <c r="E43" s="466"/>
      <c r="F43" s="466"/>
      <c r="G43" s="297" t="s">
        <v>159</v>
      </c>
      <c r="H43" s="272"/>
      <c r="I43" s="272"/>
      <c r="J43" s="272"/>
      <c r="K43" s="272"/>
      <c r="L43" s="272"/>
      <c r="M43" s="272"/>
      <c r="N43" s="272"/>
      <c r="O43" s="272"/>
      <c r="P43" s="272"/>
      <c r="Q43" s="272"/>
      <c r="R43" s="272"/>
      <c r="S43" s="272"/>
      <c r="T43" s="272"/>
      <c r="U43" s="272"/>
      <c r="V43" s="272"/>
      <c r="W43" s="272"/>
      <c r="X43" s="272"/>
      <c r="Y43" s="272"/>
      <c r="Z43" s="272"/>
      <c r="AA43" s="272"/>
      <c r="AB43" s="272"/>
      <c r="AC43" s="272"/>
      <c r="AD43" s="272"/>
      <c r="AE43" s="272"/>
      <c r="AF43" s="272"/>
      <c r="AG43" s="272"/>
      <c r="AH43" s="272"/>
      <c r="AI43" s="272"/>
      <c r="AJ43" s="272"/>
      <c r="AK43" s="272"/>
      <c r="AL43" s="272"/>
    </row>
    <row r="44" spans="1:38" ht="12.5" x14ac:dyDescent="0.25">
      <c r="A44" s="45">
        <v>1</v>
      </c>
      <c r="B44" s="140">
        <f t="shared" si="2"/>
        <v>38</v>
      </c>
      <c r="G44" s="45"/>
      <c r="H44" s="45"/>
    </row>
    <row r="45" spans="1:38" ht="30.75" customHeight="1" x14ac:dyDescent="0.3">
      <c r="A45" s="45">
        <v>1</v>
      </c>
      <c r="B45" s="140">
        <f t="shared" si="2"/>
        <v>39</v>
      </c>
      <c r="D45" s="466" t="s">
        <v>160</v>
      </c>
      <c r="E45" s="466"/>
      <c r="F45" s="466"/>
      <c r="G45" s="357">
        <v>4.5138888888888888E-2</v>
      </c>
      <c r="H45" s="45"/>
    </row>
    <row r="46" spans="1:38" ht="30.75" customHeight="1" thickBot="1" x14ac:dyDescent="0.35">
      <c r="A46" s="45"/>
      <c r="B46" s="140"/>
      <c r="D46" s="261"/>
      <c r="E46" s="261"/>
      <c r="F46" s="261"/>
      <c r="G46" s="261"/>
      <c r="H46" s="45"/>
    </row>
    <row r="47" spans="1:38" ht="39.5" thickBot="1" x14ac:dyDescent="0.3">
      <c r="A47" s="45"/>
      <c r="B47" s="140"/>
      <c r="D47" s="302" t="s">
        <v>161</v>
      </c>
      <c r="E47" s="303" t="s">
        <v>162</v>
      </c>
      <c r="F47" s="303" t="s">
        <v>163</v>
      </c>
      <c r="G47" s="304" t="s">
        <v>164</v>
      </c>
      <c r="H47" s="45"/>
    </row>
    <row r="48" spans="1:38" ht="30.75" customHeight="1" x14ac:dyDescent="0.25">
      <c r="A48" s="45"/>
      <c r="B48" s="140"/>
      <c r="D48" s="305" t="s">
        <v>165</v>
      </c>
      <c r="E48" s="306">
        <v>15</v>
      </c>
      <c r="F48" s="306">
        <v>30</v>
      </c>
      <c r="G48" s="307">
        <v>30</v>
      </c>
      <c r="H48" s="45"/>
    </row>
    <row r="49" spans="1:30" ht="30.75" customHeight="1" x14ac:dyDescent="0.25">
      <c r="A49" s="45"/>
      <c r="B49" s="140"/>
      <c r="D49" s="308" t="s">
        <v>166</v>
      </c>
      <c r="E49" s="309">
        <v>15</v>
      </c>
      <c r="F49" s="309">
        <v>30</v>
      </c>
      <c r="G49" s="310">
        <v>30</v>
      </c>
      <c r="H49" s="45"/>
    </row>
    <row r="50" spans="1:30" ht="30.75" customHeight="1" x14ac:dyDescent="0.25">
      <c r="A50" s="45"/>
      <c r="B50" s="140"/>
      <c r="D50" s="308" t="s">
        <v>167</v>
      </c>
      <c r="E50" s="309">
        <v>30</v>
      </c>
      <c r="F50" s="309">
        <v>60</v>
      </c>
      <c r="G50" s="310">
        <v>60</v>
      </c>
      <c r="H50" s="45"/>
    </row>
    <row r="51" spans="1:30" ht="30.75" customHeight="1" x14ac:dyDescent="0.25">
      <c r="A51" s="45"/>
      <c r="B51" s="140"/>
      <c r="D51" s="308" t="s">
        <v>168</v>
      </c>
      <c r="E51" s="309">
        <v>90</v>
      </c>
      <c r="F51" s="309">
        <v>60</v>
      </c>
      <c r="G51" s="310">
        <v>60</v>
      </c>
      <c r="H51" s="45"/>
    </row>
    <row r="52" spans="1:30" ht="13" thickBot="1" x14ac:dyDescent="0.3">
      <c r="A52" s="45"/>
      <c r="D52" s="311" t="s">
        <v>169</v>
      </c>
      <c r="E52" s="312">
        <v>90</v>
      </c>
      <c r="F52" s="312">
        <v>60</v>
      </c>
      <c r="G52" s="313">
        <v>60</v>
      </c>
      <c r="H52" s="45"/>
    </row>
    <row r="53" spans="1:30" ht="12.5" x14ac:dyDescent="0.25">
      <c r="A53" s="45"/>
      <c r="D53" s="278"/>
      <c r="G53" s="45"/>
      <c r="H53" s="45"/>
    </row>
    <row r="54" spans="1:30" s="52" customFormat="1" ht="20.149999999999999" customHeight="1" x14ac:dyDescent="0.25">
      <c r="A54" s="50">
        <v>1</v>
      </c>
      <c r="B54" s="50">
        <f>B45+1</f>
        <v>40</v>
      </c>
      <c r="C54" s="51"/>
      <c r="D54" s="435" t="s">
        <v>170</v>
      </c>
      <c r="E54" s="436"/>
      <c r="F54" s="436"/>
      <c r="G54" s="436"/>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row>
    <row r="55" spans="1:30" ht="13" x14ac:dyDescent="0.3">
      <c r="A55" s="45">
        <v>1</v>
      </c>
      <c r="B55" s="140">
        <f t="shared" ref="B55:B113" si="3">B54+1</f>
        <v>41</v>
      </c>
      <c r="D55" s="142"/>
      <c r="G55" s="45"/>
      <c r="H55" s="45"/>
    </row>
    <row r="56" spans="1:30" ht="13" thickBot="1" x14ac:dyDescent="0.3">
      <c r="A56" s="45">
        <v>1</v>
      </c>
      <c r="B56" s="140" t="e">
        <f>#REF!+1</f>
        <v>#REF!</v>
      </c>
      <c r="E56" s="272"/>
      <c r="F56" s="272"/>
      <c r="G56" s="272"/>
      <c r="H56" s="272"/>
      <c r="I56" s="272"/>
      <c r="J56" s="272"/>
      <c r="K56" s="272"/>
    </row>
    <row r="57" spans="1:30" s="51" customFormat="1" ht="20.149999999999999" customHeight="1" thickBot="1" x14ac:dyDescent="0.3">
      <c r="A57" s="50">
        <v>1</v>
      </c>
      <c r="B57" s="143" t="e">
        <f t="shared" si="3"/>
        <v>#REF!</v>
      </c>
      <c r="D57" s="442" t="s">
        <v>171</v>
      </c>
      <c r="E57" s="443"/>
      <c r="F57" s="443"/>
      <c r="G57" s="443"/>
      <c r="H57" s="443"/>
      <c r="I57" s="444"/>
      <c r="J57" s="314"/>
      <c r="K57" s="314"/>
    </row>
    <row r="58" spans="1:30" s="146" customFormat="1" ht="56" x14ac:dyDescent="0.25">
      <c r="A58" s="144">
        <v>1</v>
      </c>
      <c r="B58" s="145" t="e">
        <f t="shared" si="3"/>
        <v>#REF!</v>
      </c>
      <c r="D58" s="147" t="s">
        <v>172</v>
      </c>
      <c r="E58" s="148" t="s">
        <v>173</v>
      </c>
      <c r="F58" s="148" t="s">
        <v>174</v>
      </c>
      <c r="G58" s="148" t="s">
        <v>175</v>
      </c>
      <c r="H58" s="148" t="s">
        <v>176</v>
      </c>
      <c r="I58" s="149" t="s">
        <v>177</v>
      </c>
    </row>
    <row r="59" spans="1:30" ht="26" x14ac:dyDescent="0.25">
      <c r="A59" s="45">
        <v>1</v>
      </c>
      <c r="B59" s="140" t="e">
        <f t="shared" si="3"/>
        <v>#REF!</v>
      </c>
      <c r="D59" s="150" t="s">
        <v>178</v>
      </c>
      <c r="E59" s="151" t="s">
        <v>179</v>
      </c>
      <c r="F59" s="258" t="s">
        <v>67</v>
      </c>
      <c r="G59" s="258" t="s">
        <v>180</v>
      </c>
      <c r="H59" s="259">
        <v>0.05</v>
      </c>
      <c r="I59" s="260" t="s">
        <v>181</v>
      </c>
    </row>
    <row r="60" spans="1:30" ht="12.5" x14ac:dyDescent="0.25">
      <c r="A60" s="45">
        <v>1</v>
      </c>
      <c r="B60" s="140" t="e">
        <f t="shared" si="3"/>
        <v>#REF!</v>
      </c>
      <c r="D60" s="152" t="s">
        <v>182</v>
      </c>
      <c r="E60" s="153" t="s">
        <v>183</v>
      </c>
      <c r="F60" s="297" t="s">
        <v>184</v>
      </c>
      <c r="G60" s="297"/>
      <c r="H60" s="297"/>
      <c r="I60" s="315"/>
    </row>
    <row r="61" spans="1:30" ht="12.5" x14ac:dyDescent="0.25">
      <c r="A61" s="45">
        <v>1</v>
      </c>
      <c r="B61" s="140" t="e">
        <f t="shared" si="3"/>
        <v>#REF!</v>
      </c>
      <c r="D61" s="152" t="s">
        <v>185</v>
      </c>
      <c r="E61" s="153" t="s">
        <v>186</v>
      </c>
      <c r="F61" s="297" t="s">
        <v>187</v>
      </c>
      <c r="G61" s="297"/>
      <c r="H61" s="364">
        <v>0.09</v>
      </c>
      <c r="I61" s="315"/>
    </row>
    <row r="62" spans="1:30" ht="37.5" x14ac:dyDescent="0.25">
      <c r="A62" s="45">
        <v>1</v>
      </c>
      <c r="B62" s="140" t="e">
        <f t="shared" si="3"/>
        <v>#REF!</v>
      </c>
      <c r="D62" s="152" t="s">
        <v>188</v>
      </c>
      <c r="E62" s="153" t="s">
        <v>189</v>
      </c>
      <c r="F62" s="297" t="s">
        <v>190</v>
      </c>
      <c r="G62" s="297" t="s">
        <v>191</v>
      </c>
      <c r="H62" s="364">
        <v>0.05</v>
      </c>
      <c r="I62" s="315" t="s">
        <v>192</v>
      </c>
    </row>
    <row r="63" spans="1:30" ht="25" x14ac:dyDescent="0.25">
      <c r="A63" s="45">
        <v>1</v>
      </c>
      <c r="B63" s="140" t="e">
        <f t="shared" si="3"/>
        <v>#REF!</v>
      </c>
      <c r="D63" s="152" t="s">
        <v>193</v>
      </c>
      <c r="E63" s="153" t="s">
        <v>194</v>
      </c>
      <c r="F63" s="297" t="s">
        <v>187</v>
      </c>
      <c r="G63" s="297"/>
      <c r="H63" s="364">
        <v>0.01</v>
      </c>
      <c r="I63" s="315"/>
    </row>
    <row r="64" spans="1:30" ht="25" x14ac:dyDescent="0.25">
      <c r="A64" s="45">
        <v>1</v>
      </c>
      <c r="B64" s="140" t="e">
        <f t="shared" si="3"/>
        <v>#REF!</v>
      </c>
      <c r="D64" s="152" t="s">
        <v>195</v>
      </c>
      <c r="E64" s="153" t="s">
        <v>196</v>
      </c>
      <c r="F64" s="297" t="s">
        <v>187</v>
      </c>
      <c r="G64" s="297"/>
      <c r="H64" s="364">
        <v>0.01</v>
      </c>
      <c r="I64" s="315"/>
    </row>
    <row r="65" spans="1:9" ht="12.5" x14ac:dyDescent="0.25">
      <c r="A65" s="45">
        <v>1</v>
      </c>
      <c r="B65" s="140" t="e">
        <f t="shared" si="3"/>
        <v>#REF!</v>
      </c>
      <c r="D65" s="152" t="s">
        <v>197</v>
      </c>
      <c r="E65" s="153" t="s">
        <v>198</v>
      </c>
      <c r="F65" s="297" t="s">
        <v>187</v>
      </c>
      <c r="G65" s="297"/>
      <c r="H65" s="364">
        <v>0.01</v>
      </c>
      <c r="I65" s="315"/>
    </row>
    <row r="66" spans="1:9" ht="25" x14ac:dyDescent="0.25">
      <c r="A66" s="45">
        <v>1</v>
      </c>
      <c r="B66" s="140" t="e">
        <f t="shared" si="3"/>
        <v>#REF!</v>
      </c>
      <c r="D66" s="152" t="s">
        <v>199</v>
      </c>
      <c r="E66" s="153" t="s">
        <v>179</v>
      </c>
      <c r="F66" s="297" t="s">
        <v>190</v>
      </c>
      <c r="G66" s="297" t="s">
        <v>200</v>
      </c>
      <c r="H66" s="364">
        <v>5.0000000000000001E-4</v>
      </c>
      <c r="I66" s="315" t="s">
        <v>201</v>
      </c>
    </row>
    <row r="67" spans="1:9" ht="37.5" x14ac:dyDescent="0.25">
      <c r="A67" s="45">
        <v>1</v>
      </c>
      <c r="B67" s="140" t="e">
        <f t="shared" si="3"/>
        <v>#REF!</v>
      </c>
      <c r="D67" s="152" t="s">
        <v>202</v>
      </c>
      <c r="E67" s="153" t="s">
        <v>203</v>
      </c>
      <c r="F67" s="297" t="s">
        <v>187</v>
      </c>
      <c r="G67" s="297" t="s">
        <v>204</v>
      </c>
      <c r="H67" s="364">
        <v>0.01</v>
      </c>
      <c r="I67" s="315" t="s">
        <v>789</v>
      </c>
    </row>
    <row r="68" spans="1:9" ht="25" x14ac:dyDescent="0.25">
      <c r="A68" s="45">
        <v>1</v>
      </c>
      <c r="B68" s="140" t="e">
        <f t="shared" si="3"/>
        <v>#REF!</v>
      </c>
      <c r="D68" s="152" t="s">
        <v>205</v>
      </c>
      <c r="E68" s="153" t="s">
        <v>206</v>
      </c>
      <c r="F68" s="297" t="s">
        <v>187</v>
      </c>
      <c r="G68" s="297"/>
      <c r="H68" s="364">
        <v>0.1</v>
      </c>
      <c r="I68" s="315"/>
    </row>
    <row r="69" spans="1:9" ht="25" x14ac:dyDescent="0.25">
      <c r="A69" s="45"/>
      <c r="B69" s="140" t="e">
        <f t="shared" si="3"/>
        <v>#REF!</v>
      </c>
      <c r="D69" s="152" t="s">
        <v>207</v>
      </c>
      <c r="E69" s="153" t="s">
        <v>208</v>
      </c>
      <c r="F69" s="297" t="s">
        <v>187</v>
      </c>
      <c r="G69" s="297"/>
      <c r="H69" s="364">
        <v>0.05</v>
      </c>
      <c r="I69" s="315"/>
    </row>
    <row r="70" spans="1:9" ht="12.5" x14ac:dyDescent="0.25">
      <c r="A70" s="45"/>
      <c r="B70" s="140" t="e">
        <f t="shared" si="3"/>
        <v>#REF!</v>
      </c>
      <c r="D70" s="152" t="s">
        <v>209</v>
      </c>
      <c r="E70" s="153" t="s">
        <v>210</v>
      </c>
      <c r="F70" s="297" t="s">
        <v>187</v>
      </c>
      <c r="G70" s="297"/>
      <c r="H70" s="364">
        <v>0.01</v>
      </c>
      <c r="I70" s="315"/>
    </row>
    <row r="71" spans="1:9" ht="25" x14ac:dyDescent="0.25">
      <c r="A71" s="45"/>
      <c r="B71" s="140" t="e">
        <f t="shared" si="3"/>
        <v>#REF!</v>
      </c>
      <c r="D71" s="152" t="s">
        <v>211</v>
      </c>
      <c r="E71" s="153" t="s">
        <v>212</v>
      </c>
      <c r="F71" s="297" t="s">
        <v>187</v>
      </c>
      <c r="G71" s="297"/>
      <c r="H71" s="364">
        <v>0.01</v>
      </c>
      <c r="I71" s="315"/>
    </row>
    <row r="72" spans="1:9" ht="25" x14ac:dyDescent="0.25">
      <c r="A72" s="45"/>
      <c r="B72" s="140" t="e">
        <f t="shared" si="3"/>
        <v>#REF!</v>
      </c>
      <c r="D72" s="152" t="s">
        <v>213</v>
      </c>
      <c r="E72" s="153" t="s">
        <v>214</v>
      </c>
      <c r="F72" s="297" t="s">
        <v>187</v>
      </c>
      <c r="G72" s="297"/>
      <c r="H72" s="364">
        <v>0.02</v>
      </c>
      <c r="I72" s="315"/>
    </row>
    <row r="73" spans="1:9" ht="13" thickBot="1" x14ac:dyDescent="0.3">
      <c r="A73" s="45"/>
      <c r="B73" s="140" t="e">
        <f t="shared" si="3"/>
        <v>#REF!</v>
      </c>
      <c r="D73" s="154" t="s">
        <v>150</v>
      </c>
      <c r="E73" s="155" t="s">
        <v>215</v>
      </c>
      <c r="F73" s="316" t="s">
        <v>187</v>
      </c>
      <c r="G73" s="316"/>
      <c r="H73" s="365">
        <v>0.05</v>
      </c>
      <c r="I73" s="317"/>
    </row>
    <row r="74" spans="1:9" ht="14" x14ac:dyDescent="0.3">
      <c r="A74" s="45"/>
      <c r="B74" s="140" t="e">
        <f t="shared" si="3"/>
        <v>#REF!</v>
      </c>
      <c r="D74" s="156"/>
      <c r="E74" s="156"/>
      <c r="F74" s="156"/>
      <c r="G74" s="272"/>
      <c r="H74" s="272"/>
    </row>
    <row r="75" spans="1:9" ht="14" x14ac:dyDescent="0.3">
      <c r="A75" s="45"/>
      <c r="B75" s="140" t="e">
        <f t="shared" si="3"/>
        <v>#REF!</v>
      </c>
      <c r="D75" s="156"/>
      <c r="E75" s="156"/>
      <c r="F75" s="156"/>
      <c r="G75" s="272"/>
      <c r="H75" s="272"/>
    </row>
    <row r="76" spans="1:9" ht="13" x14ac:dyDescent="0.3">
      <c r="A76" s="45">
        <v>1</v>
      </c>
      <c r="B76" s="140" t="e">
        <f t="shared" si="3"/>
        <v>#REF!</v>
      </c>
      <c r="D76" s="460" t="s">
        <v>216</v>
      </c>
      <c r="E76" s="449"/>
      <c r="F76" s="449"/>
      <c r="G76" s="272"/>
      <c r="H76" s="272"/>
    </row>
    <row r="77" spans="1:9" ht="12.5" x14ac:dyDescent="0.25">
      <c r="A77" s="45">
        <v>1</v>
      </c>
      <c r="B77" s="140" t="e">
        <f t="shared" si="3"/>
        <v>#REF!</v>
      </c>
      <c r="D77" s="272"/>
      <c r="E77" s="272"/>
      <c r="F77" s="272"/>
      <c r="G77" s="272"/>
      <c r="H77" s="272"/>
    </row>
    <row r="78" spans="1:9" ht="12.5" x14ac:dyDescent="0.25">
      <c r="A78" s="45">
        <v>1</v>
      </c>
      <c r="B78" s="140" t="e">
        <f t="shared" si="3"/>
        <v>#REF!</v>
      </c>
      <c r="D78" s="461"/>
      <c r="E78" s="462"/>
      <c r="F78" s="462"/>
      <c r="G78" s="462"/>
      <c r="H78" s="462"/>
    </row>
    <row r="79" spans="1:9" ht="12.5" x14ac:dyDescent="0.25">
      <c r="A79" s="45">
        <v>1</v>
      </c>
      <c r="B79" s="140" t="e">
        <f t="shared" si="3"/>
        <v>#REF!</v>
      </c>
      <c r="D79" s="462"/>
      <c r="E79" s="462"/>
      <c r="F79" s="462"/>
      <c r="G79" s="462"/>
      <c r="H79" s="462"/>
    </row>
    <row r="80" spans="1:9" ht="12.5" x14ac:dyDescent="0.25">
      <c r="A80" s="45"/>
      <c r="B80" s="140" t="e">
        <f t="shared" si="3"/>
        <v>#REF!</v>
      </c>
      <c r="D80" s="462"/>
      <c r="E80" s="462"/>
      <c r="F80" s="462"/>
      <c r="G80" s="462"/>
      <c r="H80" s="462"/>
    </row>
    <row r="81" spans="1:37" ht="12.5" x14ac:dyDescent="0.25">
      <c r="A81" s="45">
        <v>1</v>
      </c>
      <c r="B81" s="140" t="e">
        <f t="shared" si="3"/>
        <v>#REF!</v>
      </c>
    </row>
    <row r="82" spans="1:37" s="52" customFormat="1" ht="20.149999999999999" customHeight="1" x14ac:dyDescent="0.25">
      <c r="A82" s="50">
        <v>1</v>
      </c>
      <c r="B82" s="50" t="e">
        <f t="shared" si="3"/>
        <v>#REF!</v>
      </c>
      <c r="C82" s="51"/>
      <c r="D82" s="435" t="s">
        <v>217</v>
      </c>
      <c r="E82" s="436"/>
      <c r="F82" s="436"/>
      <c r="G82" s="436"/>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row>
    <row r="83" spans="1:37" ht="12.5" x14ac:dyDescent="0.25">
      <c r="A83" s="45">
        <v>1</v>
      </c>
      <c r="B83" s="140" t="e">
        <f t="shared" si="3"/>
        <v>#REF!</v>
      </c>
    </row>
    <row r="84" spans="1:37" ht="13" thickBot="1" x14ac:dyDescent="0.3">
      <c r="A84" s="45">
        <v>1</v>
      </c>
      <c r="B84" s="140" t="e">
        <f t="shared" si="3"/>
        <v>#REF!</v>
      </c>
    </row>
    <row r="85" spans="1:37" ht="19.5" customHeight="1" x14ac:dyDescent="0.25">
      <c r="A85" s="45">
        <v>1</v>
      </c>
      <c r="B85" s="140" t="e">
        <f t="shared" si="3"/>
        <v>#REF!</v>
      </c>
      <c r="D85" s="439" t="s">
        <v>218</v>
      </c>
      <c r="E85" s="440"/>
      <c r="F85" s="440"/>
      <c r="G85" s="440"/>
      <c r="H85" s="441"/>
      <c r="I85" s="272"/>
      <c r="K85" s="272"/>
      <c r="L85" s="272"/>
      <c r="M85" s="272"/>
      <c r="N85" s="272"/>
      <c r="O85" s="272"/>
      <c r="P85" s="272"/>
      <c r="Q85" s="272"/>
      <c r="R85" s="272"/>
      <c r="S85" s="272"/>
      <c r="T85" s="272"/>
      <c r="U85" s="272"/>
      <c r="V85" s="272"/>
      <c r="W85" s="272"/>
      <c r="X85" s="272"/>
      <c r="Y85" s="272"/>
      <c r="Z85" s="272"/>
      <c r="AA85" s="272"/>
      <c r="AB85" s="272"/>
      <c r="AC85" s="272"/>
      <c r="AD85" s="272"/>
      <c r="AE85" s="272"/>
      <c r="AF85" s="272"/>
      <c r="AG85" s="272"/>
      <c r="AH85" s="272"/>
      <c r="AI85" s="272"/>
      <c r="AJ85" s="272"/>
      <c r="AK85" s="272"/>
    </row>
    <row r="86" spans="1:37" ht="70" x14ac:dyDescent="0.25">
      <c r="A86" s="45">
        <v>1</v>
      </c>
      <c r="B86" s="140" t="e">
        <f t="shared" si="3"/>
        <v>#REF!</v>
      </c>
      <c r="D86" s="157" t="s">
        <v>219</v>
      </c>
      <c r="E86" s="158" t="s">
        <v>220</v>
      </c>
      <c r="F86" s="158" t="s">
        <v>221</v>
      </c>
      <c r="G86" s="158" t="s">
        <v>222</v>
      </c>
      <c r="H86" s="159" t="s">
        <v>223</v>
      </c>
      <c r="K86" s="272"/>
      <c r="L86" s="272"/>
      <c r="M86" s="272"/>
      <c r="N86" s="272"/>
      <c r="O86" s="272"/>
      <c r="P86" s="272"/>
      <c r="Q86" s="272"/>
      <c r="R86" s="272"/>
      <c r="S86" s="272"/>
      <c r="T86" s="272"/>
      <c r="U86" s="272"/>
      <c r="V86" s="272"/>
      <c r="W86" s="272"/>
      <c r="X86" s="272"/>
      <c r="Y86" s="272"/>
      <c r="Z86" s="272"/>
      <c r="AA86" s="272"/>
      <c r="AB86" s="272"/>
      <c r="AC86" s="272"/>
      <c r="AD86" s="272"/>
      <c r="AE86" s="272"/>
      <c r="AF86" s="272"/>
      <c r="AG86" s="272"/>
      <c r="AH86" s="272"/>
      <c r="AI86" s="272"/>
      <c r="AJ86" s="272"/>
      <c r="AK86" s="272"/>
    </row>
    <row r="87" spans="1:37" ht="300" x14ac:dyDescent="0.25">
      <c r="A87" s="45">
        <v>1</v>
      </c>
      <c r="B87" s="140" t="e">
        <f t="shared" si="3"/>
        <v>#REF!</v>
      </c>
      <c r="D87" s="318" t="s">
        <v>224</v>
      </c>
      <c r="E87" s="319" t="s">
        <v>778</v>
      </c>
      <c r="F87" s="319" t="s">
        <v>225</v>
      </c>
      <c r="G87" s="319" t="s">
        <v>777</v>
      </c>
      <c r="H87" s="320" t="s">
        <v>226</v>
      </c>
      <c r="K87" s="272"/>
      <c r="L87" s="272"/>
      <c r="M87" s="272"/>
      <c r="N87" s="272"/>
      <c r="O87" s="272"/>
      <c r="P87" s="272"/>
      <c r="Q87" s="272"/>
      <c r="R87" s="272"/>
      <c r="S87" s="272"/>
      <c r="T87" s="272"/>
      <c r="U87" s="272"/>
      <c r="V87" s="272"/>
      <c r="W87" s="272"/>
      <c r="X87" s="272"/>
      <c r="Y87" s="272"/>
      <c r="Z87" s="272"/>
      <c r="AA87" s="272"/>
      <c r="AB87" s="272"/>
      <c r="AC87" s="272"/>
      <c r="AD87" s="272"/>
      <c r="AE87" s="272"/>
      <c r="AF87" s="272"/>
      <c r="AG87" s="272"/>
      <c r="AH87" s="272"/>
      <c r="AI87" s="272"/>
      <c r="AJ87" s="272"/>
      <c r="AK87" s="272"/>
    </row>
    <row r="88" spans="1:37" ht="12.5" x14ac:dyDescent="0.25">
      <c r="A88" s="45">
        <v>1</v>
      </c>
      <c r="B88" s="140" t="e">
        <f t="shared" si="3"/>
        <v>#REF!</v>
      </c>
    </row>
    <row r="89" spans="1:37" ht="13" thickBot="1" x14ac:dyDescent="0.3">
      <c r="A89" s="45">
        <v>1</v>
      </c>
      <c r="B89" s="140" t="e">
        <f t="shared" si="3"/>
        <v>#REF!</v>
      </c>
    </row>
    <row r="90" spans="1:37" s="51" customFormat="1" ht="24.75" customHeight="1" thickBot="1" x14ac:dyDescent="0.3">
      <c r="B90" s="143" t="e">
        <f t="shared" si="3"/>
        <v>#REF!</v>
      </c>
      <c r="D90" s="160" t="s">
        <v>227</v>
      </c>
      <c r="E90" s="161"/>
      <c r="F90" s="161"/>
      <c r="G90" s="162"/>
    </row>
    <row r="91" spans="1:37" s="163" customFormat="1" ht="33.75" customHeight="1" x14ac:dyDescent="0.25">
      <c r="B91" s="164" t="e">
        <f t="shared" si="3"/>
        <v>#REF!</v>
      </c>
      <c r="D91" s="165" t="s">
        <v>123</v>
      </c>
      <c r="E91" s="166" t="s">
        <v>124</v>
      </c>
      <c r="F91" s="166" t="s">
        <v>228</v>
      </c>
      <c r="G91" s="167" t="s">
        <v>229</v>
      </c>
    </row>
    <row r="92" spans="1:37" ht="33.75" customHeight="1" x14ac:dyDescent="0.25">
      <c r="B92" s="140" t="e">
        <f t="shared" si="3"/>
        <v>#REF!</v>
      </c>
      <c r="D92" s="168" t="s">
        <v>230</v>
      </c>
      <c r="E92" s="169" t="s">
        <v>143</v>
      </c>
      <c r="F92" s="169" t="s">
        <v>231</v>
      </c>
      <c r="G92" s="170" t="s">
        <v>232</v>
      </c>
    </row>
    <row r="93" spans="1:37" ht="13" x14ac:dyDescent="0.25">
      <c r="B93" s="140" t="e">
        <f t="shared" si="3"/>
        <v>#REF!</v>
      </c>
      <c r="D93" s="171" t="s">
        <v>142</v>
      </c>
      <c r="E93" s="172" t="s">
        <v>143</v>
      </c>
      <c r="F93" s="181">
        <v>12</v>
      </c>
      <c r="G93" s="182" t="s">
        <v>233</v>
      </c>
    </row>
    <row r="94" spans="1:37" ht="13" x14ac:dyDescent="0.25">
      <c r="B94" s="140" t="e">
        <f t="shared" si="3"/>
        <v>#REF!</v>
      </c>
      <c r="D94" s="171" t="s">
        <v>142</v>
      </c>
      <c r="E94" s="172" t="s">
        <v>144</v>
      </c>
      <c r="F94" s="181">
        <v>10</v>
      </c>
      <c r="G94" s="182" t="s">
        <v>233</v>
      </c>
    </row>
    <row r="95" spans="1:37" ht="12.5" x14ac:dyDescent="0.25">
      <c r="B95" s="140" t="e">
        <f t="shared" si="3"/>
        <v>#REF!</v>
      </c>
      <c r="D95" s="171" t="s">
        <v>145</v>
      </c>
      <c r="E95" s="172" t="s">
        <v>146</v>
      </c>
      <c r="F95" s="183">
        <v>8</v>
      </c>
      <c r="G95" s="184" t="s">
        <v>233</v>
      </c>
    </row>
    <row r="96" spans="1:37" ht="13.5" thickBot="1" x14ac:dyDescent="0.3">
      <c r="B96" s="140" t="e">
        <f t="shared" si="3"/>
        <v>#REF!</v>
      </c>
      <c r="D96" s="173" t="s">
        <v>152</v>
      </c>
      <c r="E96" s="174" t="s">
        <v>153</v>
      </c>
      <c r="F96" s="185"/>
      <c r="G96" s="186"/>
    </row>
    <row r="97" spans="2:6" ht="12.5" x14ac:dyDescent="0.25">
      <c r="B97" s="140" t="e">
        <f t="shared" si="3"/>
        <v>#REF!</v>
      </c>
    </row>
    <row r="98" spans="2:6" ht="13" thickBot="1" x14ac:dyDescent="0.3">
      <c r="B98" s="140" t="e">
        <f t="shared" si="3"/>
        <v>#REF!</v>
      </c>
    </row>
    <row r="99" spans="2:6" ht="42.75" customHeight="1" x14ac:dyDescent="0.25">
      <c r="B99" s="140" t="e">
        <f t="shared" si="3"/>
        <v>#REF!</v>
      </c>
      <c r="D99" s="463" t="s">
        <v>234</v>
      </c>
      <c r="E99" s="464"/>
      <c r="F99" s="465"/>
    </row>
    <row r="100" spans="2:6" ht="14" x14ac:dyDescent="0.3">
      <c r="B100" s="140" t="e">
        <f t="shared" si="3"/>
        <v>#REF!</v>
      </c>
      <c r="D100" s="175" t="s">
        <v>235</v>
      </c>
      <c r="E100" s="176" t="s">
        <v>219</v>
      </c>
      <c r="F100" s="177"/>
    </row>
    <row r="101" spans="2:6" ht="137.5" x14ac:dyDescent="0.25">
      <c r="B101" s="140" t="e">
        <f t="shared" si="3"/>
        <v>#REF!</v>
      </c>
      <c r="D101" s="445" t="s">
        <v>236</v>
      </c>
      <c r="E101" s="321" t="s">
        <v>779</v>
      </c>
      <c r="F101" s="322"/>
    </row>
    <row r="102" spans="2:6" ht="12.5" x14ac:dyDescent="0.25">
      <c r="B102" s="140" t="e">
        <f t="shared" si="3"/>
        <v>#REF!</v>
      </c>
      <c r="D102" s="446"/>
      <c r="E102" s="321"/>
      <c r="F102" s="322"/>
    </row>
    <row r="103" spans="2:6" ht="12.5" x14ac:dyDescent="0.25">
      <c r="B103" s="140" t="e">
        <f t="shared" si="3"/>
        <v>#REF!</v>
      </c>
      <c r="D103" s="446"/>
      <c r="E103" s="321"/>
      <c r="F103" s="322"/>
    </row>
    <row r="104" spans="2:6" ht="12.5" x14ac:dyDescent="0.25">
      <c r="B104" s="140" t="e">
        <f t="shared" si="3"/>
        <v>#REF!</v>
      </c>
      <c r="D104" s="446"/>
      <c r="E104" s="321"/>
      <c r="F104" s="322"/>
    </row>
    <row r="105" spans="2:6" ht="12.5" x14ac:dyDescent="0.25">
      <c r="B105" s="140" t="e">
        <f t="shared" si="3"/>
        <v>#REF!</v>
      </c>
      <c r="D105" s="446"/>
      <c r="E105" s="321"/>
      <c r="F105" s="322"/>
    </row>
    <row r="106" spans="2:6" ht="175" x14ac:dyDescent="0.25">
      <c r="B106" s="140" t="e">
        <f t="shared" si="3"/>
        <v>#REF!</v>
      </c>
      <c r="D106" s="445" t="s">
        <v>237</v>
      </c>
      <c r="E106" s="321" t="s">
        <v>780</v>
      </c>
      <c r="F106" s="322"/>
    </row>
    <row r="107" spans="2:6" ht="12.5" x14ac:dyDescent="0.25">
      <c r="B107" s="140" t="e">
        <f t="shared" si="3"/>
        <v>#REF!</v>
      </c>
      <c r="D107" s="446"/>
      <c r="E107" s="321"/>
      <c r="F107" s="322"/>
    </row>
    <row r="108" spans="2:6" ht="12.5" x14ac:dyDescent="0.25">
      <c r="B108" s="140" t="e">
        <f t="shared" si="3"/>
        <v>#REF!</v>
      </c>
      <c r="D108" s="446"/>
      <c r="E108" s="321"/>
      <c r="F108" s="322"/>
    </row>
    <row r="109" spans="2:6" ht="12.5" x14ac:dyDescent="0.25">
      <c r="B109" s="140" t="e">
        <f t="shared" si="3"/>
        <v>#REF!</v>
      </c>
      <c r="D109" s="446"/>
      <c r="E109" s="321"/>
      <c r="F109" s="322"/>
    </row>
    <row r="110" spans="2:6" ht="112.5" x14ac:dyDescent="0.25">
      <c r="B110" s="140" t="e">
        <f t="shared" si="3"/>
        <v>#REF!</v>
      </c>
      <c r="D110" s="445" t="s">
        <v>238</v>
      </c>
      <c r="E110" s="321" t="s">
        <v>781</v>
      </c>
      <c r="F110" s="322" t="s">
        <v>239</v>
      </c>
    </row>
    <row r="111" spans="2:6" ht="137.5" x14ac:dyDescent="0.25">
      <c r="B111" s="140" t="e">
        <f t="shared" si="3"/>
        <v>#REF!</v>
      </c>
      <c r="D111" s="446"/>
      <c r="E111" s="321" t="s">
        <v>240</v>
      </c>
      <c r="F111" s="322" t="s">
        <v>241</v>
      </c>
    </row>
    <row r="112" spans="2:6" ht="12.5" x14ac:dyDescent="0.25">
      <c r="B112" s="140" t="e">
        <f t="shared" si="3"/>
        <v>#REF!</v>
      </c>
      <c r="D112" s="446"/>
      <c r="E112" s="321"/>
      <c r="F112" s="322"/>
    </row>
    <row r="113" spans="2:6" ht="13" thickBot="1" x14ac:dyDescent="0.3">
      <c r="B113" s="140" t="e">
        <f t="shared" si="3"/>
        <v>#REF!</v>
      </c>
      <c r="D113" s="447"/>
      <c r="E113" s="319"/>
      <c r="F113" s="320"/>
    </row>
  </sheetData>
  <sheetProtection algorithmName="SHA-512" hashValue="3tf6Q1/kMaX9PcNXofK/FEYu1j/XVvCmqZbfoFdTE5fBDHz4SXHvYydpvLXPlLGmpW8aRHY/5Xh2rRQTFJ2Bvw==" saltValue="W5FkqDNG4ipjZTSaNteIlQ==" spinCount="100000" sheet="1" objects="1" scenarios="1"/>
  <mergeCells count="19">
    <mergeCell ref="D85:H85"/>
    <mergeCell ref="D57:I57"/>
    <mergeCell ref="D106:D109"/>
    <mergeCell ref="D110:D113"/>
    <mergeCell ref="D18:T18"/>
    <mergeCell ref="D34:F34"/>
    <mergeCell ref="D37:G39"/>
    <mergeCell ref="D76:F76"/>
    <mergeCell ref="D78:H80"/>
    <mergeCell ref="D101:D105"/>
    <mergeCell ref="D99:F99"/>
    <mergeCell ref="D43:F43"/>
    <mergeCell ref="D45:F45"/>
    <mergeCell ref="D4:G4"/>
    <mergeCell ref="D8:G8"/>
    <mergeCell ref="D15:G15"/>
    <mergeCell ref="D54:G54"/>
    <mergeCell ref="D82:G82"/>
    <mergeCell ref="D5:G5"/>
  </mergeCells>
  <dataValidations count="4">
    <dataValidation type="list" allowBlank="1" showErrorMessage="1" sqref="F59 G34" xr:uid="{00000000-0002-0000-0300-000000000000}">
      <formula1>"Yes,No"</formula1>
    </dataValidation>
    <dataValidation type="list" allowBlank="1" showErrorMessage="1" sqref="F60:F73" xr:uid="{00000000-0002-0000-0300-000001000000}">
      <formula1>"Fully included,Partially included,Not included"</formula1>
    </dataValidation>
    <dataValidation type="list" allowBlank="1" showErrorMessage="1" sqref="G41" xr:uid="{00000000-0002-0000-0300-000002000000}">
      <formula1>"0.1,0.2,0.5,1.0"</formula1>
    </dataValidation>
    <dataValidation type="list" allowBlank="1" showErrorMessage="1" sqref="G43" xr:uid="{00000000-0002-0000-0300-000003000000}">
      <formula1>"Blended model,Per exact role"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93"/>
  <sheetViews>
    <sheetView showGridLines="0" topLeftCell="C140" zoomScale="85" zoomScaleNormal="85" workbookViewId="0">
      <selection activeCell="H142" sqref="H142"/>
    </sheetView>
  </sheetViews>
  <sheetFormatPr defaultColWidth="12.54296875" defaultRowHeight="15.75" customHeight="1" x14ac:dyDescent="0.25"/>
  <cols>
    <col min="1" max="2" width="3.81640625" style="75" hidden="1" customWidth="1"/>
    <col min="3" max="3" width="2.7265625" style="75" customWidth="1"/>
    <col min="4" max="4" width="1.81640625" style="75" customWidth="1"/>
    <col min="5" max="5" width="17.453125" style="75" customWidth="1"/>
    <col min="6" max="6" width="46.453125" style="75" customWidth="1"/>
    <col min="7" max="8" width="51.81640625" style="75" customWidth="1"/>
    <col min="9" max="9" width="2.7265625" style="75" customWidth="1"/>
    <col min="10" max="13" width="12.54296875" style="75"/>
    <col min="14" max="14" width="58.7265625" style="75" customWidth="1"/>
    <col min="15" max="16384" width="12.54296875" style="75"/>
  </cols>
  <sheetData>
    <row r="1" spans="1:26" ht="13.5" thickBot="1" x14ac:dyDescent="0.35">
      <c r="A1" s="74">
        <v>1</v>
      </c>
      <c r="B1" s="74">
        <v>1</v>
      </c>
      <c r="E1" s="76"/>
      <c r="H1" s="74"/>
    </row>
    <row r="2" spans="1:26" s="49" customFormat="1" ht="22.5" customHeight="1" thickBot="1" x14ac:dyDescent="0.3">
      <c r="A2" s="291"/>
      <c r="B2" s="274"/>
      <c r="C2"/>
      <c r="D2" s="47"/>
      <c r="E2" s="47" t="s">
        <v>242</v>
      </c>
      <c r="F2" s="48"/>
      <c r="G2" s="48"/>
      <c r="H2" s="323"/>
      <c r="I2" s="324"/>
    </row>
    <row r="3" spans="1:26" ht="13" x14ac:dyDescent="0.3">
      <c r="A3" s="74"/>
      <c r="B3" s="74"/>
      <c r="E3" s="76"/>
      <c r="H3" s="74"/>
    </row>
    <row r="4" spans="1:26" s="52" customFormat="1" ht="20.149999999999999" customHeight="1" x14ac:dyDescent="0.25">
      <c r="A4" s="50">
        <v>1</v>
      </c>
      <c r="B4" s="50">
        <f t="shared" ref="B4" si="0">B3+1</f>
        <v>1</v>
      </c>
      <c r="C4" s="51"/>
      <c r="D4" s="433" t="s">
        <v>35</v>
      </c>
      <c r="E4" s="434"/>
      <c r="F4" s="434"/>
      <c r="G4" s="434"/>
      <c r="H4" s="292"/>
      <c r="I4" s="325"/>
    </row>
    <row r="5" spans="1:26" ht="12.5" x14ac:dyDescent="0.25">
      <c r="A5" s="74"/>
      <c r="B5" s="74"/>
      <c r="E5" s="77" t="s">
        <v>243</v>
      </c>
      <c r="H5" s="74"/>
    </row>
    <row r="6" spans="1:26" ht="12.5" x14ac:dyDescent="0.25">
      <c r="A6" s="74">
        <v>1</v>
      </c>
      <c r="B6" s="74">
        <f>B1+1</f>
        <v>2</v>
      </c>
      <c r="H6" s="74"/>
    </row>
    <row r="7" spans="1:26" s="31" customFormat="1" ht="20.149999999999999" customHeight="1" x14ac:dyDescent="0.25">
      <c r="A7" s="28">
        <v>1</v>
      </c>
      <c r="B7" s="28">
        <f t="shared" ref="B7:B8" si="1">B6+1</f>
        <v>3</v>
      </c>
      <c r="E7" s="467" t="s">
        <v>34</v>
      </c>
      <c r="F7" s="468"/>
      <c r="G7" s="468"/>
      <c r="H7" s="469"/>
    </row>
    <row r="8" spans="1:26" ht="12.5" x14ac:dyDescent="0.25">
      <c r="A8" s="74">
        <v>1</v>
      </c>
      <c r="B8" s="74">
        <f t="shared" si="1"/>
        <v>4</v>
      </c>
    </row>
    <row r="9" spans="1:26" ht="13" x14ac:dyDescent="0.3">
      <c r="A9" s="74"/>
      <c r="E9" s="78" t="s">
        <v>244</v>
      </c>
    </row>
    <row r="10" spans="1:26" ht="13" x14ac:dyDescent="0.3">
      <c r="A10" s="74"/>
      <c r="E10" s="79" t="s">
        <v>245</v>
      </c>
      <c r="H10" s="74"/>
    </row>
    <row r="11" spans="1:26" ht="13.5" thickBot="1" x14ac:dyDescent="0.35">
      <c r="A11" s="74"/>
      <c r="E11" s="76"/>
      <c r="H11" s="74"/>
    </row>
    <row r="12" spans="1:26" s="81" customFormat="1" ht="20.149999999999999" customHeight="1" thickBot="1" x14ac:dyDescent="0.3">
      <c r="A12" s="80">
        <v>1</v>
      </c>
      <c r="B12" s="80">
        <f>B8+1</f>
        <v>5</v>
      </c>
      <c r="E12" s="82"/>
      <c r="F12" s="83" t="s">
        <v>246</v>
      </c>
      <c r="G12" s="83" t="s">
        <v>247</v>
      </c>
      <c r="H12" s="83" t="s">
        <v>248</v>
      </c>
    </row>
    <row r="13" spans="1:26" ht="13.5" thickBot="1" x14ac:dyDescent="0.35">
      <c r="A13" s="74">
        <v>1</v>
      </c>
      <c r="B13" s="74">
        <f t="shared" ref="B13:B157" si="2">B12+1</f>
        <v>6</v>
      </c>
      <c r="C13" s="74"/>
      <c r="D13" s="74"/>
      <c r="E13" s="84"/>
      <c r="F13" s="84"/>
      <c r="G13" s="84"/>
      <c r="H13" s="84"/>
      <c r="I13" s="84"/>
      <c r="J13" s="84"/>
      <c r="K13" s="74"/>
      <c r="L13" s="74"/>
      <c r="M13" s="74"/>
      <c r="N13" s="74"/>
      <c r="O13" s="74"/>
      <c r="P13" s="74"/>
      <c r="Q13" s="74"/>
      <c r="R13" s="74"/>
      <c r="S13" s="74"/>
      <c r="T13" s="74"/>
      <c r="U13" s="74"/>
      <c r="V13" s="74"/>
      <c r="W13" s="74"/>
      <c r="X13" s="74"/>
      <c r="Y13" s="74"/>
      <c r="Z13" s="74"/>
    </row>
    <row r="14" spans="1:26" s="86" customFormat="1" ht="20.149999999999999" customHeight="1" thickBot="1" x14ac:dyDescent="0.3">
      <c r="A14" s="85">
        <v>1</v>
      </c>
      <c r="B14" s="85">
        <f t="shared" si="2"/>
        <v>7</v>
      </c>
      <c r="C14" s="85"/>
      <c r="D14" s="85"/>
      <c r="E14" s="470" t="s">
        <v>249</v>
      </c>
      <c r="F14" s="471"/>
      <c r="G14" s="83" t="s">
        <v>38</v>
      </c>
      <c r="H14" s="83" t="s">
        <v>250</v>
      </c>
      <c r="I14" s="85"/>
      <c r="J14" s="85"/>
      <c r="K14" s="85"/>
      <c r="L14" s="85"/>
      <c r="M14" s="85"/>
      <c r="N14" s="85"/>
      <c r="O14" s="85"/>
      <c r="P14" s="85"/>
      <c r="Q14" s="85"/>
      <c r="R14" s="85"/>
      <c r="S14" s="85"/>
      <c r="T14" s="85"/>
      <c r="U14" s="85"/>
      <c r="V14" s="85"/>
      <c r="W14" s="85"/>
      <c r="X14" s="85"/>
      <c r="Y14" s="85"/>
      <c r="Z14" s="85"/>
    </row>
    <row r="15" spans="1:26" ht="25" x14ac:dyDescent="0.25">
      <c r="A15" s="74">
        <v>1</v>
      </c>
      <c r="B15" s="74">
        <f t="shared" si="2"/>
        <v>8</v>
      </c>
      <c r="C15" s="74"/>
      <c r="D15" s="74"/>
      <c r="E15" s="87" t="s">
        <v>251</v>
      </c>
      <c r="F15" s="88" t="s">
        <v>252</v>
      </c>
      <c r="G15" s="119" t="s">
        <v>253</v>
      </c>
      <c r="H15" s="120" t="s">
        <v>254</v>
      </c>
      <c r="I15" s="74"/>
      <c r="J15" s="74"/>
      <c r="K15" s="74"/>
      <c r="L15" s="74"/>
      <c r="M15" s="74"/>
      <c r="N15" s="74"/>
      <c r="O15" s="74"/>
      <c r="P15" s="74"/>
      <c r="Q15" s="74"/>
      <c r="R15" s="74"/>
      <c r="S15" s="74"/>
      <c r="T15" s="74"/>
      <c r="U15" s="74"/>
      <c r="V15" s="74"/>
      <c r="W15" s="74"/>
      <c r="X15" s="74"/>
      <c r="Y15" s="74"/>
      <c r="Z15" s="74"/>
    </row>
    <row r="16" spans="1:26" ht="25.5" x14ac:dyDescent="0.3">
      <c r="A16" s="74">
        <v>1</v>
      </c>
      <c r="B16" s="74">
        <f t="shared" si="2"/>
        <v>9</v>
      </c>
      <c r="C16" s="74"/>
      <c r="D16" s="74"/>
      <c r="E16" s="89"/>
      <c r="F16" s="90" t="s">
        <v>255</v>
      </c>
      <c r="G16" s="121" t="s">
        <v>67</v>
      </c>
      <c r="H16" s="122" t="s">
        <v>256</v>
      </c>
      <c r="I16" s="74"/>
      <c r="J16" s="74"/>
      <c r="K16" s="74"/>
      <c r="L16" s="74"/>
      <c r="M16" s="74"/>
      <c r="N16" s="74"/>
      <c r="O16" s="74"/>
      <c r="P16" s="74"/>
      <c r="Q16" s="74"/>
      <c r="R16" s="74"/>
      <c r="S16" s="74"/>
      <c r="T16" s="74"/>
      <c r="U16" s="74"/>
      <c r="V16" s="74"/>
      <c r="W16" s="74"/>
      <c r="X16" s="74"/>
      <c r="Y16" s="74"/>
      <c r="Z16" s="74"/>
    </row>
    <row r="17" spans="1:30" ht="13" x14ac:dyDescent="0.3">
      <c r="A17" s="74">
        <v>1</v>
      </c>
      <c r="B17" s="74">
        <f t="shared" si="2"/>
        <v>10</v>
      </c>
      <c r="C17" s="74"/>
      <c r="D17" s="74"/>
      <c r="E17" s="89"/>
      <c r="F17" s="90" t="s">
        <v>257</v>
      </c>
      <c r="G17" s="121" t="s">
        <v>258</v>
      </c>
      <c r="H17" s="122" t="s">
        <v>259</v>
      </c>
      <c r="I17" s="74"/>
      <c r="J17" s="74"/>
      <c r="K17" s="74"/>
      <c r="L17" s="74"/>
      <c r="M17" s="74"/>
      <c r="N17" s="74"/>
      <c r="O17" s="74"/>
      <c r="P17" s="74"/>
      <c r="Q17" s="74"/>
      <c r="R17" s="74"/>
      <c r="S17" s="74"/>
      <c r="T17" s="74"/>
      <c r="U17" s="74"/>
      <c r="V17" s="74"/>
      <c r="W17" s="74"/>
      <c r="X17" s="74"/>
      <c r="Y17" s="74"/>
      <c r="Z17" s="74"/>
    </row>
    <row r="18" spans="1:30" ht="238" x14ac:dyDescent="0.3">
      <c r="A18" s="74">
        <v>1</v>
      </c>
      <c r="B18" s="74">
        <f t="shared" si="2"/>
        <v>11</v>
      </c>
      <c r="C18" s="74"/>
      <c r="D18" s="74"/>
      <c r="E18" s="89"/>
      <c r="F18" s="90" t="s">
        <v>260</v>
      </c>
      <c r="G18" s="121" t="s">
        <v>261</v>
      </c>
      <c r="H18" s="356" t="s">
        <v>262</v>
      </c>
      <c r="I18" s="74"/>
      <c r="J18" s="74"/>
      <c r="K18" s="74"/>
      <c r="L18" s="74"/>
      <c r="M18" s="74"/>
      <c r="N18" s="74"/>
      <c r="O18" s="74"/>
      <c r="P18" s="74"/>
      <c r="Q18" s="74"/>
      <c r="R18" s="74"/>
      <c r="S18" s="74"/>
      <c r="T18" s="74"/>
      <c r="U18" s="74"/>
      <c r="V18" s="74"/>
      <c r="W18" s="74"/>
      <c r="X18" s="74"/>
      <c r="Y18" s="74"/>
      <c r="Z18" s="74"/>
    </row>
    <row r="19" spans="1:30" ht="25.5" x14ac:dyDescent="0.3">
      <c r="A19" s="74">
        <v>1</v>
      </c>
      <c r="B19" s="74">
        <f t="shared" si="2"/>
        <v>12</v>
      </c>
      <c r="C19" s="74"/>
      <c r="D19" s="74"/>
      <c r="E19" s="89"/>
      <c r="F19" s="90" t="s">
        <v>263</v>
      </c>
      <c r="G19" s="121" t="s">
        <v>264</v>
      </c>
      <c r="H19" s="122" t="s">
        <v>265</v>
      </c>
      <c r="I19" s="74"/>
      <c r="J19" s="74"/>
      <c r="K19" s="74"/>
      <c r="L19" s="74"/>
      <c r="M19" s="74"/>
      <c r="N19" s="74"/>
      <c r="O19" s="74"/>
      <c r="P19" s="74"/>
      <c r="Q19" s="74"/>
      <c r="R19" s="74"/>
      <c r="S19" s="74"/>
      <c r="T19" s="74"/>
      <c r="U19" s="74"/>
      <c r="V19" s="74"/>
      <c r="W19" s="74"/>
      <c r="X19" s="74"/>
      <c r="Y19" s="74"/>
      <c r="Z19" s="74"/>
    </row>
    <row r="20" spans="1:30" ht="25.5" x14ac:dyDescent="0.3">
      <c r="A20" s="74">
        <v>1</v>
      </c>
      <c r="B20" s="74">
        <f t="shared" si="2"/>
        <v>13</v>
      </c>
      <c r="C20" s="74"/>
      <c r="D20" s="74"/>
      <c r="E20" s="89"/>
      <c r="F20" s="91" t="s">
        <v>266</v>
      </c>
      <c r="G20" s="121" t="s">
        <v>67</v>
      </c>
      <c r="H20" s="122" t="s">
        <v>267</v>
      </c>
      <c r="I20" s="74"/>
      <c r="J20" s="74"/>
      <c r="K20" s="74"/>
      <c r="L20" s="74"/>
      <c r="M20" s="74"/>
      <c r="N20" s="74"/>
      <c r="O20" s="74"/>
      <c r="P20" s="74"/>
      <c r="Q20" s="74"/>
      <c r="R20" s="74"/>
      <c r="S20" s="74"/>
      <c r="T20" s="74"/>
      <c r="U20" s="74"/>
      <c r="V20" s="74"/>
      <c r="W20" s="74"/>
      <c r="X20" s="74"/>
      <c r="Y20" s="74"/>
      <c r="Z20" s="74"/>
      <c r="AA20" s="74"/>
      <c r="AB20" s="74"/>
      <c r="AC20" s="74"/>
      <c r="AD20" s="74"/>
    </row>
    <row r="21" spans="1:30" ht="13" x14ac:dyDescent="0.3">
      <c r="A21" s="74">
        <v>1</v>
      </c>
      <c r="B21" s="74" t="e">
        <f>#REF!+1</f>
        <v>#REF!</v>
      </c>
      <c r="C21" s="74"/>
      <c r="D21" s="74"/>
      <c r="E21" s="89"/>
      <c r="F21" s="472" t="s">
        <v>268</v>
      </c>
      <c r="G21" s="473"/>
      <c r="H21" s="107"/>
      <c r="I21" s="74"/>
      <c r="J21" s="74"/>
      <c r="K21" s="74"/>
      <c r="L21" s="74"/>
      <c r="M21" s="74"/>
      <c r="N21" s="74"/>
      <c r="O21" s="74"/>
      <c r="P21" s="74"/>
      <c r="Q21" s="74"/>
      <c r="R21" s="74"/>
      <c r="S21" s="74"/>
      <c r="T21" s="74"/>
      <c r="U21" s="74"/>
      <c r="V21" s="74"/>
      <c r="W21" s="74"/>
      <c r="X21" s="74"/>
      <c r="Y21" s="74"/>
      <c r="Z21" s="74"/>
    </row>
    <row r="22" spans="1:30" ht="12.75" customHeight="1" x14ac:dyDescent="0.3">
      <c r="A22" s="74">
        <v>1</v>
      </c>
      <c r="B22" s="74" t="e">
        <f t="shared" si="2"/>
        <v>#REF!</v>
      </c>
      <c r="C22" s="74"/>
      <c r="D22" s="74"/>
      <c r="E22" s="89"/>
      <c r="F22" s="93" t="s">
        <v>269</v>
      </c>
      <c r="G22" s="121" t="s">
        <v>67</v>
      </c>
      <c r="H22" s="122" t="s">
        <v>786</v>
      </c>
      <c r="I22" s="74"/>
      <c r="J22" s="74"/>
      <c r="K22" s="74"/>
      <c r="L22" s="74"/>
      <c r="M22" s="74"/>
      <c r="N22" s="74"/>
      <c r="O22" s="74"/>
      <c r="P22" s="74"/>
      <c r="Q22" s="74"/>
      <c r="R22" s="74"/>
      <c r="S22" s="74"/>
      <c r="T22" s="74"/>
      <c r="U22" s="74"/>
      <c r="V22" s="74"/>
      <c r="W22" s="74"/>
      <c r="X22" s="74"/>
      <c r="Y22" s="74"/>
      <c r="Z22" s="74"/>
    </row>
    <row r="23" spans="1:30" ht="12.75" customHeight="1" x14ac:dyDescent="0.3">
      <c r="A23" s="74">
        <v>1</v>
      </c>
      <c r="B23" s="74" t="e">
        <f t="shared" si="2"/>
        <v>#REF!</v>
      </c>
      <c r="C23" s="74"/>
      <c r="D23" s="74"/>
      <c r="E23" s="89"/>
      <c r="F23" s="93" t="s">
        <v>270</v>
      </c>
      <c r="G23" s="121" t="s">
        <v>67</v>
      </c>
      <c r="H23" s="122" t="s">
        <v>787</v>
      </c>
      <c r="I23" s="74"/>
      <c r="J23" s="74"/>
      <c r="K23" s="74"/>
      <c r="L23" s="74"/>
      <c r="M23" s="74"/>
      <c r="N23" s="74"/>
      <c r="O23" s="74"/>
      <c r="P23" s="74"/>
      <c r="Q23" s="74"/>
      <c r="R23" s="74"/>
      <c r="S23" s="74"/>
      <c r="T23" s="74"/>
      <c r="U23" s="74"/>
      <c r="V23" s="74"/>
      <c r="W23" s="74"/>
      <c r="X23" s="74"/>
      <c r="Y23" s="74"/>
      <c r="Z23" s="74"/>
    </row>
    <row r="24" spans="1:30" ht="12.75" customHeight="1" x14ac:dyDescent="0.3">
      <c r="A24" s="74">
        <v>1</v>
      </c>
      <c r="B24" s="74" t="e">
        <f t="shared" si="2"/>
        <v>#REF!</v>
      </c>
      <c r="C24" s="74"/>
      <c r="D24" s="74"/>
      <c r="E24" s="89"/>
      <c r="F24" s="93" t="s">
        <v>271</v>
      </c>
      <c r="G24" s="121" t="s">
        <v>67</v>
      </c>
      <c r="H24" s="356" t="s">
        <v>272</v>
      </c>
      <c r="I24" s="74"/>
      <c r="J24" s="74"/>
      <c r="K24" s="74"/>
      <c r="L24" s="74"/>
      <c r="M24" s="74"/>
      <c r="N24" s="74"/>
      <c r="O24" s="74"/>
      <c r="P24" s="74"/>
      <c r="Q24" s="74"/>
      <c r="R24" s="74"/>
      <c r="S24" s="74"/>
      <c r="T24" s="74"/>
      <c r="U24" s="74"/>
      <c r="V24" s="74"/>
      <c r="W24" s="74"/>
      <c r="X24" s="74"/>
      <c r="Y24" s="74"/>
      <c r="Z24" s="74"/>
    </row>
    <row r="25" spans="1:30" ht="43.5" customHeight="1" x14ac:dyDescent="0.3">
      <c r="A25" s="74">
        <v>1</v>
      </c>
      <c r="B25" s="74" t="e">
        <f>B24+1</f>
        <v>#REF!</v>
      </c>
      <c r="C25" s="74"/>
      <c r="D25" s="74"/>
      <c r="E25" s="89"/>
      <c r="F25" s="91" t="s">
        <v>273</v>
      </c>
      <c r="G25" s="121" t="s">
        <v>67</v>
      </c>
      <c r="H25" s="122" t="s">
        <v>274</v>
      </c>
      <c r="I25" s="74"/>
      <c r="J25" s="74"/>
      <c r="K25" s="74"/>
      <c r="L25" s="74"/>
      <c r="M25" s="74"/>
      <c r="N25" s="74"/>
      <c r="O25" s="74"/>
      <c r="P25" s="74"/>
      <c r="Q25" s="74"/>
      <c r="R25" s="74"/>
      <c r="S25" s="74"/>
      <c r="T25" s="74"/>
      <c r="U25" s="74"/>
      <c r="V25" s="74"/>
      <c r="W25" s="74"/>
      <c r="X25" s="74"/>
      <c r="Y25" s="74"/>
      <c r="Z25" s="74"/>
    </row>
    <row r="26" spans="1:30" ht="13" x14ac:dyDescent="0.3">
      <c r="A26" s="74">
        <v>1</v>
      </c>
      <c r="B26" s="74" t="e">
        <f t="shared" si="2"/>
        <v>#REF!</v>
      </c>
      <c r="C26" s="74"/>
      <c r="D26" s="74"/>
      <c r="E26" s="89"/>
      <c r="F26" s="472" t="s">
        <v>275</v>
      </c>
      <c r="G26" s="473"/>
      <c r="H26" s="107"/>
      <c r="I26" s="74"/>
      <c r="J26" s="74"/>
      <c r="K26" s="74"/>
      <c r="L26" s="74"/>
      <c r="M26" s="74"/>
      <c r="N26" s="74"/>
      <c r="O26" s="74"/>
      <c r="P26" s="74"/>
      <c r="Q26" s="74"/>
      <c r="R26" s="74"/>
      <c r="S26" s="74"/>
      <c r="T26" s="74"/>
      <c r="U26" s="74"/>
      <c r="V26" s="74"/>
      <c r="W26" s="74"/>
      <c r="X26" s="74"/>
      <c r="Y26" s="74"/>
      <c r="Z26" s="74"/>
    </row>
    <row r="27" spans="1:30" ht="13" x14ac:dyDescent="0.3">
      <c r="A27" s="74">
        <v>1</v>
      </c>
      <c r="B27" s="74" t="e">
        <f t="shared" si="2"/>
        <v>#REF!</v>
      </c>
      <c r="C27" s="74"/>
      <c r="D27" s="74"/>
      <c r="E27" s="89"/>
      <c r="F27" s="92" t="s">
        <v>276</v>
      </c>
      <c r="G27" s="121" t="s">
        <v>67</v>
      </c>
      <c r="H27" s="122" t="s">
        <v>788</v>
      </c>
      <c r="I27" s="74"/>
      <c r="J27" s="74"/>
      <c r="K27" s="74"/>
      <c r="L27" s="74"/>
      <c r="M27" s="74"/>
      <c r="N27" s="74"/>
      <c r="O27" s="74"/>
      <c r="P27" s="74"/>
      <c r="Q27" s="74"/>
      <c r="R27" s="74"/>
      <c r="S27" s="74"/>
      <c r="T27" s="74"/>
      <c r="U27" s="74"/>
      <c r="V27" s="74"/>
      <c r="W27" s="74"/>
      <c r="X27" s="74"/>
      <c r="Y27" s="74"/>
      <c r="Z27" s="74"/>
    </row>
    <row r="28" spans="1:30" ht="13" x14ac:dyDescent="0.3">
      <c r="A28" s="74">
        <v>1</v>
      </c>
      <c r="B28" s="74" t="e">
        <f t="shared" si="2"/>
        <v>#REF!</v>
      </c>
      <c r="C28" s="74"/>
      <c r="D28" s="74"/>
      <c r="E28" s="89"/>
      <c r="F28" s="92" t="s">
        <v>277</v>
      </c>
      <c r="G28" s="121" t="s">
        <v>67</v>
      </c>
      <c r="H28" s="122"/>
      <c r="I28" s="74"/>
      <c r="J28" s="74"/>
      <c r="K28" s="74"/>
      <c r="L28" s="74"/>
      <c r="M28" s="74"/>
      <c r="N28" s="74"/>
      <c r="O28" s="74"/>
      <c r="P28" s="74"/>
      <c r="Q28" s="74"/>
      <c r="R28" s="74"/>
      <c r="S28" s="74"/>
      <c r="T28" s="74"/>
      <c r="U28" s="74"/>
      <c r="V28" s="74"/>
      <c r="W28" s="74"/>
      <c r="X28" s="74"/>
      <c r="Y28" s="74"/>
      <c r="Z28" s="74"/>
    </row>
    <row r="29" spans="1:30" ht="13" x14ac:dyDescent="0.3">
      <c r="A29" s="74">
        <v>1</v>
      </c>
      <c r="B29" s="74" t="e">
        <f t="shared" si="2"/>
        <v>#REF!</v>
      </c>
      <c r="C29" s="74"/>
      <c r="D29" s="74"/>
      <c r="E29" s="89"/>
      <c r="F29" s="92" t="s">
        <v>278</v>
      </c>
      <c r="G29" s="121" t="s">
        <v>155</v>
      </c>
      <c r="H29" s="122"/>
      <c r="I29" s="74"/>
      <c r="J29" s="74"/>
      <c r="K29" s="74"/>
      <c r="L29" s="74"/>
      <c r="M29" s="74"/>
      <c r="N29" s="74"/>
      <c r="O29" s="74"/>
      <c r="P29" s="74"/>
      <c r="Q29" s="74"/>
      <c r="R29" s="74"/>
      <c r="S29" s="74"/>
      <c r="T29" s="74"/>
      <c r="U29" s="74"/>
      <c r="V29" s="74"/>
      <c r="W29" s="74"/>
      <c r="X29" s="74"/>
      <c r="Y29" s="74"/>
      <c r="Z29" s="74"/>
    </row>
    <row r="30" spans="1:30" ht="13" x14ac:dyDescent="0.3">
      <c r="A30" s="74">
        <v>1</v>
      </c>
      <c r="B30" s="74" t="e">
        <f t="shared" si="2"/>
        <v>#REF!</v>
      </c>
      <c r="C30" s="74"/>
      <c r="D30" s="74"/>
      <c r="E30" s="89"/>
      <c r="F30" s="92" t="s">
        <v>279</v>
      </c>
      <c r="G30" s="121" t="s">
        <v>67</v>
      </c>
      <c r="H30" s="122"/>
      <c r="I30" s="74"/>
      <c r="J30" s="74"/>
      <c r="K30" s="74"/>
      <c r="L30" s="74"/>
      <c r="M30" s="74"/>
      <c r="N30" s="74"/>
      <c r="O30" s="74"/>
      <c r="P30" s="74"/>
      <c r="Q30" s="74"/>
      <c r="R30" s="74"/>
      <c r="S30" s="74"/>
      <c r="T30" s="74"/>
      <c r="U30" s="74"/>
      <c r="V30" s="74"/>
      <c r="W30" s="74"/>
      <c r="X30" s="74"/>
      <c r="Y30" s="74"/>
      <c r="Z30" s="74"/>
    </row>
    <row r="31" spans="1:30" ht="13" x14ac:dyDescent="0.3">
      <c r="A31" s="74">
        <v>1</v>
      </c>
      <c r="B31" s="74" t="e">
        <f t="shared" si="2"/>
        <v>#REF!</v>
      </c>
      <c r="C31" s="74"/>
      <c r="D31" s="74"/>
      <c r="E31" s="89"/>
      <c r="F31" s="92" t="s">
        <v>280</v>
      </c>
      <c r="G31" s="121" t="s">
        <v>67</v>
      </c>
      <c r="H31" s="122"/>
      <c r="I31" s="74"/>
      <c r="J31" s="74"/>
      <c r="K31" s="74"/>
      <c r="L31" s="74"/>
      <c r="M31" s="74"/>
      <c r="N31" s="74"/>
      <c r="O31" s="74"/>
      <c r="P31" s="74"/>
      <c r="Q31" s="74"/>
      <c r="R31" s="74"/>
      <c r="S31" s="74"/>
      <c r="T31" s="74"/>
      <c r="U31" s="74"/>
      <c r="V31" s="74"/>
      <c r="W31" s="74"/>
      <c r="X31" s="74"/>
      <c r="Y31" s="74"/>
      <c r="Z31" s="74"/>
    </row>
    <row r="32" spans="1:30" ht="13" x14ac:dyDescent="0.3">
      <c r="A32" s="74">
        <v>1</v>
      </c>
      <c r="B32" s="74" t="e">
        <f t="shared" si="2"/>
        <v>#REF!</v>
      </c>
      <c r="C32" s="74"/>
      <c r="D32" s="74"/>
      <c r="E32" s="89"/>
      <c r="F32" s="92" t="s">
        <v>281</v>
      </c>
      <c r="G32" s="121" t="s">
        <v>67</v>
      </c>
      <c r="H32" s="122"/>
      <c r="I32" s="74"/>
      <c r="J32" s="74"/>
      <c r="K32" s="74"/>
      <c r="L32" s="74"/>
      <c r="M32" s="74"/>
      <c r="N32" s="74"/>
      <c r="O32" s="74"/>
      <c r="P32" s="74"/>
      <c r="Q32" s="74"/>
      <c r="R32" s="74"/>
      <c r="S32" s="74"/>
      <c r="T32" s="74"/>
      <c r="U32" s="74"/>
      <c r="V32" s="74"/>
      <c r="W32" s="74"/>
      <c r="X32" s="74"/>
      <c r="Y32" s="74"/>
      <c r="Z32" s="74"/>
    </row>
    <row r="33" spans="1:26" ht="13" x14ac:dyDescent="0.3">
      <c r="A33" s="74">
        <v>1</v>
      </c>
      <c r="B33" s="74" t="e">
        <f t="shared" si="2"/>
        <v>#REF!</v>
      </c>
      <c r="C33" s="74"/>
      <c r="D33" s="74"/>
      <c r="E33" s="89"/>
      <c r="F33" s="92" t="s">
        <v>282</v>
      </c>
      <c r="G33" s="121" t="s">
        <v>155</v>
      </c>
      <c r="H33" s="122"/>
      <c r="I33" s="74"/>
      <c r="J33" s="74"/>
      <c r="K33" s="74"/>
      <c r="L33" s="74"/>
      <c r="M33" s="74"/>
      <c r="N33" s="74"/>
      <c r="O33" s="74"/>
      <c r="P33" s="74"/>
      <c r="Q33" s="74"/>
      <c r="R33" s="74"/>
      <c r="S33" s="74"/>
      <c r="T33" s="74"/>
      <c r="U33" s="74"/>
      <c r="V33" s="74"/>
      <c r="W33" s="74"/>
      <c r="X33" s="74"/>
      <c r="Y33" s="74"/>
      <c r="Z33" s="74"/>
    </row>
    <row r="34" spans="1:26" ht="13" x14ac:dyDescent="0.3">
      <c r="A34" s="74">
        <v>1</v>
      </c>
      <c r="B34" s="74" t="e">
        <f t="shared" si="2"/>
        <v>#REF!</v>
      </c>
      <c r="C34" s="74"/>
      <c r="D34" s="74"/>
      <c r="E34" s="89"/>
      <c r="F34" s="92" t="s">
        <v>283</v>
      </c>
      <c r="G34" s="121" t="s">
        <v>67</v>
      </c>
      <c r="H34" s="122"/>
      <c r="I34" s="74"/>
      <c r="J34" s="74"/>
      <c r="K34" s="74"/>
      <c r="L34" s="74"/>
      <c r="M34" s="74"/>
      <c r="N34" s="74"/>
      <c r="O34" s="74"/>
      <c r="P34" s="74"/>
      <c r="Q34" s="74"/>
      <c r="R34" s="74"/>
      <c r="S34" s="74"/>
      <c r="T34" s="74"/>
      <c r="U34" s="74"/>
      <c r="V34" s="74"/>
      <c r="W34" s="74"/>
      <c r="X34" s="74"/>
      <c r="Y34" s="74"/>
      <c r="Z34" s="74"/>
    </row>
    <row r="35" spans="1:26" ht="13" x14ac:dyDescent="0.3">
      <c r="A35" s="74">
        <v>1</v>
      </c>
      <c r="B35" s="74" t="e">
        <f t="shared" si="2"/>
        <v>#REF!</v>
      </c>
      <c r="C35" s="74"/>
      <c r="D35" s="74"/>
      <c r="E35" s="89"/>
      <c r="F35" s="472" t="s">
        <v>284</v>
      </c>
      <c r="G35" s="473"/>
      <c r="H35" s="107"/>
      <c r="I35" s="74"/>
      <c r="J35" s="74"/>
      <c r="K35" s="74"/>
      <c r="L35" s="74"/>
      <c r="M35" s="74"/>
      <c r="N35" s="74"/>
      <c r="O35" s="74"/>
      <c r="P35" s="74"/>
      <c r="Q35" s="74"/>
      <c r="R35" s="74"/>
      <c r="S35" s="74"/>
      <c r="T35" s="74"/>
      <c r="U35" s="74"/>
      <c r="V35" s="74"/>
      <c r="W35" s="74"/>
      <c r="X35" s="74"/>
      <c r="Y35" s="74"/>
      <c r="Z35" s="74"/>
    </row>
    <row r="36" spans="1:26" ht="13" x14ac:dyDescent="0.3">
      <c r="A36" s="74">
        <v>1</v>
      </c>
      <c r="B36" s="74" t="e">
        <f t="shared" si="2"/>
        <v>#REF!</v>
      </c>
      <c r="C36" s="74"/>
      <c r="D36" s="74"/>
      <c r="E36" s="89"/>
      <c r="F36" s="92" t="s">
        <v>285</v>
      </c>
      <c r="G36" s="121" t="s">
        <v>67</v>
      </c>
      <c r="H36" s="122" t="s">
        <v>286</v>
      </c>
      <c r="I36" s="74"/>
      <c r="J36" s="74"/>
      <c r="K36" s="74"/>
      <c r="L36" s="74"/>
      <c r="M36" s="74"/>
      <c r="N36" s="74"/>
      <c r="O36" s="74"/>
      <c r="P36" s="74"/>
      <c r="Q36" s="74"/>
      <c r="R36" s="74"/>
      <c r="S36" s="74"/>
      <c r="T36" s="74"/>
      <c r="U36" s="74"/>
      <c r="V36" s="74"/>
      <c r="W36" s="74"/>
      <c r="X36" s="74"/>
      <c r="Y36" s="74"/>
      <c r="Z36" s="74"/>
    </row>
    <row r="37" spans="1:26" ht="13" x14ac:dyDescent="0.3">
      <c r="A37" s="74">
        <v>1</v>
      </c>
      <c r="B37" s="74" t="e">
        <f t="shared" si="2"/>
        <v>#REF!</v>
      </c>
      <c r="C37" s="74"/>
      <c r="D37" s="74"/>
      <c r="E37" s="89"/>
      <c r="F37" s="92" t="s">
        <v>287</v>
      </c>
      <c r="G37" s="121" t="s">
        <v>67</v>
      </c>
      <c r="H37" s="122" t="s">
        <v>288</v>
      </c>
      <c r="I37" s="74"/>
      <c r="J37" s="74"/>
      <c r="K37" s="74"/>
      <c r="L37" s="74"/>
      <c r="M37" s="74"/>
      <c r="N37" s="74"/>
      <c r="O37" s="74"/>
      <c r="P37" s="74"/>
      <c r="Q37" s="74"/>
      <c r="R37" s="74"/>
      <c r="S37" s="74"/>
      <c r="T37" s="74"/>
      <c r="U37" s="74"/>
      <c r="V37" s="74"/>
      <c r="W37" s="74"/>
      <c r="X37" s="74"/>
      <c r="Y37" s="74"/>
      <c r="Z37" s="74"/>
    </row>
    <row r="38" spans="1:26" ht="13" x14ac:dyDescent="0.3">
      <c r="A38" s="74">
        <v>1</v>
      </c>
      <c r="B38" s="74" t="e">
        <f t="shared" si="2"/>
        <v>#REF!</v>
      </c>
      <c r="C38" s="74"/>
      <c r="D38" s="74"/>
      <c r="E38" s="89"/>
      <c r="F38" s="92" t="s">
        <v>289</v>
      </c>
      <c r="G38" s="121" t="s">
        <v>67</v>
      </c>
      <c r="H38" s="122" t="s">
        <v>290</v>
      </c>
      <c r="I38" s="74"/>
      <c r="J38" s="74"/>
      <c r="K38" s="74"/>
      <c r="L38" s="74"/>
      <c r="M38" s="74"/>
      <c r="N38" s="74"/>
      <c r="O38" s="74"/>
      <c r="P38" s="74"/>
      <c r="Q38" s="74"/>
      <c r="R38" s="74"/>
      <c r="S38" s="74"/>
      <c r="T38" s="74"/>
      <c r="U38" s="74"/>
      <c r="V38" s="74"/>
      <c r="W38" s="74"/>
      <c r="X38" s="74"/>
      <c r="Y38" s="74"/>
      <c r="Z38" s="74"/>
    </row>
    <row r="39" spans="1:26" ht="13" x14ac:dyDescent="0.3">
      <c r="A39" s="74">
        <v>1</v>
      </c>
      <c r="B39" s="74" t="e">
        <f t="shared" si="2"/>
        <v>#REF!</v>
      </c>
      <c r="C39" s="74"/>
      <c r="D39" s="74"/>
      <c r="E39" s="89"/>
      <c r="F39" s="92" t="s">
        <v>291</v>
      </c>
      <c r="G39" s="121" t="s">
        <v>67</v>
      </c>
      <c r="H39" s="122" t="s">
        <v>292</v>
      </c>
      <c r="I39" s="74"/>
      <c r="J39" s="74"/>
      <c r="K39" s="74"/>
      <c r="L39" s="74"/>
      <c r="M39" s="74"/>
      <c r="N39" s="74"/>
      <c r="O39" s="74"/>
      <c r="P39" s="74"/>
      <c r="Q39" s="74"/>
      <c r="R39" s="74"/>
      <c r="S39" s="74"/>
      <c r="T39" s="74"/>
      <c r="U39" s="74"/>
      <c r="V39" s="74"/>
      <c r="W39" s="74"/>
      <c r="X39" s="74"/>
      <c r="Y39" s="74"/>
      <c r="Z39" s="74"/>
    </row>
    <row r="40" spans="1:26" ht="13" x14ac:dyDescent="0.3">
      <c r="A40" s="74">
        <v>1</v>
      </c>
      <c r="B40" s="74" t="e">
        <f t="shared" si="2"/>
        <v>#REF!</v>
      </c>
      <c r="C40" s="74"/>
      <c r="D40" s="74"/>
      <c r="E40" s="89"/>
      <c r="F40" s="92" t="s">
        <v>293</v>
      </c>
      <c r="G40" s="121" t="s">
        <v>67</v>
      </c>
      <c r="H40" s="122" t="s">
        <v>290</v>
      </c>
      <c r="I40" s="74"/>
      <c r="J40" s="74"/>
      <c r="K40" s="74"/>
      <c r="L40" s="74"/>
      <c r="M40" s="74"/>
      <c r="N40" s="74"/>
      <c r="O40" s="74"/>
      <c r="P40" s="74"/>
      <c r="Q40" s="74"/>
      <c r="R40" s="74"/>
      <c r="S40" s="74"/>
      <c r="T40" s="74"/>
      <c r="U40" s="74"/>
      <c r="V40" s="74"/>
      <c r="W40" s="74"/>
      <c r="X40" s="74"/>
      <c r="Y40" s="74"/>
      <c r="Z40" s="74"/>
    </row>
    <row r="41" spans="1:26" ht="409.6" x14ac:dyDescent="0.3">
      <c r="A41" s="74">
        <v>1</v>
      </c>
      <c r="B41" s="74" t="e">
        <f t="shared" si="2"/>
        <v>#REF!</v>
      </c>
      <c r="C41" s="74"/>
      <c r="D41" s="74"/>
      <c r="E41" s="89"/>
      <c r="F41" s="92" t="s">
        <v>294</v>
      </c>
      <c r="G41" s="121" t="s">
        <v>67</v>
      </c>
      <c r="H41" s="356" t="s">
        <v>295</v>
      </c>
      <c r="I41" s="74"/>
      <c r="J41" s="74"/>
      <c r="K41" s="74"/>
      <c r="L41" s="74"/>
      <c r="M41" s="74"/>
      <c r="N41" s="74"/>
      <c r="O41" s="74"/>
      <c r="P41" s="74"/>
      <c r="Q41" s="74"/>
      <c r="R41" s="74"/>
      <c r="S41" s="74"/>
      <c r="T41" s="74"/>
      <c r="U41" s="74"/>
      <c r="V41" s="74"/>
      <c r="W41" s="74"/>
      <c r="X41" s="74"/>
      <c r="Y41" s="74"/>
      <c r="Z41" s="74"/>
    </row>
    <row r="42" spans="1:26" ht="13" x14ac:dyDescent="0.3">
      <c r="A42" s="74">
        <v>1</v>
      </c>
      <c r="B42" s="74" t="e">
        <f t="shared" si="2"/>
        <v>#REF!</v>
      </c>
      <c r="C42" s="74"/>
      <c r="D42" s="74"/>
      <c r="E42" s="89"/>
      <c r="F42" s="92" t="s">
        <v>296</v>
      </c>
      <c r="G42" s="121" t="s">
        <v>67</v>
      </c>
      <c r="H42" s="122" t="s">
        <v>297</v>
      </c>
      <c r="I42" s="74"/>
      <c r="J42" s="74"/>
      <c r="K42" s="74"/>
      <c r="L42" s="74"/>
      <c r="M42" s="74"/>
      <c r="N42" s="74"/>
      <c r="O42" s="74"/>
      <c r="P42" s="74"/>
      <c r="Q42" s="74"/>
      <c r="R42" s="74"/>
      <c r="S42" s="74"/>
      <c r="T42" s="74"/>
      <c r="U42" s="74"/>
      <c r="V42" s="74"/>
      <c r="W42" s="74"/>
      <c r="X42" s="74"/>
      <c r="Y42" s="74"/>
      <c r="Z42" s="74"/>
    </row>
    <row r="43" spans="1:26" ht="13" x14ac:dyDescent="0.3">
      <c r="A43" s="74">
        <v>1</v>
      </c>
      <c r="B43" s="74" t="e">
        <f t="shared" si="2"/>
        <v>#REF!</v>
      </c>
      <c r="C43" s="74"/>
      <c r="D43" s="74"/>
      <c r="E43" s="89"/>
      <c r="F43" s="92" t="s">
        <v>298</v>
      </c>
      <c r="G43" s="121" t="s">
        <v>67</v>
      </c>
      <c r="H43" s="122" t="s">
        <v>297</v>
      </c>
      <c r="I43" s="74"/>
      <c r="J43" s="74"/>
      <c r="K43" s="74"/>
      <c r="L43" s="74"/>
      <c r="M43" s="74"/>
      <c r="N43" s="74"/>
      <c r="O43" s="74"/>
      <c r="P43" s="74"/>
      <c r="Q43" s="74"/>
      <c r="R43" s="74"/>
      <c r="S43" s="74"/>
      <c r="T43" s="74"/>
      <c r="U43" s="74"/>
      <c r="V43" s="74"/>
      <c r="W43" s="74"/>
      <c r="X43" s="74"/>
      <c r="Y43" s="74"/>
      <c r="Z43" s="74"/>
    </row>
    <row r="44" spans="1:26" ht="13" x14ac:dyDescent="0.3">
      <c r="A44" s="74">
        <v>1</v>
      </c>
      <c r="B44" s="74" t="e">
        <f t="shared" si="2"/>
        <v>#REF!</v>
      </c>
      <c r="C44" s="74"/>
      <c r="D44" s="74"/>
      <c r="E44" s="89"/>
      <c r="F44" s="92" t="s">
        <v>299</v>
      </c>
      <c r="G44" s="121" t="s">
        <v>67</v>
      </c>
      <c r="H44" s="122" t="s">
        <v>290</v>
      </c>
      <c r="I44" s="74"/>
      <c r="J44" s="74"/>
      <c r="K44" s="74"/>
      <c r="L44" s="74"/>
      <c r="M44" s="74"/>
      <c r="N44" s="74"/>
      <c r="O44" s="74"/>
      <c r="P44" s="74"/>
      <c r="Q44" s="74"/>
      <c r="R44" s="74"/>
      <c r="S44" s="74"/>
      <c r="T44" s="74"/>
      <c r="U44" s="74"/>
      <c r="V44" s="74"/>
      <c r="W44" s="74"/>
      <c r="X44" s="74"/>
      <c r="Y44" s="74"/>
      <c r="Z44" s="74"/>
    </row>
    <row r="45" spans="1:26" ht="13" x14ac:dyDescent="0.3">
      <c r="A45" s="74">
        <v>1</v>
      </c>
      <c r="B45" s="74" t="e">
        <f t="shared" si="2"/>
        <v>#REF!</v>
      </c>
      <c r="C45" s="74"/>
      <c r="D45" s="74"/>
      <c r="E45" s="89"/>
      <c r="F45" s="92" t="s">
        <v>300</v>
      </c>
      <c r="G45" s="121" t="s">
        <v>67</v>
      </c>
      <c r="H45" s="122" t="s">
        <v>301</v>
      </c>
      <c r="I45" s="74"/>
      <c r="J45" s="74"/>
      <c r="K45" s="74"/>
      <c r="L45" s="74"/>
      <c r="M45" s="74"/>
      <c r="N45" s="74"/>
      <c r="O45" s="74"/>
      <c r="P45" s="74"/>
      <c r="Q45" s="74"/>
      <c r="R45" s="74"/>
      <c r="S45" s="74"/>
      <c r="T45" s="74"/>
      <c r="U45" s="74"/>
      <c r="V45" s="74"/>
      <c r="W45" s="74"/>
      <c r="X45" s="74"/>
      <c r="Y45" s="74"/>
      <c r="Z45" s="74"/>
    </row>
    <row r="46" spans="1:26" ht="13" x14ac:dyDescent="0.3">
      <c r="A46" s="74">
        <v>1</v>
      </c>
      <c r="B46" s="74" t="e">
        <f t="shared" si="2"/>
        <v>#REF!</v>
      </c>
      <c r="C46" s="74"/>
      <c r="D46" s="74"/>
      <c r="E46" s="89"/>
      <c r="F46" s="92" t="s">
        <v>302</v>
      </c>
      <c r="G46" s="121" t="s">
        <v>67</v>
      </c>
      <c r="H46" s="122" t="s">
        <v>303</v>
      </c>
      <c r="I46" s="74"/>
      <c r="J46" s="74"/>
      <c r="K46" s="74"/>
      <c r="L46" s="74"/>
      <c r="M46" s="74"/>
      <c r="N46" s="74"/>
      <c r="O46" s="74"/>
      <c r="P46" s="74"/>
      <c r="Q46" s="74"/>
      <c r="R46" s="74"/>
      <c r="S46" s="74"/>
      <c r="T46" s="74"/>
      <c r="U46" s="74"/>
      <c r="V46" s="74"/>
      <c r="W46" s="74"/>
      <c r="X46" s="74"/>
      <c r="Y46" s="74"/>
      <c r="Z46" s="74"/>
    </row>
    <row r="47" spans="1:26" ht="213" x14ac:dyDescent="0.3">
      <c r="A47" s="74">
        <v>1</v>
      </c>
      <c r="B47" s="74" t="e">
        <f t="shared" si="2"/>
        <v>#REF!</v>
      </c>
      <c r="C47" s="74"/>
      <c r="D47" s="74"/>
      <c r="E47" s="89"/>
      <c r="F47" s="92" t="s">
        <v>304</v>
      </c>
      <c r="G47" s="121" t="s">
        <v>67</v>
      </c>
      <c r="H47" s="356" t="s">
        <v>305</v>
      </c>
      <c r="I47" s="74"/>
      <c r="J47" s="74"/>
      <c r="K47" s="74"/>
      <c r="L47" s="74"/>
      <c r="M47" s="74"/>
      <c r="N47" s="74"/>
      <c r="O47" s="74"/>
      <c r="P47" s="74"/>
      <c r="Q47" s="74"/>
      <c r="R47" s="74"/>
      <c r="S47" s="74"/>
      <c r="T47" s="74"/>
      <c r="U47" s="74"/>
      <c r="V47" s="74"/>
      <c r="W47" s="74"/>
      <c r="X47" s="74"/>
      <c r="Y47" s="74"/>
      <c r="Z47" s="74"/>
    </row>
    <row r="48" spans="1:26" ht="13" x14ac:dyDescent="0.3">
      <c r="A48" s="74">
        <v>1</v>
      </c>
      <c r="B48" s="74" t="e">
        <f t="shared" si="2"/>
        <v>#REF!</v>
      </c>
      <c r="C48" s="74"/>
      <c r="D48" s="74"/>
      <c r="E48" s="89"/>
      <c r="F48" s="472" t="s">
        <v>306</v>
      </c>
      <c r="G48" s="473"/>
      <c r="H48" s="107"/>
      <c r="I48" s="74"/>
      <c r="J48" s="74"/>
      <c r="K48" s="74"/>
      <c r="L48" s="74"/>
      <c r="M48" s="74"/>
      <c r="N48" s="74"/>
      <c r="O48" s="74"/>
      <c r="P48" s="74"/>
      <c r="Q48" s="74"/>
      <c r="R48" s="74"/>
      <c r="S48" s="74"/>
      <c r="T48" s="74"/>
      <c r="U48" s="74"/>
      <c r="V48" s="74"/>
      <c r="W48" s="74"/>
      <c r="X48" s="74"/>
      <c r="Y48" s="74"/>
      <c r="Z48" s="74"/>
    </row>
    <row r="49" spans="1:26" ht="13" x14ac:dyDescent="0.3">
      <c r="A49" s="74">
        <v>1</v>
      </c>
      <c r="B49" s="74" t="e">
        <f t="shared" si="2"/>
        <v>#REF!</v>
      </c>
      <c r="C49" s="74"/>
      <c r="D49" s="74"/>
      <c r="E49" s="89"/>
      <c r="F49" s="92" t="s">
        <v>307</v>
      </c>
      <c r="G49" s="121" t="s">
        <v>67</v>
      </c>
      <c r="H49" s="122" t="s">
        <v>308</v>
      </c>
      <c r="I49" s="74"/>
      <c r="J49" s="74"/>
      <c r="K49" s="74"/>
      <c r="L49" s="74"/>
      <c r="M49" s="74"/>
      <c r="N49" s="74"/>
      <c r="O49" s="74"/>
      <c r="P49" s="74"/>
      <c r="Q49" s="74"/>
      <c r="R49" s="74"/>
      <c r="S49" s="74"/>
      <c r="T49" s="74"/>
      <c r="U49" s="74"/>
      <c r="V49" s="74"/>
      <c r="W49" s="74"/>
      <c r="X49" s="74"/>
      <c r="Y49" s="74"/>
      <c r="Z49" s="74"/>
    </row>
    <row r="50" spans="1:26" ht="13" x14ac:dyDescent="0.3">
      <c r="A50" s="74">
        <v>1</v>
      </c>
      <c r="B50" s="74" t="e">
        <f t="shared" si="2"/>
        <v>#REF!</v>
      </c>
      <c r="C50" s="74"/>
      <c r="D50" s="74"/>
      <c r="E50" s="89"/>
      <c r="F50" s="92" t="s">
        <v>309</v>
      </c>
      <c r="G50" s="121" t="s">
        <v>155</v>
      </c>
      <c r="H50" s="122" t="s">
        <v>310</v>
      </c>
      <c r="I50" s="74"/>
      <c r="J50" s="74"/>
      <c r="K50" s="74"/>
      <c r="L50" s="74"/>
      <c r="M50" s="74"/>
      <c r="N50" s="74"/>
      <c r="O50" s="74"/>
      <c r="P50" s="74"/>
      <c r="Q50" s="74"/>
      <c r="R50" s="74"/>
      <c r="S50" s="74"/>
      <c r="T50" s="74"/>
      <c r="U50" s="74"/>
      <c r="V50" s="74"/>
      <c r="W50" s="74"/>
      <c r="X50" s="74"/>
      <c r="Y50" s="74"/>
      <c r="Z50" s="74"/>
    </row>
    <row r="51" spans="1:26" ht="13" x14ac:dyDescent="0.3">
      <c r="A51" s="74">
        <v>1</v>
      </c>
      <c r="B51" s="74" t="e">
        <f t="shared" si="2"/>
        <v>#REF!</v>
      </c>
      <c r="C51" s="74"/>
      <c r="D51" s="74"/>
      <c r="E51" s="89"/>
      <c r="F51" s="92" t="s">
        <v>311</v>
      </c>
      <c r="G51" s="121" t="s">
        <v>67</v>
      </c>
      <c r="H51" s="122" t="s">
        <v>312</v>
      </c>
      <c r="I51" s="74"/>
      <c r="J51" s="74"/>
      <c r="K51" s="74"/>
      <c r="L51" s="74"/>
      <c r="M51" s="74"/>
      <c r="N51" s="74"/>
      <c r="O51" s="74"/>
      <c r="P51" s="74"/>
      <c r="Q51" s="74"/>
      <c r="R51" s="74"/>
      <c r="S51" s="74"/>
      <c r="T51" s="74"/>
      <c r="U51" s="74"/>
      <c r="V51" s="74"/>
      <c r="W51" s="74"/>
      <c r="X51" s="74"/>
      <c r="Y51" s="74"/>
      <c r="Z51" s="74"/>
    </row>
    <row r="52" spans="1:26" ht="13" x14ac:dyDescent="0.3">
      <c r="A52" s="74">
        <v>1</v>
      </c>
      <c r="B52" s="74" t="e">
        <f>#REF!+1</f>
        <v>#REF!</v>
      </c>
      <c r="C52" s="74"/>
      <c r="D52" s="74"/>
      <c r="E52" s="89"/>
      <c r="F52" s="92" t="s">
        <v>313</v>
      </c>
      <c r="G52" s="121" t="s">
        <v>155</v>
      </c>
      <c r="H52" s="122" t="s">
        <v>314</v>
      </c>
      <c r="I52" s="74"/>
      <c r="J52" s="74"/>
      <c r="K52" s="74"/>
      <c r="L52" s="74"/>
      <c r="M52" s="74"/>
      <c r="N52" s="74"/>
      <c r="O52" s="74"/>
      <c r="P52" s="74"/>
      <c r="Q52" s="74"/>
      <c r="R52" s="74"/>
      <c r="S52" s="74"/>
      <c r="T52" s="74"/>
      <c r="U52" s="74"/>
      <c r="V52" s="74"/>
      <c r="W52" s="74"/>
      <c r="X52" s="74"/>
      <c r="Y52" s="74"/>
      <c r="Z52" s="74"/>
    </row>
    <row r="53" spans="1:26" ht="13" x14ac:dyDescent="0.3">
      <c r="A53" s="74">
        <v>1</v>
      </c>
      <c r="B53" s="74" t="e">
        <f>#REF!+1</f>
        <v>#REF!</v>
      </c>
      <c r="C53" s="74"/>
      <c r="D53" s="74"/>
      <c r="E53" s="89"/>
      <c r="F53" s="92" t="s">
        <v>315</v>
      </c>
      <c r="G53" s="121" t="s">
        <v>67</v>
      </c>
      <c r="H53" s="122" t="s">
        <v>316</v>
      </c>
      <c r="I53" s="74"/>
      <c r="J53" s="74"/>
      <c r="K53" s="74"/>
      <c r="L53" s="74"/>
      <c r="M53" s="74"/>
      <c r="N53" s="74"/>
      <c r="O53" s="74"/>
      <c r="P53" s="74"/>
      <c r="Q53" s="74"/>
      <c r="R53" s="74"/>
      <c r="S53" s="74"/>
      <c r="T53" s="74"/>
      <c r="U53" s="74"/>
      <c r="V53" s="74"/>
      <c r="W53" s="74"/>
      <c r="X53" s="74"/>
      <c r="Y53" s="74"/>
      <c r="Z53" s="74"/>
    </row>
    <row r="54" spans="1:26" ht="38" x14ac:dyDescent="0.3">
      <c r="A54" s="74">
        <v>1</v>
      </c>
      <c r="B54" s="74" t="e">
        <f>#REF!+1</f>
        <v>#REF!</v>
      </c>
      <c r="C54" s="74"/>
      <c r="D54" s="74"/>
      <c r="E54" s="89"/>
      <c r="F54" s="91" t="s">
        <v>317</v>
      </c>
      <c r="G54" s="121" t="s">
        <v>67</v>
      </c>
      <c r="H54" s="122" t="s">
        <v>318</v>
      </c>
      <c r="I54" s="74"/>
      <c r="J54" s="74"/>
      <c r="K54" s="74"/>
      <c r="L54" s="74"/>
      <c r="M54" s="74"/>
      <c r="N54" s="74"/>
      <c r="O54" s="74"/>
      <c r="P54" s="74"/>
      <c r="Q54" s="74"/>
      <c r="R54" s="74"/>
      <c r="S54" s="74"/>
      <c r="T54" s="74"/>
      <c r="U54" s="74"/>
      <c r="V54" s="74"/>
      <c r="W54" s="74"/>
      <c r="X54" s="74"/>
      <c r="Y54" s="74"/>
      <c r="Z54" s="74"/>
    </row>
    <row r="55" spans="1:26" ht="13" x14ac:dyDescent="0.3">
      <c r="A55" s="74">
        <v>1</v>
      </c>
      <c r="B55" s="74" t="e">
        <f>#REF!+1</f>
        <v>#REF!</v>
      </c>
      <c r="C55" s="74"/>
      <c r="D55" s="74"/>
      <c r="E55" s="89"/>
      <c r="F55" s="472" t="s">
        <v>319</v>
      </c>
      <c r="G55" s="473"/>
      <c r="H55" s="107"/>
      <c r="I55" s="74"/>
      <c r="J55" s="74"/>
      <c r="K55" s="74"/>
      <c r="L55" s="74"/>
      <c r="M55" s="74"/>
      <c r="N55" s="74"/>
      <c r="O55" s="74"/>
      <c r="P55" s="74"/>
      <c r="Q55" s="74"/>
      <c r="R55" s="74"/>
      <c r="S55" s="74"/>
      <c r="T55" s="74"/>
      <c r="U55" s="74"/>
      <c r="V55" s="74"/>
      <c r="W55" s="74"/>
      <c r="X55" s="74"/>
      <c r="Y55" s="74"/>
      <c r="Z55" s="74"/>
    </row>
    <row r="56" spans="1:26" ht="13" x14ac:dyDescent="0.3">
      <c r="A56" s="74">
        <v>1</v>
      </c>
      <c r="B56" s="74" t="e">
        <f t="shared" si="2"/>
        <v>#REF!</v>
      </c>
      <c r="C56" s="74"/>
      <c r="D56" s="74"/>
      <c r="E56" s="89"/>
      <c r="F56" s="92" t="s">
        <v>320</v>
      </c>
      <c r="G56" s="121" t="s">
        <v>67</v>
      </c>
      <c r="H56" s="122" t="s">
        <v>321</v>
      </c>
      <c r="I56" s="74"/>
      <c r="J56" s="74"/>
      <c r="K56" s="74"/>
      <c r="L56" s="74"/>
      <c r="M56" s="74"/>
      <c r="N56" s="74"/>
      <c r="O56" s="74"/>
      <c r="P56" s="74"/>
      <c r="Q56" s="74"/>
      <c r="R56" s="74"/>
      <c r="S56" s="74"/>
      <c r="T56" s="74"/>
      <c r="U56" s="74"/>
      <c r="V56" s="74"/>
      <c r="W56" s="74"/>
      <c r="X56" s="74"/>
      <c r="Y56" s="74"/>
      <c r="Z56" s="74"/>
    </row>
    <row r="57" spans="1:26" ht="13" x14ac:dyDescent="0.3">
      <c r="A57" s="74">
        <v>1</v>
      </c>
      <c r="B57" s="74" t="e">
        <f t="shared" si="2"/>
        <v>#REF!</v>
      </c>
      <c r="C57" s="74"/>
      <c r="D57" s="74"/>
      <c r="E57" s="89"/>
      <c r="F57" s="92" t="s">
        <v>322</v>
      </c>
      <c r="G57" s="121" t="s">
        <v>67</v>
      </c>
      <c r="H57" s="122" t="s">
        <v>321</v>
      </c>
      <c r="I57" s="74"/>
      <c r="J57" s="74"/>
      <c r="K57" s="74"/>
      <c r="L57" s="74"/>
      <c r="M57" s="74"/>
      <c r="N57" s="74"/>
      <c r="O57" s="74"/>
      <c r="P57" s="74"/>
      <c r="Q57" s="74"/>
      <c r="R57" s="74"/>
      <c r="S57" s="74"/>
      <c r="T57" s="74"/>
      <c r="U57" s="74"/>
      <c r="V57" s="74"/>
      <c r="W57" s="74"/>
      <c r="X57" s="74"/>
      <c r="Y57" s="74"/>
      <c r="Z57" s="74"/>
    </row>
    <row r="58" spans="1:26" ht="13" x14ac:dyDescent="0.3">
      <c r="A58" s="74">
        <v>1</v>
      </c>
      <c r="B58" s="74" t="e">
        <f t="shared" si="2"/>
        <v>#REF!</v>
      </c>
      <c r="C58" s="74"/>
      <c r="D58" s="74"/>
      <c r="E58" s="89"/>
      <c r="F58" s="92" t="s">
        <v>323</v>
      </c>
      <c r="G58" s="121" t="s">
        <v>67</v>
      </c>
      <c r="H58" s="122" t="s">
        <v>321</v>
      </c>
      <c r="I58" s="74"/>
      <c r="J58" s="74"/>
      <c r="K58" s="74"/>
      <c r="L58" s="74"/>
      <c r="M58" s="74"/>
      <c r="N58" s="74"/>
      <c r="O58" s="74"/>
      <c r="P58" s="74"/>
      <c r="Q58" s="74"/>
      <c r="R58" s="74"/>
      <c r="S58" s="74"/>
      <c r="T58" s="74"/>
      <c r="U58" s="74"/>
      <c r="V58" s="74"/>
      <c r="W58" s="74"/>
      <c r="X58" s="74"/>
      <c r="Y58" s="74"/>
      <c r="Z58" s="74"/>
    </row>
    <row r="59" spans="1:26" ht="13" x14ac:dyDescent="0.3">
      <c r="A59" s="74">
        <v>1</v>
      </c>
      <c r="B59" s="74" t="e">
        <f t="shared" si="2"/>
        <v>#REF!</v>
      </c>
      <c r="C59" s="74"/>
      <c r="D59" s="74"/>
      <c r="E59" s="89"/>
      <c r="F59" s="92" t="s">
        <v>324</v>
      </c>
      <c r="G59" s="121" t="s">
        <v>67</v>
      </c>
      <c r="H59" s="122" t="s">
        <v>321</v>
      </c>
      <c r="I59" s="74"/>
      <c r="J59" s="74"/>
      <c r="K59" s="74"/>
      <c r="L59" s="74"/>
      <c r="M59" s="74"/>
      <c r="N59" s="74"/>
      <c r="O59" s="74"/>
      <c r="P59" s="74"/>
      <c r="Q59" s="74"/>
      <c r="R59" s="74"/>
      <c r="S59" s="74"/>
      <c r="T59" s="74"/>
      <c r="U59" s="74"/>
      <c r="V59" s="74"/>
      <c r="W59" s="74"/>
      <c r="X59" s="74"/>
      <c r="Y59" s="74"/>
      <c r="Z59" s="74"/>
    </row>
    <row r="60" spans="1:26" ht="13" x14ac:dyDescent="0.3">
      <c r="A60" s="74">
        <v>1</v>
      </c>
      <c r="B60" s="74" t="e">
        <f t="shared" si="2"/>
        <v>#REF!</v>
      </c>
      <c r="C60" s="74"/>
      <c r="D60" s="74"/>
      <c r="E60" s="89"/>
      <c r="F60" s="92" t="s">
        <v>325</v>
      </c>
      <c r="G60" s="121" t="s">
        <v>67</v>
      </c>
      <c r="H60" s="122" t="s">
        <v>321</v>
      </c>
      <c r="I60" s="74"/>
      <c r="J60" s="74"/>
      <c r="K60" s="74"/>
      <c r="L60" s="74"/>
      <c r="M60" s="74"/>
      <c r="N60" s="74"/>
      <c r="O60" s="74"/>
      <c r="P60" s="74"/>
      <c r="Q60" s="74"/>
      <c r="R60" s="74"/>
      <c r="S60" s="74"/>
      <c r="T60" s="74"/>
      <c r="U60" s="74"/>
      <c r="V60" s="74"/>
      <c r="W60" s="74"/>
      <c r="X60" s="74"/>
      <c r="Y60" s="74"/>
      <c r="Z60" s="74"/>
    </row>
    <row r="61" spans="1:26" ht="13" x14ac:dyDescent="0.3">
      <c r="A61" s="74">
        <v>1</v>
      </c>
      <c r="B61" s="74" t="e">
        <f t="shared" si="2"/>
        <v>#REF!</v>
      </c>
      <c r="C61" s="74"/>
      <c r="D61" s="74"/>
      <c r="E61" s="89"/>
      <c r="F61" s="92" t="s">
        <v>326</v>
      </c>
      <c r="G61" s="121" t="s">
        <v>67</v>
      </c>
      <c r="H61" s="122" t="s">
        <v>321</v>
      </c>
      <c r="I61" s="74"/>
      <c r="J61" s="74"/>
      <c r="K61" s="74"/>
      <c r="L61" s="74"/>
      <c r="M61" s="74"/>
      <c r="N61" s="74"/>
      <c r="O61" s="74"/>
      <c r="P61" s="74"/>
      <c r="Q61" s="74"/>
      <c r="R61" s="74"/>
      <c r="S61" s="74"/>
      <c r="T61" s="74"/>
      <c r="U61" s="74"/>
      <c r="V61" s="74"/>
      <c r="W61" s="74"/>
      <c r="X61" s="74"/>
      <c r="Y61" s="74"/>
      <c r="Z61" s="74"/>
    </row>
    <row r="62" spans="1:26" ht="13" x14ac:dyDescent="0.3">
      <c r="A62" s="74">
        <v>1</v>
      </c>
      <c r="B62" s="74" t="e">
        <f t="shared" si="2"/>
        <v>#REF!</v>
      </c>
      <c r="C62" s="74"/>
      <c r="D62" s="74"/>
      <c r="E62" s="89"/>
      <c r="F62" s="472" t="s">
        <v>327</v>
      </c>
      <c r="G62" s="473"/>
      <c r="H62" s="107"/>
      <c r="I62" s="74"/>
      <c r="J62" s="74"/>
      <c r="K62" s="74"/>
      <c r="L62" s="74"/>
      <c r="M62" s="74"/>
      <c r="N62" s="74"/>
      <c r="O62" s="74"/>
      <c r="P62" s="74"/>
      <c r="Q62" s="74"/>
      <c r="R62" s="74"/>
      <c r="S62" s="74"/>
      <c r="T62" s="74"/>
      <c r="U62" s="74"/>
      <c r="V62" s="74"/>
      <c r="W62" s="74"/>
      <c r="X62" s="74"/>
      <c r="Y62" s="74"/>
      <c r="Z62" s="74"/>
    </row>
    <row r="63" spans="1:26" ht="13" x14ac:dyDescent="0.3">
      <c r="A63" s="74">
        <v>1</v>
      </c>
      <c r="B63" s="74" t="e">
        <f t="shared" si="2"/>
        <v>#REF!</v>
      </c>
      <c r="C63" s="74"/>
      <c r="D63" s="74"/>
      <c r="E63" s="89"/>
      <c r="F63" s="92" t="s">
        <v>328</v>
      </c>
      <c r="G63" s="121" t="s">
        <v>155</v>
      </c>
      <c r="H63" s="122"/>
      <c r="I63" s="74"/>
      <c r="J63" s="74"/>
      <c r="K63" s="74"/>
      <c r="L63" s="74"/>
      <c r="M63" s="74"/>
      <c r="N63" s="74"/>
      <c r="O63" s="74"/>
      <c r="P63" s="74"/>
      <c r="Q63" s="74"/>
      <c r="R63" s="74"/>
      <c r="S63" s="74"/>
      <c r="T63" s="74"/>
      <c r="U63" s="74"/>
      <c r="V63" s="74"/>
      <c r="W63" s="74"/>
      <c r="X63" s="74"/>
      <c r="Y63" s="74"/>
      <c r="Z63" s="74"/>
    </row>
    <row r="64" spans="1:26" ht="13" x14ac:dyDescent="0.3">
      <c r="A64" s="74">
        <v>1</v>
      </c>
      <c r="B64" s="74" t="e">
        <f t="shared" si="2"/>
        <v>#REF!</v>
      </c>
      <c r="C64" s="74"/>
      <c r="D64" s="74"/>
      <c r="E64" s="89"/>
      <c r="F64" s="92" t="s">
        <v>329</v>
      </c>
      <c r="G64" s="121" t="s">
        <v>155</v>
      </c>
      <c r="H64" s="122"/>
      <c r="I64" s="74"/>
      <c r="J64" s="74"/>
      <c r="K64" s="74"/>
      <c r="L64" s="74"/>
      <c r="M64" s="74"/>
      <c r="N64" s="74"/>
      <c r="O64" s="74"/>
      <c r="P64" s="74"/>
      <c r="Q64" s="74"/>
      <c r="R64" s="74"/>
      <c r="S64" s="74"/>
      <c r="T64" s="74"/>
      <c r="U64" s="74"/>
      <c r="V64" s="74"/>
      <c r="W64" s="74"/>
      <c r="X64" s="74"/>
      <c r="Y64" s="74"/>
      <c r="Z64" s="74"/>
    </row>
    <row r="65" spans="1:26" ht="13" x14ac:dyDescent="0.3">
      <c r="A65" s="74">
        <v>1</v>
      </c>
      <c r="B65" s="74" t="e">
        <f t="shared" si="2"/>
        <v>#REF!</v>
      </c>
      <c r="C65" s="74"/>
      <c r="D65" s="74"/>
      <c r="E65" s="89"/>
      <c r="F65" s="92" t="s">
        <v>330</v>
      </c>
      <c r="G65" s="121" t="s">
        <v>155</v>
      </c>
      <c r="H65" s="122"/>
      <c r="I65" s="74"/>
      <c r="J65" s="74"/>
      <c r="K65" s="74"/>
      <c r="L65" s="74"/>
      <c r="M65" s="74"/>
      <c r="N65" s="74"/>
      <c r="O65" s="74"/>
      <c r="P65" s="74"/>
      <c r="Q65" s="74"/>
      <c r="R65" s="74"/>
      <c r="S65" s="74"/>
      <c r="T65" s="74"/>
      <c r="U65" s="74"/>
      <c r="V65" s="74"/>
      <c r="W65" s="74"/>
      <c r="X65" s="74"/>
      <c r="Y65" s="74"/>
      <c r="Z65" s="74"/>
    </row>
    <row r="66" spans="1:26" ht="14.5" x14ac:dyDescent="0.35">
      <c r="A66" s="74">
        <v>1</v>
      </c>
      <c r="B66" s="74" t="e">
        <f t="shared" si="2"/>
        <v>#REF!</v>
      </c>
      <c r="C66" s="74"/>
      <c r="D66" s="74"/>
      <c r="E66" s="89"/>
      <c r="F66" s="92" t="s">
        <v>331</v>
      </c>
      <c r="G66" s="121" t="s">
        <v>155</v>
      </c>
      <c r="H66" s="367"/>
      <c r="I66" s="74"/>
      <c r="J66" s="74"/>
      <c r="K66" s="74"/>
      <c r="L66" s="74"/>
      <c r="M66" s="74"/>
      <c r="N66" s="74"/>
      <c r="O66" s="74"/>
      <c r="P66" s="74"/>
      <c r="Q66" s="74"/>
      <c r="R66" s="74"/>
      <c r="S66" s="74"/>
      <c r="T66" s="74"/>
      <c r="U66" s="74"/>
      <c r="V66" s="74"/>
      <c r="W66" s="74"/>
      <c r="X66" s="74"/>
      <c r="Y66" s="74"/>
      <c r="Z66" s="74"/>
    </row>
    <row r="67" spans="1:26" ht="13" x14ac:dyDescent="0.3">
      <c r="A67" s="74">
        <v>1</v>
      </c>
      <c r="B67" s="74" t="e">
        <f t="shared" si="2"/>
        <v>#REF!</v>
      </c>
      <c r="C67" s="74"/>
      <c r="D67" s="74"/>
      <c r="E67" s="89"/>
      <c r="F67" s="92" t="s">
        <v>332</v>
      </c>
      <c r="G67" s="121" t="s">
        <v>155</v>
      </c>
      <c r="H67" s="122"/>
      <c r="I67" s="74"/>
      <c r="J67" s="74"/>
      <c r="K67" s="74"/>
      <c r="L67" s="74"/>
      <c r="M67" s="74"/>
      <c r="N67" s="74"/>
      <c r="O67" s="74"/>
      <c r="P67" s="74"/>
      <c r="Q67" s="74"/>
      <c r="R67" s="74"/>
      <c r="S67" s="74"/>
      <c r="T67" s="74"/>
      <c r="U67" s="74"/>
      <c r="V67" s="74"/>
      <c r="W67" s="74"/>
      <c r="X67" s="74"/>
      <c r="Y67" s="74"/>
      <c r="Z67" s="74"/>
    </row>
    <row r="68" spans="1:26" ht="13" x14ac:dyDescent="0.3">
      <c r="A68" s="74">
        <v>1</v>
      </c>
      <c r="B68" s="74" t="e">
        <f t="shared" si="2"/>
        <v>#REF!</v>
      </c>
      <c r="C68" s="74"/>
      <c r="D68" s="74"/>
      <c r="E68" s="89"/>
      <c r="F68" s="92" t="s">
        <v>333</v>
      </c>
      <c r="G68" s="121" t="s">
        <v>155</v>
      </c>
      <c r="H68" s="122"/>
      <c r="I68" s="74"/>
      <c r="J68" s="74"/>
      <c r="K68" s="74"/>
      <c r="L68" s="74"/>
      <c r="M68" s="74"/>
      <c r="N68" s="74"/>
      <c r="O68" s="74"/>
      <c r="P68" s="74"/>
      <c r="Q68" s="74"/>
      <c r="R68" s="74"/>
      <c r="S68" s="74"/>
      <c r="T68" s="74"/>
      <c r="U68" s="74"/>
      <c r="V68" s="74"/>
      <c r="W68" s="74"/>
      <c r="X68" s="74"/>
      <c r="Y68" s="74"/>
      <c r="Z68" s="74"/>
    </row>
    <row r="69" spans="1:26" ht="14.25" customHeight="1" x14ac:dyDescent="0.3">
      <c r="A69" s="74">
        <v>1</v>
      </c>
      <c r="B69" s="74" t="e">
        <f t="shared" si="2"/>
        <v>#REF!</v>
      </c>
      <c r="C69" s="74"/>
      <c r="D69" s="74"/>
      <c r="E69" s="89"/>
      <c r="F69" s="484" t="s">
        <v>334</v>
      </c>
      <c r="G69" s="485"/>
      <c r="H69" s="486"/>
      <c r="I69" s="74"/>
      <c r="J69" s="74"/>
      <c r="K69" s="74"/>
      <c r="L69" s="74"/>
      <c r="M69" s="74"/>
      <c r="N69" s="74"/>
      <c r="O69" s="74"/>
      <c r="P69" s="74"/>
      <c r="Q69" s="74"/>
      <c r="R69" s="74"/>
      <c r="S69" s="74"/>
      <c r="T69" s="74"/>
      <c r="U69" s="74"/>
      <c r="V69" s="74"/>
      <c r="W69" s="74"/>
      <c r="X69" s="74"/>
      <c r="Y69" s="74"/>
      <c r="Z69" s="74"/>
    </row>
    <row r="70" spans="1:26" ht="13" x14ac:dyDescent="0.3">
      <c r="A70" s="74">
        <v>1</v>
      </c>
      <c r="B70" s="74" t="e">
        <f t="shared" si="2"/>
        <v>#REF!</v>
      </c>
      <c r="C70" s="74"/>
      <c r="D70" s="74"/>
      <c r="E70" s="89"/>
      <c r="F70" s="92" t="s">
        <v>335</v>
      </c>
      <c r="G70" s="121" t="s">
        <v>67</v>
      </c>
      <c r="H70" s="122" t="s">
        <v>336</v>
      </c>
      <c r="I70" s="74"/>
      <c r="J70" s="74"/>
      <c r="K70" s="74"/>
      <c r="L70" s="74"/>
      <c r="M70" s="74"/>
      <c r="N70" s="74"/>
      <c r="O70" s="74"/>
      <c r="P70" s="74"/>
      <c r="Q70" s="74"/>
      <c r="R70" s="74"/>
      <c r="S70" s="74"/>
      <c r="T70" s="74"/>
      <c r="U70" s="74"/>
      <c r="V70" s="74"/>
      <c r="W70" s="74"/>
      <c r="X70" s="74"/>
      <c r="Y70" s="74"/>
      <c r="Z70" s="74"/>
    </row>
    <row r="71" spans="1:26" ht="13" x14ac:dyDescent="0.3">
      <c r="A71" s="74">
        <v>1</v>
      </c>
      <c r="B71" s="74" t="e">
        <f t="shared" si="2"/>
        <v>#REF!</v>
      </c>
      <c r="C71" s="74"/>
      <c r="D71" s="74"/>
      <c r="E71" s="89"/>
      <c r="F71" s="92" t="s">
        <v>337</v>
      </c>
      <c r="G71" s="121" t="s">
        <v>67</v>
      </c>
      <c r="H71" s="122" t="s">
        <v>338</v>
      </c>
      <c r="I71" s="74"/>
      <c r="J71" s="74"/>
      <c r="K71" s="74"/>
      <c r="L71" s="74"/>
      <c r="M71" s="74"/>
      <c r="N71" s="74"/>
      <c r="O71" s="74"/>
      <c r="P71" s="74"/>
      <c r="Q71" s="74"/>
      <c r="R71" s="74"/>
      <c r="S71" s="74"/>
      <c r="T71" s="74"/>
      <c r="U71" s="74"/>
      <c r="V71" s="74"/>
      <c r="W71" s="74"/>
      <c r="X71" s="74"/>
      <c r="Y71" s="74"/>
      <c r="Z71" s="74"/>
    </row>
    <row r="72" spans="1:26" ht="13" x14ac:dyDescent="0.3">
      <c r="A72" s="74">
        <v>1</v>
      </c>
      <c r="B72" s="74" t="e">
        <f t="shared" si="2"/>
        <v>#REF!</v>
      </c>
      <c r="C72" s="74"/>
      <c r="D72" s="74"/>
      <c r="E72" s="89"/>
      <c r="F72" s="92" t="s">
        <v>311</v>
      </c>
      <c r="G72" s="121" t="s">
        <v>67</v>
      </c>
      <c r="H72" s="122" t="s">
        <v>312</v>
      </c>
      <c r="I72" s="74"/>
      <c r="J72" s="74"/>
      <c r="K72" s="74"/>
      <c r="L72" s="74"/>
      <c r="M72" s="74"/>
      <c r="N72" s="74"/>
      <c r="O72" s="74"/>
      <c r="P72" s="74"/>
      <c r="Q72" s="74"/>
      <c r="R72" s="74"/>
      <c r="S72" s="74"/>
      <c r="T72" s="74"/>
      <c r="U72" s="74"/>
      <c r="V72" s="74"/>
      <c r="W72" s="74"/>
      <c r="X72" s="74"/>
      <c r="Y72" s="74"/>
      <c r="Z72" s="74"/>
    </row>
    <row r="73" spans="1:26" ht="13" x14ac:dyDescent="0.3">
      <c r="A73" s="74"/>
      <c r="B73" s="74"/>
      <c r="C73" s="74"/>
      <c r="D73" s="74"/>
      <c r="E73" s="89"/>
      <c r="F73" s="265" t="s">
        <v>339</v>
      </c>
      <c r="G73" s="121" t="s">
        <v>67</v>
      </c>
      <c r="H73" s="366"/>
      <c r="I73" s="74"/>
      <c r="J73" s="74"/>
      <c r="K73" s="74"/>
      <c r="L73" s="74"/>
      <c r="M73" s="74"/>
      <c r="N73" s="74"/>
      <c r="O73" s="74"/>
      <c r="P73" s="74"/>
      <c r="Q73" s="74"/>
      <c r="R73" s="74"/>
      <c r="S73" s="74"/>
      <c r="T73" s="74"/>
      <c r="U73" s="74"/>
      <c r="V73" s="74"/>
      <c r="W73" s="74"/>
      <c r="X73" s="74"/>
      <c r="Y73" s="74"/>
      <c r="Z73" s="74"/>
    </row>
    <row r="74" spans="1:26" ht="13" x14ac:dyDescent="0.3">
      <c r="A74" s="74"/>
      <c r="B74" s="74"/>
      <c r="C74" s="74"/>
      <c r="D74" s="74"/>
      <c r="E74" s="262"/>
      <c r="F74" s="267" t="s">
        <v>340</v>
      </c>
      <c r="G74" s="264"/>
      <c r="H74" s="122" t="s">
        <v>341</v>
      </c>
      <c r="I74" s="74"/>
      <c r="J74" s="74"/>
      <c r="K74" s="74"/>
      <c r="L74" s="74"/>
      <c r="M74" s="74"/>
      <c r="N74" s="74"/>
      <c r="O74" s="74"/>
      <c r="P74" s="74"/>
      <c r="Q74" s="74"/>
      <c r="R74" s="74"/>
      <c r="S74" s="74"/>
      <c r="T74" s="74"/>
      <c r="U74" s="74"/>
      <c r="V74" s="74"/>
      <c r="W74" s="74"/>
      <c r="X74" s="74"/>
      <c r="Y74" s="74"/>
      <c r="Z74" s="74"/>
    </row>
    <row r="75" spans="1:26" ht="13" x14ac:dyDescent="0.3">
      <c r="A75" s="74"/>
      <c r="B75" s="74"/>
      <c r="C75" s="74"/>
      <c r="D75" s="74"/>
      <c r="E75" s="262"/>
      <c r="F75" s="267" t="s">
        <v>340</v>
      </c>
      <c r="G75" s="266"/>
      <c r="H75" s="122"/>
      <c r="I75" s="74"/>
      <c r="J75" s="74"/>
      <c r="K75" s="74"/>
      <c r="L75" s="74"/>
      <c r="M75" s="74"/>
      <c r="N75" s="74"/>
      <c r="O75" s="74"/>
      <c r="P75" s="74"/>
      <c r="Q75" s="74"/>
      <c r="R75" s="74"/>
      <c r="S75" s="74"/>
      <c r="T75" s="74"/>
      <c r="U75" s="74"/>
      <c r="V75" s="74"/>
      <c r="W75" s="74"/>
      <c r="X75" s="74"/>
      <c r="Y75" s="74"/>
      <c r="Z75" s="74"/>
    </row>
    <row r="76" spans="1:26" ht="13" x14ac:dyDescent="0.3">
      <c r="A76" s="74">
        <v>1</v>
      </c>
      <c r="B76" s="74" t="e">
        <f>#REF!+1</f>
        <v>#REF!</v>
      </c>
      <c r="C76" s="74"/>
      <c r="D76" s="74"/>
      <c r="E76" s="263"/>
      <c r="F76" s="267" t="s">
        <v>340</v>
      </c>
      <c r="G76" s="266"/>
      <c r="H76" s="122"/>
      <c r="I76" s="74"/>
      <c r="J76" s="74"/>
      <c r="K76" s="74"/>
      <c r="L76" s="74"/>
      <c r="M76" s="74"/>
      <c r="N76" s="74"/>
      <c r="O76" s="74"/>
      <c r="P76" s="74"/>
      <c r="Q76" s="74"/>
      <c r="R76" s="74"/>
      <c r="S76" s="74"/>
      <c r="T76" s="74"/>
      <c r="U76" s="74"/>
      <c r="V76" s="74"/>
      <c r="W76" s="74"/>
      <c r="X76" s="74"/>
      <c r="Y76" s="74"/>
      <c r="Z76" s="74"/>
    </row>
    <row r="77" spans="1:26" ht="39" x14ac:dyDescent="0.3">
      <c r="A77" s="74">
        <v>1</v>
      </c>
      <c r="B77" s="74" t="e">
        <f t="shared" si="2"/>
        <v>#REF!</v>
      </c>
      <c r="C77" s="74"/>
      <c r="D77" s="74"/>
      <c r="E77" s="95" t="s">
        <v>342</v>
      </c>
      <c r="F77" s="88" t="s">
        <v>343</v>
      </c>
      <c r="G77" s="121" t="s">
        <v>344</v>
      </c>
      <c r="H77" s="122" t="s">
        <v>345</v>
      </c>
      <c r="I77" s="74"/>
      <c r="J77" s="74"/>
      <c r="K77" s="74"/>
      <c r="L77" s="74"/>
      <c r="M77" s="74"/>
      <c r="N77" s="74"/>
      <c r="O77" s="74"/>
      <c r="P77" s="74"/>
      <c r="Q77" s="74"/>
      <c r="R77" s="74"/>
      <c r="S77" s="74"/>
      <c r="T77" s="74"/>
      <c r="U77" s="74"/>
      <c r="V77" s="74"/>
      <c r="W77" s="74"/>
      <c r="X77" s="74"/>
      <c r="Y77" s="74"/>
      <c r="Z77" s="74"/>
    </row>
    <row r="78" spans="1:26" ht="39" x14ac:dyDescent="0.3">
      <c r="A78" s="74">
        <v>1</v>
      </c>
      <c r="B78" s="74" t="e">
        <f t="shared" si="2"/>
        <v>#REF!</v>
      </c>
      <c r="C78" s="74"/>
      <c r="D78" s="74"/>
      <c r="E78" s="96" t="s">
        <v>346</v>
      </c>
      <c r="F78" s="91" t="s">
        <v>347</v>
      </c>
      <c r="G78" s="121" t="s">
        <v>67</v>
      </c>
      <c r="H78" s="122" t="s">
        <v>348</v>
      </c>
      <c r="I78" s="74"/>
      <c r="J78" s="74"/>
      <c r="K78" s="74"/>
      <c r="L78" s="74"/>
      <c r="M78" s="74"/>
      <c r="N78" s="74"/>
      <c r="O78" s="74"/>
      <c r="P78" s="74"/>
      <c r="Q78" s="74"/>
      <c r="R78" s="74"/>
      <c r="S78" s="74"/>
      <c r="T78" s="74"/>
      <c r="U78" s="74"/>
      <c r="V78" s="74"/>
      <c r="W78" s="74"/>
      <c r="X78" s="74"/>
      <c r="Y78" s="74"/>
      <c r="Z78" s="74"/>
    </row>
    <row r="79" spans="1:26" ht="25.5" x14ac:dyDescent="0.3">
      <c r="A79" s="74">
        <v>1</v>
      </c>
      <c r="B79" s="74" t="e">
        <f t="shared" si="2"/>
        <v>#REF!</v>
      </c>
      <c r="C79" s="74"/>
      <c r="D79" s="74"/>
      <c r="E79" s="89"/>
      <c r="F79" s="91" t="s">
        <v>349</v>
      </c>
      <c r="G79" s="121" t="s">
        <v>67</v>
      </c>
      <c r="H79" s="122" t="s">
        <v>350</v>
      </c>
      <c r="I79" s="74"/>
      <c r="J79" s="74"/>
      <c r="K79" s="74"/>
      <c r="L79" s="74"/>
      <c r="M79" s="74"/>
      <c r="N79" s="74"/>
      <c r="O79" s="74"/>
      <c r="P79" s="74"/>
      <c r="Q79" s="74"/>
      <c r="R79" s="74"/>
      <c r="S79" s="74"/>
      <c r="T79" s="74"/>
      <c r="U79" s="74"/>
      <c r="V79" s="74"/>
      <c r="W79" s="74"/>
      <c r="X79" s="74"/>
      <c r="Y79" s="74"/>
      <c r="Z79" s="74"/>
    </row>
    <row r="80" spans="1:26" ht="13" x14ac:dyDescent="0.3">
      <c r="A80" s="74">
        <v>1</v>
      </c>
      <c r="B80" s="74" t="e">
        <f t="shared" si="2"/>
        <v>#REF!</v>
      </c>
      <c r="C80" s="74"/>
      <c r="D80" s="74"/>
      <c r="E80" s="89"/>
      <c r="F80" s="472" t="s">
        <v>351</v>
      </c>
      <c r="G80" s="473"/>
      <c r="H80" s="107"/>
      <c r="I80" s="74"/>
      <c r="J80" s="74"/>
      <c r="K80" s="74"/>
      <c r="L80" s="74"/>
      <c r="M80" s="74"/>
      <c r="N80" s="74"/>
      <c r="O80" s="74"/>
      <c r="P80" s="74"/>
      <c r="Q80" s="74"/>
      <c r="R80" s="74"/>
      <c r="S80" s="74"/>
      <c r="T80" s="74"/>
      <c r="U80" s="74"/>
      <c r="V80" s="74"/>
      <c r="W80" s="74"/>
      <c r="X80" s="74"/>
      <c r="Y80" s="74"/>
      <c r="Z80" s="74"/>
    </row>
    <row r="81" spans="1:26" ht="13" x14ac:dyDescent="0.3">
      <c r="A81" s="74">
        <v>1</v>
      </c>
      <c r="B81" s="74" t="e">
        <f t="shared" si="2"/>
        <v>#REF!</v>
      </c>
      <c r="C81" s="74"/>
      <c r="D81" s="74"/>
      <c r="E81" s="89"/>
      <c r="F81" s="92" t="s">
        <v>352</v>
      </c>
      <c r="G81" s="121" t="s">
        <v>67</v>
      </c>
      <c r="H81" s="122" t="s">
        <v>353</v>
      </c>
      <c r="I81" s="74"/>
      <c r="J81" s="74"/>
      <c r="K81" s="74"/>
      <c r="L81" s="74"/>
      <c r="M81" s="74"/>
      <c r="N81" s="74"/>
      <c r="O81" s="74"/>
      <c r="P81" s="74"/>
      <c r="Q81" s="74"/>
      <c r="R81" s="74"/>
      <c r="S81" s="74"/>
      <c r="T81" s="74"/>
      <c r="U81" s="74"/>
      <c r="V81" s="74"/>
      <c r="W81" s="74"/>
      <c r="X81" s="74"/>
      <c r="Y81" s="74"/>
      <c r="Z81" s="74"/>
    </row>
    <row r="82" spans="1:26" ht="13" x14ac:dyDescent="0.3">
      <c r="A82" s="74">
        <v>1</v>
      </c>
      <c r="B82" s="74" t="e">
        <f t="shared" si="2"/>
        <v>#REF!</v>
      </c>
      <c r="C82" s="74"/>
      <c r="D82" s="74"/>
      <c r="E82" s="89"/>
      <c r="F82" s="92" t="s">
        <v>311</v>
      </c>
      <c r="G82" s="121" t="s">
        <v>67</v>
      </c>
      <c r="H82" s="122" t="s">
        <v>312</v>
      </c>
      <c r="I82" s="74"/>
      <c r="J82" s="74"/>
      <c r="K82" s="74"/>
      <c r="L82" s="74"/>
      <c r="M82" s="74"/>
      <c r="N82" s="74"/>
      <c r="O82" s="74"/>
      <c r="P82" s="74"/>
      <c r="Q82" s="74"/>
      <c r="R82" s="74"/>
      <c r="S82" s="74"/>
      <c r="T82" s="74"/>
      <c r="U82" s="74"/>
      <c r="V82" s="74"/>
      <c r="W82" s="74"/>
      <c r="X82" s="74"/>
      <c r="Y82" s="74"/>
      <c r="Z82" s="74"/>
    </row>
    <row r="83" spans="1:26" ht="13" x14ac:dyDescent="0.3">
      <c r="A83" s="74">
        <v>1</v>
      </c>
      <c r="B83" s="74" t="e">
        <f t="shared" si="2"/>
        <v>#REF!</v>
      </c>
      <c r="C83" s="74"/>
      <c r="D83" s="74"/>
      <c r="E83" s="89"/>
      <c r="F83" s="92" t="s">
        <v>354</v>
      </c>
      <c r="G83" s="121" t="s">
        <v>155</v>
      </c>
      <c r="H83" s="122" t="s">
        <v>310</v>
      </c>
      <c r="I83" s="74"/>
      <c r="J83" s="74"/>
      <c r="K83" s="74"/>
      <c r="L83" s="74"/>
      <c r="M83" s="74"/>
      <c r="N83" s="74"/>
      <c r="O83" s="74"/>
      <c r="P83" s="74"/>
      <c r="Q83" s="74"/>
      <c r="R83" s="74"/>
      <c r="S83" s="74"/>
      <c r="T83" s="74"/>
      <c r="U83" s="74"/>
      <c r="V83" s="74"/>
      <c r="W83" s="74"/>
      <c r="X83" s="74"/>
      <c r="Y83" s="74"/>
      <c r="Z83" s="74"/>
    </row>
    <row r="84" spans="1:26" ht="13" x14ac:dyDescent="0.3">
      <c r="A84" s="74">
        <v>1</v>
      </c>
      <c r="B84" s="74" t="e">
        <f t="shared" si="2"/>
        <v>#REF!</v>
      </c>
      <c r="C84" s="74"/>
      <c r="D84" s="74"/>
      <c r="E84" s="94"/>
      <c r="F84" s="92" t="s">
        <v>355</v>
      </c>
      <c r="G84" s="121" t="s">
        <v>67</v>
      </c>
      <c r="H84" s="122" t="s">
        <v>356</v>
      </c>
      <c r="I84" s="74"/>
      <c r="J84" s="74"/>
      <c r="K84" s="74"/>
      <c r="L84" s="74"/>
      <c r="M84" s="74"/>
      <c r="N84" s="74"/>
      <c r="O84" s="74"/>
      <c r="P84" s="74"/>
      <c r="Q84" s="74"/>
      <c r="R84" s="74"/>
      <c r="S84" s="74"/>
      <c r="T84" s="74"/>
      <c r="U84" s="74"/>
      <c r="V84" s="74"/>
      <c r="W84" s="74"/>
      <c r="X84" s="74"/>
      <c r="Y84" s="74"/>
      <c r="Z84" s="74"/>
    </row>
    <row r="85" spans="1:26" ht="26" x14ac:dyDescent="0.3">
      <c r="A85" s="74">
        <v>1</v>
      </c>
      <c r="B85" s="74" t="e">
        <f t="shared" si="2"/>
        <v>#REF!</v>
      </c>
      <c r="C85" s="74"/>
      <c r="D85" s="74"/>
      <c r="E85" s="96" t="s">
        <v>357</v>
      </c>
      <c r="F85" s="91" t="s">
        <v>358</v>
      </c>
      <c r="G85" s="121" t="s">
        <v>359</v>
      </c>
      <c r="H85" s="122" t="s">
        <v>360</v>
      </c>
      <c r="I85" s="74"/>
      <c r="J85" s="74"/>
      <c r="K85" s="74"/>
      <c r="L85" s="74"/>
      <c r="M85" s="74"/>
      <c r="N85" s="74"/>
      <c r="O85" s="74"/>
      <c r="P85" s="74"/>
      <c r="Q85" s="74"/>
      <c r="R85" s="74"/>
      <c r="S85" s="74"/>
      <c r="T85" s="74"/>
      <c r="U85" s="74"/>
      <c r="V85" s="74"/>
      <c r="W85" s="74"/>
      <c r="X85" s="74"/>
      <c r="Y85" s="74"/>
      <c r="Z85" s="74"/>
    </row>
    <row r="86" spans="1:26" ht="25.5" x14ac:dyDescent="0.3">
      <c r="A86" s="74">
        <v>1</v>
      </c>
      <c r="B86" s="74" t="e">
        <f t="shared" si="2"/>
        <v>#REF!</v>
      </c>
      <c r="C86" s="74"/>
      <c r="D86" s="74"/>
      <c r="E86" s="89"/>
      <c r="F86" s="91" t="s">
        <v>361</v>
      </c>
      <c r="G86" s="121" t="s">
        <v>67</v>
      </c>
      <c r="H86" s="122" t="s">
        <v>362</v>
      </c>
      <c r="I86" s="74"/>
      <c r="J86" s="74"/>
      <c r="K86" s="74"/>
      <c r="L86" s="74"/>
      <c r="M86" s="74"/>
      <c r="N86" s="74"/>
      <c r="O86" s="74"/>
      <c r="P86" s="74"/>
      <c r="Q86" s="74"/>
      <c r="R86" s="74"/>
      <c r="S86" s="74"/>
      <c r="T86" s="74"/>
      <c r="U86" s="74"/>
      <c r="V86" s="74"/>
      <c r="W86" s="74"/>
      <c r="X86" s="74"/>
      <c r="Y86" s="74"/>
      <c r="Z86" s="74"/>
    </row>
    <row r="87" spans="1:26" ht="13.5" thickBot="1" x14ac:dyDescent="0.35">
      <c r="A87" s="74">
        <v>1</v>
      </c>
      <c r="B87" s="74" t="e">
        <f t="shared" si="2"/>
        <v>#REF!</v>
      </c>
      <c r="C87" s="74"/>
      <c r="D87" s="74"/>
      <c r="E87" s="97"/>
      <c r="F87" s="98" t="s">
        <v>363</v>
      </c>
      <c r="G87" s="123" t="s">
        <v>67</v>
      </c>
      <c r="H87" s="124" t="s">
        <v>364</v>
      </c>
      <c r="I87" s="74"/>
      <c r="J87" s="74"/>
      <c r="K87" s="74"/>
      <c r="L87" s="74"/>
      <c r="M87" s="74"/>
      <c r="N87" s="74"/>
      <c r="O87" s="74"/>
      <c r="P87" s="74"/>
      <c r="Q87" s="74"/>
      <c r="R87" s="74"/>
      <c r="S87" s="74"/>
      <c r="T87" s="74"/>
      <c r="U87" s="74"/>
      <c r="V87" s="74"/>
      <c r="W87" s="74"/>
      <c r="X87" s="74"/>
      <c r="Y87" s="74"/>
      <c r="Z87" s="74"/>
    </row>
    <row r="88" spans="1:26" ht="13" x14ac:dyDescent="0.3">
      <c r="A88" s="74">
        <v>1</v>
      </c>
      <c r="B88" s="74" t="e">
        <f t="shared" si="2"/>
        <v>#REF!</v>
      </c>
      <c r="C88" s="74"/>
      <c r="D88" s="99"/>
      <c r="E88" s="100"/>
      <c r="F88" s="101"/>
      <c r="G88" s="101"/>
      <c r="H88" s="101"/>
      <c r="I88" s="99"/>
      <c r="J88" s="74"/>
      <c r="K88" s="74"/>
      <c r="L88" s="74"/>
      <c r="M88" s="74"/>
      <c r="N88" s="74"/>
      <c r="O88" s="74"/>
      <c r="P88" s="74"/>
      <c r="Q88" s="74"/>
      <c r="R88" s="74"/>
      <c r="S88" s="74"/>
      <c r="T88" s="74"/>
      <c r="U88" s="74"/>
      <c r="V88" s="74"/>
      <c r="W88" s="74"/>
      <c r="X88" s="74"/>
      <c r="Y88" s="74"/>
      <c r="Z88" s="74"/>
    </row>
    <row r="89" spans="1:26" ht="13.5" thickBot="1" x14ac:dyDescent="0.35">
      <c r="A89" s="74">
        <v>1</v>
      </c>
      <c r="B89" s="74" t="e">
        <f t="shared" si="2"/>
        <v>#REF!</v>
      </c>
      <c r="C89" s="74"/>
      <c r="D89" s="99"/>
      <c r="E89" s="102"/>
      <c r="F89" s="99"/>
      <c r="G89" s="99"/>
      <c r="H89" s="99"/>
      <c r="I89" s="99"/>
      <c r="J89" s="74"/>
      <c r="K89" s="74"/>
      <c r="L89" s="74"/>
      <c r="M89" s="74"/>
      <c r="N89" s="74"/>
      <c r="O89" s="74"/>
      <c r="P89" s="74"/>
      <c r="Q89" s="74"/>
      <c r="R89" s="74"/>
      <c r="S89" s="74"/>
      <c r="T89" s="74"/>
      <c r="U89" s="74"/>
      <c r="V89" s="74"/>
      <c r="W89" s="74"/>
      <c r="X89" s="74"/>
      <c r="Y89" s="74"/>
      <c r="Z89" s="74"/>
    </row>
    <row r="90" spans="1:26" s="86" customFormat="1" ht="20.149999999999999" customHeight="1" thickBot="1" x14ac:dyDescent="0.3">
      <c r="A90" s="85">
        <v>1</v>
      </c>
      <c r="B90" s="85" t="e">
        <f t="shared" si="2"/>
        <v>#REF!</v>
      </c>
      <c r="C90" s="85"/>
      <c r="D90" s="85"/>
      <c r="E90" s="470" t="s">
        <v>365</v>
      </c>
      <c r="F90" s="471"/>
      <c r="G90" s="83" t="s">
        <v>38</v>
      </c>
      <c r="H90" s="83" t="s">
        <v>250</v>
      </c>
      <c r="I90" s="85"/>
      <c r="J90" s="85"/>
      <c r="K90" s="85"/>
      <c r="L90" s="85"/>
      <c r="M90" s="85"/>
      <c r="N90" s="85"/>
      <c r="O90" s="85"/>
      <c r="P90" s="85"/>
      <c r="Q90" s="85"/>
      <c r="R90" s="85"/>
      <c r="S90" s="85"/>
      <c r="T90" s="85"/>
      <c r="U90" s="85"/>
      <c r="V90" s="85"/>
      <c r="W90" s="85"/>
      <c r="X90" s="85"/>
      <c r="Y90" s="85"/>
      <c r="Z90" s="85"/>
    </row>
    <row r="91" spans="1:26" ht="25.5" customHeight="1" x14ac:dyDescent="0.25">
      <c r="A91" s="74">
        <v>1</v>
      </c>
      <c r="B91" s="74" t="e">
        <f t="shared" si="2"/>
        <v>#REF!</v>
      </c>
      <c r="C91" s="74"/>
      <c r="D91" s="74"/>
      <c r="E91" s="483" t="s">
        <v>342</v>
      </c>
      <c r="F91" s="103" t="s">
        <v>366</v>
      </c>
      <c r="G91" s="125" t="s">
        <v>67</v>
      </c>
      <c r="H91" s="126" t="s">
        <v>367</v>
      </c>
      <c r="I91" s="74"/>
      <c r="J91" s="74"/>
      <c r="K91" s="74"/>
      <c r="L91" s="74"/>
      <c r="M91" s="74"/>
      <c r="N91" s="74"/>
      <c r="O91" s="74"/>
      <c r="P91" s="74"/>
      <c r="Q91" s="74"/>
      <c r="R91" s="74"/>
      <c r="S91" s="74"/>
      <c r="T91" s="74"/>
      <c r="U91" s="74"/>
      <c r="V91" s="74"/>
      <c r="W91" s="74"/>
      <c r="X91" s="74"/>
      <c r="Y91" s="74"/>
      <c r="Z91" s="74"/>
    </row>
    <row r="92" spans="1:26" ht="26.25" customHeight="1" x14ac:dyDescent="0.25">
      <c r="A92" s="74">
        <v>1</v>
      </c>
      <c r="B92" s="74" t="e">
        <f t="shared" si="2"/>
        <v>#REF!</v>
      </c>
      <c r="C92" s="74"/>
      <c r="D92" s="74"/>
      <c r="E92" s="481"/>
      <c r="F92" s="104" t="s">
        <v>368</v>
      </c>
      <c r="G92" s="127" t="s">
        <v>67</v>
      </c>
      <c r="H92" s="128" t="s">
        <v>369</v>
      </c>
      <c r="I92" s="74"/>
      <c r="J92" s="74"/>
      <c r="K92" s="74"/>
      <c r="L92" s="74"/>
      <c r="M92" s="74"/>
      <c r="N92" s="74"/>
      <c r="O92" s="74"/>
      <c r="P92" s="74"/>
      <c r="Q92" s="74"/>
      <c r="R92" s="74"/>
      <c r="S92" s="74"/>
      <c r="T92" s="74"/>
      <c r="U92" s="74"/>
      <c r="V92" s="74"/>
      <c r="W92" s="74"/>
      <c r="X92" s="74"/>
      <c r="Y92" s="74"/>
      <c r="Z92" s="74"/>
    </row>
    <row r="93" spans="1:26" ht="25" x14ac:dyDescent="0.25">
      <c r="A93" s="74">
        <v>1</v>
      </c>
      <c r="B93" s="74" t="e">
        <f t="shared" si="2"/>
        <v>#REF!</v>
      </c>
      <c r="C93" s="74"/>
      <c r="D93" s="74"/>
      <c r="E93" s="482"/>
      <c r="F93" s="104" t="s">
        <v>370</v>
      </c>
      <c r="G93" s="127" t="s">
        <v>67</v>
      </c>
      <c r="H93" s="128" t="s">
        <v>782</v>
      </c>
      <c r="I93" s="74"/>
      <c r="J93" s="74"/>
      <c r="K93" s="74"/>
      <c r="L93" s="74"/>
      <c r="M93" s="74"/>
      <c r="N93" s="74"/>
      <c r="O93" s="74"/>
      <c r="P93" s="74"/>
      <c r="Q93" s="74"/>
      <c r="R93" s="74"/>
      <c r="S93" s="74"/>
      <c r="T93" s="74"/>
      <c r="U93" s="74"/>
      <c r="V93" s="74"/>
      <c r="W93" s="74"/>
      <c r="X93" s="74"/>
      <c r="Y93" s="74"/>
      <c r="Z93" s="74"/>
    </row>
    <row r="94" spans="1:26" ht="37.5" x14ac:dyDescent="0.25">
      <c r="A94" s="74">
        <v>1</v>
      </c>
      <c r="B94" s="74" t="e">
        <f t="shared" si="2"/>
        <v>#REF!</v>
      </c>
      <c r="C94" s="74"/>
      <c r="D94" s="74"/>
      <c r="E94" s="478" t="s">
        <v>371</v>
      </c>
      <c r="F94" s="105" t="s">
        <v>372</v>
      </c>
      <c r="G94" s="127" t="s">
        <v>67</v>
      </c>
      <c r="H94" s="128" t="s">
        <v>373</v>
      </c>
      <c r="I94" s="74"/>
      <c r="J94" s="74"/>
      <c r="K94" s="74"/>
      <c r="L94" s="74"/>
      <c r="M94" s="74"/>
      <c r="N94" s="74"/>
      <c r="O94" s="74"/>
      <c r="P94" s="74"/>
      <c r="Q94" s="74"/>
      <c r="R94" s="74"/>
      <c r="S94" s="74"/>
      <c r="T94" s="74"/>
      <c r="U94" s="74"/>
      <c r="V94" s="74"/>
      <c r="W94" s="74"/>
      <c r="X94" s="74"/>
      <c r="Y94" s="74"/>
      <c r="Z94" s="74"/>
    </row>
    <row r="95" spans="1:26" ht="50" x14ac:dyDescent="0.25">
      <c r="A95" s="74">
        <v>1</v>
      </c>
      <c r="B95" s="74" t="e">
        <f t="shared" si="2"/>
        <v>#REF!</v>
      </c>
      <c r="C95" s="74"/>
      <c r="D95" s="74"/>
      <c r="E95" s="475"/>
      <c r="F95" s="105" t="s">
        <v>374</v>
      </c>
      <c r="G95" s="127" t="s">
        <v>67</v>
      </c>
      <c r="H95" s="128" t="s">
        <v>783</v>
      </c>
      <c r="I95" s="74"/>
      <c r="J95" s="74"/>
      <c r="K95" s="74"/>
      <c r="L95" s="74"/>
      <c r="M95" s="74"/>
      <c r="N95" s="74"/>
      <c r="O95" s="74"/>
      <c r="P95" s="74"/>
      <c r="Q95" s="74"/>
      <c r="R95" s="74"/>
      <c r="S95" s="74"/>
      <c r="T95" s="74"/>
      <c r="U95" s="74"/>
      <c r="V95" s="74"/>
      <c r="W95" s="74"/>
      <c r="X95" s="74"/>
      <c r="Y95" s="74"/>
      <c r="Z95" s="74"/>
    </row>
    <row r="96" spans="1:26" ht="25" x14ac:dyDescent="0.25">
      <c r="A96" s="74">
        <v>1</v>
      </c>
      <c r="B96" s="74" t="e">
        <f t="shared" si="2"/>
        <v>#REF!</v>
      </c>
      <c r="C96" s="74"/>
      <c r="D96" s="74"/>
      <c r="E96" s="475"/>
      <c r="F96" s="104" t="s">
        <v>375</v>
      </c>
      <c r="G96" s="127" t="s">
        <v>67</v>
      </c>
      <c r="H96" s="128" t="s">
        <v>376</v>
      </c>
      <c r="I96" s="74"/>
      <c r="J96" s="74"/>
      <c r="K96" s="74"/>
      <c r="L96" s="74"/>
      <c r="M96" s="74"/>
      <c r="N96" s="74"/>
      <c r="O96" s="74"/>
      <c r="P96" s="74"/>
      <c r="Q96" s="74"/>
      <c r="R96" s="74"/>
      <c r="S96" s="74"/>
      <c r="T96" s="74"/>
      <c r="U96" s="74"/>
      <c r="V96" s="74"/>
      <c r="W96" s="74"/>
      <c r="X96" s="74"/>
      <c r="Y96" s="74"/>
      <c r="Z96" s="74"/>
    </row>
    <row r="97" spans="1:26" ht="26" x14ac:dyDescent="0.25">
      <c r="A97" s="74">
        <v>1</v>
      </c>
      <c r="B97" s="74" t="e">
        <f t="shared" si="2"/>
        <v>#REF!</v>
      </c>
      <c r="C97" s="74"/>
      <c r="D97" s="74"/>
      <c r="E97" s="475"/>
      <c r="F97" s="106" t="s">
        <v>377</v>
      </c>
      <c r="G97" s="107"/>
      <c r="H97" s="107"/>
      <c r="I97" s="74"/>
      <c r="J97" s="74"/>
      <c r="K97" s="74"/>
      <c r="L97" s="74"/>
      <c r="M97" s="74"/>
      <c r="N97" s="74"/>
      <c r="O97" s="74"/>
      <c r="P97" s="74"/>
      <c r="Q97" s="74"/>
      <c r="R97" s="74"/>
      <c r="S97" s="74"/>
      <c r="T97" s="74"/>
      <c r="U97" s="74"/>
      <c r="V97" s="74"/>
      <c r="W97" s="74"/>
      <c r="X97" s="74"/>
      <c r="Y97" s="74"/>
      <c r="Z97" s="74"/>
    </row>
    <row r="98" spans="1:26" ht="25" x14ac:dyDescent="0.25">
      <c r="A98" s="74">
        <v>1</v>
      </c>
      <c r="B98" s="74" t="e">
        <f t="shared" si="2"/>
        <v>#REF!</v>
      </c>
      <c r="C98" s="74"/>
      <c r="D98" s="74"/>
      <c r="E98" s="475"/>
      <c r="F98" s="104" t="s">
        <v>378</v>
      </c>
      <c r="G98" s="127" t="s">
        <v>67</v>
      </c>
      <c r="H98" s="128" t="s">
        <v>379</v>
      </c>
      <c r="I98" s="74"/>
      <c r="J98" s="74"/>
      <c r="K98" s="74"/>
      <c r="L98" s="74"/>
      <c r="M98" s="74"/>
      <c r="N98" s="74"/>
      <c r="O98" s="74"/>
      <c r="P98" s="74"/>
      <c r="Q98" s="74"/>
      <c r="R98" s="74"/>
      <c r="S98" s="74"/>
      <c r="T98" s="74"/>
      <c r="U98" s="74"/>
      <c r="V98" s="74"/>
      <c r="W98" s="74"/>
      <c r="X98" s="74"/>
      <c r="Y98" s="74"/>
      <c r="Z98" s="74"/>
    </row>
    <row r="99" spans="1:26" ht="12.5" x14ac:dyDescent="0.25">
      <c r="A99" s="74">
        <v>1</v>
      </c>
      <c r="B99" s="74" t="e">
        <f t="shared" si="2"/>
        <v>#REF!</v>
      </c>
      <c r="C99" s="74"/>
      <c r="D99" s="74"/>
      <c r="E99" s="475"/>
      <c r="F99" s="104" t="s">
        <v>380</v>
      </c>
      <c r="G99" s="127" t="s">
        <v>67</v>
      </c>
      <c r="H99" s="128" t="s">
        <v>381</v>
      </c>
      <c r="I99" s="74"/>
      <c r="J99" s="74"/>
      <c r="K99" s="74"/>
      <c r="L99" s="74"/>
      <c r="M99" s="74"/>
      <c r="N99" s="74"/>
      <c r="O99" s="74"/>
      <c r="P99" s="74"/>
      <c r="Q99" s="74"/>
      <c r="R99" s="74"/>
      <c r="S99" s="74"/>
      <c r="T99" s="74"/>
      <c r="U99" s="74"/>
      <c r="V99" s="74"/>
      <c r="W99" s="74"/>
      <c r="X99" s="74"/>
      <c r="Y99" s="74"/>
      <c r="Z99" s="74"/>
    </row>
    <row r="100" spans="1:26" ht="12.5" x14ac:dyDescent="0.25">
      <c r="A100" s="74">
        <v>1</v>
      </c>
      <c r="B100" s="74" t="e">
        <f t="shared" si="2"/>
        <v>#REF!</v>
      </c>
      <c r="C100" s="74"/>
      <c r="D100" s="74"/>
      <c r="E100" s="475"/>
      <c r="F100" s="104" t="s">
        <v>382</v>
      </c>
      <c r="G100" s="127" t="s">
        <v>67</v>
      </c>
      <c r="H100" s="128" t="s">
        <v>383</v>
      </c>
      <c r="I100" s="74"/>
      <c r="J100" s="74"/>
      <c r="K100" s="74"/>
      <c r="L100" s="74"/>
      <c r="M100" s="74"/>
      <c r="N100" s="74"/>
      <c r="O100" s="74"/>
      <c r="P100" s="74"/>
      <c r="Q100" s="74"/>
      <c r="R100" s="74"/>
      <c r="S100" s="74"/>
      <c r="T100" s="74"/>
      <c r="U100" s="74"/>
      <c r="V100" s="74"/>
      <c r="W100" s="74"/>
      <c r="X100" s="74"/>
      <c r="Y100" s="74"/>
      <c r="Z100" s="74"/>
    </row>
    <row r="101" spans="1:26" ht="12.5" x14ac:dyDescent="0.25">
      <c r="A101" s="74">
        <v>1</v>
      </c>
      <c r="B101" s="74" t="e">
        <f t="shared" si="2"/>
        <v>#REF!</v>
      </c>
      <c r="C101" s="74"/>
      <c r="D101" s="74"/>
      <c r="E101" s="475"/>
      <c r="F101" s="104" t="s">
        <v>384</v>
      </c>
      <c r="G101" s="127" t="s">
        <v>67</v>
      </c>
      <c r="H101" s="128" t="s">
        <v>385</v>
      </c>
      <c r="I101" s="74"/>
      <c r="J101" s="74"/>
      <c r="K101" s="74"/>
      <c r="L101" s="74"/>
      <c r="M101" s="74"/>
      <c r="N101" s="74"/>
      <c r="O101" s="74"/>
      <c r="P101" s="74"/>
      <c r="Q101" s="74"/>
      <c r="R101" s="74"/>
      <c r="S101" s="74"/>
      <c r="T101" s="74"/>
      <c r="U101" s="74"/>
      <c r="V101" s="74"/>
      <c r="W101" s="74"/>
      <c r="X101" s="74"/>
      <c r="Y101" s="74"/>
      <c r="Z101" s="74"/>
    </row>
    <row r="102" spans="1:26" ht="25" x14ac:dyDescent="0.25">
      <c r="A102" s="74">
        <v>1</v>
      </c>
      <c r="B102" s="74" t="e">
        <f t="shared" si="2"/>
        <v>#REF!</v>
      </c>
      <c r="C102" s="74"/>
      <c r="D102" s="74"/>
      <c r="E102" s="475"/>
      <c r="F102" s="104" t="s">
        <v>386</v>
      </c>
      <c r="G102" s="127" t="s">
        <v>67</v>
      </c>
      <c r="H102" s="128" t="s">
        <v>387</v>
      </c>
      <c r="I102" s="74"/>
      <c r="J102" s="74"/>
      <c r="K102" s="74"/>
      <c r="L102" s="74"/>
      <c r="M102" s="74"/>
      <c r="N102" s="74"/>
      <c r="O102" s="74"/>
      <c r="P102" s="74"/>
      <c r="Q102" s="74"/>
      <c r="R102" s="74"/>
      <c r="S102" s="74"/>
      <c r="T102" s="74"/>
      <c r="U102" s="74"/>
      <c r="V102" s="74"/>
      <c r="W102" s="74"/>
      <c r="X102" s="74"/>
      <c r="Y102" s="74"/>
      <c r="Z102" s="74"/>
    </row>
    <row r="103" spans="1:26" ht="25" x14ac:dyDescent="0.25">
      <c r="A103" s="74">
        <v>1</v>
      </c>
      <c r="B103" s="74" t="e">
        <f t="shared" si="2"/>
        <v>#REF!</v>
      </c>
      <c r="C103" s="74"/>
      <c r="D103" s="74"/>
      <c r="E103" s="475"/>
      <c r="F103" s="104" t="s">
        <v>388</v>
      </c>
      <c r="G103" s="127" t="s">
        <v>67</v>
      </c>
      <c r="H103" s="128" t="s">
        <v>389</v>
      </c>
      <c r="I103" s="74"/>
      <c r="J103" s="74"/>
      <c r="K103" s="74"/>
      <c r="L103" s="74"/>
      <c r="M103" s="74"/>
      <c r="N103" s="74"/>
      <c r="O103" s="74"/>
      <c r="P103" s="74"/>
      <c r="Q103" s="74"/>
      <c r="R103" s="74"/>
      <c r="S103" s="74"/>
      <c r="T103" s="74"/>
      <c r="U103" s="74"/>
      <c r="V103" s="74"/>
      <c r="W103" s="74"/>
      <c r="X103" s="74"/>
      <c r="Y103" s="74"/>
      <c r="Z103" s="74"/>
    </row>
    <row r="104" spans="1:26" ht="37.5" x14ac:dyDescent="0.25">
      <c r="A104" s="74">
        <v>1</v>
      </c>
      <c r="B104" s="74" t="e">
        <f t="shared" si="2"/>
        <v>#REF!</v>
      </c>
      <c r="C104" s="74"/>
      <c r="D104" s="74"/>
      <c r="E104" s="475"/>
      <c r="F104" s="105" t="s">
        <v>390</v>
      </c>
      <c r="G104" s="127" t="s">
        <v>67</v>
      </c>
      <c r="H104" s="128" t="s">
        <v>391</v>
      </c>
      <c r="I104" s="74"/>
      <c r="J104" s="74"/>
      <c r="K104" s="74"/>
      <c r="L104" s="74"/>
      <c r="M104" s="74"/>
      <c r="N104" s="74"/>
      <c r="O104" s="74"/>
      <c r="P104" s="74"/>
      <c r="Q104" s="74"/>
      <c r="R104" s="74"/>
      <c r="S104" s="74"/>
      <c r="T104" s="74"/>
      <c r="U104" s="74"/>
      <c r="V104" s="74"/>
      <c r="W104" s="74"/>
      <c r="X104" s="74"/>
      <c r="Y104" s="74"/>
      <c r="Z104" s="74"/>
    </row>
    <row r="105" spans="1:26" ht="25" x14ac:dyDescent="0.25">
      <c r="A105" s="74">
        <v>1</v>
      </c>
      <c r="B105" s="74" t="e">
        <f t="shared" si="2"/>
        <v>#REF!</v>
      </c>
      <c r="C105" s="74"/>
      <c r="D105" s="74"/>
      <c r="E105" s="475"/>
      <c r="F105" s="104" t="s">
        <v>392</v>
      </c>
      <c r="G105" s="127" t="s">
        <v>67</v>
      </c>
      <c r="H105" s="128" t="s">
        <v>393</v>
      </c>
      <c r="I105" s="74"/>
      <c r="J105" s="74"/>
      <c r="K105" s="74"/>
      <c r="L105" s="74"/>
      <c r="M105" s="74"/>
      <c r="N105" s="74"/>
      <c r="O105" s="74"/>
      <c r="P105" s="74"/>
      <c r="Q105" s="74"/>
      <c r="R105" s="74"/>
      <c r="S105" s="74"/>
      <c r="T105" s="74"/>
      <c r="U105" s="74"/>
      <c r="V105" s="74"/>
      <c r="W105" s="74"/>
      <c r="X105" s="74"/>
      <c r="Y105" s="74"/>
      <c r="Z105" s="74"/>
    </row>
    <row r="106" spans="1:26" ht="50" x14ac:dyDescent="0.25">
      <c r="A106" s="74">
        <v>1</v>
      </c>
      <c r="B106" s="74" t="e">
        <f t="shared" si="2"/>
        <v>#REF!</v>
      </c>
      <c r="C106" s="74"/>
      <c r="D106" s="74"/>
      <c r="E106" s="475"/>
      <c r="F106" s="108" t="s">
        <v>394</v>
      </c>
      <c r="G106" s="127" t="s">
        <v>67</v>
      </c>
      <c r="H106" s="128" t="s">
        <v>784</v>
      </c>
      <c r="I106" s="74"/>
      <c r="J106" s="74"/>
      <c r="K106" s="74"/>
      <c r="L106" s="74"/>
      <c r="M106" s="74"/>
      <c r="N106" s="74"/>
      <c r="O106" s="74"/>
      <c r="P106" s="74"/>
      <c r="Q106" s="74"/>
      <c r="R106" s="74"/>
      <c r="S106" s="74"/>
      <c r="T106" s="74"/>
      <c r="U106" s="74"/>
      <c r="V106" s="74"/>
      <c r="W106" s="74"/>
      <c r="X106" s="74"/>
      <c r="Y106" s="74"/>
      <c r="Z106" s="74"/>
    </row>
    <row r="107" spans="1:26" ht="50" x14ac:dyDescent="0.25">
      <c r="A107" s="74">
        <v>1</v>
      </c>
      <c r="B107" s="74" t="e">
        <f t="shared" si="2"/>
        <v>#REF!</v>
      </c>
      <c r="C107" s="74"/>
      <c r="D107" s="74"/>
      <c r="E107" s="475"/>
      <c r="F107" s="108" t="s">
        <v>395</v>
      </c>
      <c r="G107" s="127" t="s">
        <v>67</v>
      </c>
      <c r="H107" s="128" t="s">
        <v>396</v>
      </c>
      <c r="I107" s="74"/>
      <c r="J107" s="74"/>
      <c r="K107" s="74"/>
      <c r="L107" s="74"/>
      <c r="M107" s="74"/>
      <c r="N107" s="74"/>
      <c r="O107" s="74"/>
      <c r="P107" s="74"/>
      <c r="Q107" s="74"/>
      <c r="R107" s="74"/>
      <c r="S107" s="74"/>
      <c r="T107" s="74"/>
      <c r="U107" s="74"/>
      <c r="V107" s="74"/>
      <c r="W107" s="74"/>
      <c r="X107" s="74"/>
      <c r="Y107" s="74"/>
      <c r="Z107" s="74"/>
    </row>
    <row r="108" spans="1:26" ht="37.5" x14ac:dyDescent="0.25">
      <c r="A108" s="74">
        <v>1</v>
      </c>
      <c r="B108" s="74" t="e">
        <f t="shared" si="2"/>
        <v>#REF!</v>
      </c>
      <c r="C108" s="74"/>
      <c r="D108" s="74"/>
      <c r="E108" s="475"/>
      <c r="F108" s="108" t="s">
        <v>397</v>
      </c>
      <c r="G108" s="127" t="s">
        <v>155</v>
      </c>
      <c r="H108" s="128" t="s">
        <v>398</v>
      </c>
      <c r="I108" s="74"/>
      <c r="J108" s="74"/>
      <c r="K108" s="74"/>
      <c r="L108" s="74"/>
      <c r="M108" s="74"/>
      <c r="N108" s="74"/>
      <c r="O108" s="74"/>
      <c r="P108" s="74"/>
      <c r="Q108" s="74"/>
      <c r="R108" s="74"/>
      <c r="S108" s="74"/>
      <c r="T108" s="74"/>
      <c r="U108" s="74"/>
      <c r="V108" s="74"/>
      <c r="W108" s="74"/>
      <c r="X108" s="74"/>
      <c r="Y108" s="74"/>
      <c r="Z108" s="74"/>
    </row>
    <row r="109" spans="1:26" ht="12.5" x14ac:dyDescent="0.25">
      <c r="A109" s="74">
        <v>1</v>
      </c>
      <c r="B109" s="74" t="e">
        <f t="shared" si="2"/>
        <v>#REF!</v>
      </c>
      <c r="C109" s="74"/>
      <c r="D109" s="74"/>
      <c r="E109" s="475"/>
      <c r="F109" s="108" t="s">
        <v>399</v>
      </c>
      <c r="G109" s="127" t="s">
        <v>400</v>
      </c>
      <c r="H109" s="128"/>
      <c r="I109" s="74"/>
      <c r="J109" s="74"/>
      <c r="K109" s="74"/>
      <c r="L109" s="74"/>
      <c r="M109" s="74"/>
      <c r="N109" s="74"/>
      <c r="O109" s="74"/>
      <c r="P109" s="74"/>
      <c r="Q109" s="74"/>
      <c r="R109" s="74"/>
      <c r="S109" s="74"/>
      <c r="T109" s="74"/>
      <c r="U109" s="74"/>
      <c r="V109" s="74"/>
      <c r="W109" s="74"/>
      <c r="X109" s="74"/>
      <c r="Y109" s="74"/>
      <c r="Z109" s="74"/>
    </row>
    <row r="110" spans="1:26" ht="25" x14ac:dyDescent="0.25">
      <c r="A110" s="74">
        <v>1</v>
      </c>
      <c r="B110" s="74" t="e">
        <f t="shared" si="2"/>
        <v>#REF!</v>
      </c>
      <c r="C110" s="74"/>
      <c r="D110" s="74"/>
      <c r="E110" s="475"/>
      <c r="F110" s="108" t="s">
        <v>401</v>
      </c>
      <c r="G110" s="127" t="s">
        <v>402</v>
      </c>
      <c r="H110" s="128" t="s">
        <v>403</v>
      </c>
      <c r="I110" s="74"/>
      <c r="J110" s="74"/>
      <c r="K110" s="74"/>
      <c r="L110" s="74"/>
      <c r="M110" s="74"/>
      <c r="N110" s="74"/>
      <c r="O110" s="74"/>
      <c r="P110" s="74"/>
      <c r="Q110" s="74"/>
      <c r="R110" s="74"/>
      <c r="S110" s="74"/>
      <c r="T110" s="74"/>
      <c r="U110" s="74"/>
      <c r="V110" s="74"/>
      <c r="W110" s="74"/>
      <c r="X110" s="74"/>
      <c r="Y110" s="74"/>
      <c r="Z110" s="74"/>
    </row>
    <row r="111" spans="1:26" ht="25" x14ac:dyDescent="0.25">
      <c r="A111" s="74">
        <v>1</v>
      </c>
      <c r="B111" s="74" t="e">
        <f t="shared" si="2"/>
        <v>#REF!</v>
      </c>
      <c r="C111" s="74"/>
      <c r="D111" s="74"/>
      <c r="E111" s="475"/>
      <c r="F111" s="108" t="s">
        <v>404</v>
      </c>
      <c r="G111" s="127" t="s">
        <v>402</v>
      </c>
      <c r="H111" s="128" t="s">
        <v>405</v>
      </c>
      <c r="I111" s="74"/>
      <c r="J111" s="74"/>
      <c r="K111" s="74"/>
      <c r="L111" s="74"/>
      <c r="M111" s="74"/>
      <c r="N111" s="74"/>
      <c r="O111" s="74"/>
      <c r="P111" s="74"/>
      <c r="Q111" s="74"/>
      <c r="R111" s="74"/>
      <c r="S111" s="74"/>
      <c r="T111" s="74"/>
      <c r="U111" s="74"/>
      <c r="V111" s="74"/>
      <c r="W111" s="74"/>
      <c r="X111" s="74"/>
      <c r="Y111" s="74"/>
      <c r="Z111" s="74"/>
    </row>
    <row r="112" spans="1:26" ht="38.25" customHeight="1" x14ac:dyDescent="0.25">
      <c r="A112" s="74">
        <v>1</v>
      </c>
      <c r="B112" s="74" t="e">
        <f t="shared" si="2"/>
        <v>#REF!</v>
      </c>
      <c r="C112" s="74"/>
      <c r="D112" s="74"/>
      <c r="E112" s="480" t="s">
        <v>406</v>
      </c>
      <c r="F112" s="106" t="s">
        <v>407</v>
      </c>
      <c r="G112" s="107"/>
      <c r="H112" s="107"/>
      <c r="I112" s="74"/>
      <c r="J112" s="74"/>
      <c r="K112" s="74"/>
      <c r="L112" s="74"/>
      <c r="M112" s="74"/>
      <c r="N112" s="74"/>
      <c r="O112" s="74"/>
      <c r="P112" s="74"/>
      <c r="Q112" s="74"/>
      <c r="R112" s="74"/>
      <c r="S112" s="74"/>
      <c r="T112" s="74"/>
      <c r="U112" s="74"/>
      <c r="V112" s="74"/>
      <c r="W112" s="74"/>
      <c r="X112" s="74"/>
      <c r="Y112" s="74"/>
      <c r="Z112" s="74"/>
    </row>
    <row r="113" spans="1:30" ht="12.5" x14ac:dyDescent="0.25">
      <c r="A113" s="74">
        <v>1</v>
      </c>
      <c r="B113" s="74" t="e">
        <f t="shared" si="2"/>
        <v>#REF!</v>
      </c>
      <c r="C113" s="74"/>
      <c r="D113" s="74"/>
      <c r="E113" s="481"/>
      <c r="F113" s="104" t="s">
        <v>408</v>
      </c>
      <c r="G113" s="127" t="s">
        <v>155</v>
      </c>
      <c r="H113" s="128"/>
      <c r="I113" s="74"/>
      <c r="J113" s="74"/>
      <c r="K113" s="74"/>
      <c r="L113" s="74"/>
      <c r="M113" s="74"/>
      <c r="N113" s="74"/>
      <c r="O113" s="74"/>
      <c r="P113" s="74"/>
      <c r="Q113" s="74"/>
      <c r="R113" s="74"/>
      <c r="S113" s="74"/>
      <c r="T113" s="74"/>
      <c r="U113" s="74"/>
      <c r="V113" s="74"/>
      <c r="W113" s="74"/>
      <c r="X113" s="74"/>
      <c r="Y113" s="74"/>
      <c r="Z113" s="74"/>
    </row>
    <row r="114" spans="1:30" ht="12.5" x14ac:dyDescent="0.25">
      <c r="A114" s="74">
        <v>1</v>
      </c>
      <c r="B114" s="74" t="e">
        <f t="shared" si="2"/>
        <v>#REF!</v>
      </c>
      <c r="C114" s="74"/>
      <c r="D114" s="74"/>
      <c r="E114" s="481"/>
      <c r="F114" s="104" t="s">
        <v>409</v>
      </c>
      <c r="G114" s="127" t="s">
        <v>155</v>
      </c>
      <c r="H114" s="128"/>
      <c r="I114" s="74"/>
      <c r="J114" s="74"/>
      <c r="K114" s="74"/>
      <c r="L114" s="74"/>
      <c r="M114" s="74"/>
      <c r="N114" s="74"/>
      <c r="O114" s="74"/>
      <c r="P114" s="74"/>
      <c r="Q114" s="74"/>
      <c r="R114" s="74"/>
      <c r="S114" s="74"/>
      <c r="T114" s="74"/>
      <c r="U114" s="74"/>
      <c r="V114" s="74"/>
      <c r="W114" s="74"/>
      <c r="X114" s="74"/>
      <c r="Y114" s="74"/>
      <c r="Z114" s="74"/>
    </row>
    <row r="115" spans="1:30" ht="12.5" x14ac:dyDescent="0.25">
      <c r="A115" s="74">
        <v>1</v>
      </c>
      <c r="B115" s="74" t="e">
        <f t="shared" si="2"/>
        <v>#REF!</v>
      </c>
      <c r="C115" s="74"/>
      <c r="D115" s="74"/>
      <c r="E115" s="481"/>
      <c r="F115" s="104" t="s">
        <v>410</v>
      </c>
      <c r="G115" s="127" t="s">
        <v>155</v>
      </c>
      <c r="H115" s="128"/>
      <c r="I115" s="74"/>
      <c r="J115" s="74"/>
      <c r="K115" s="74"/>
      <c r="L115" s="74"/>
      <c r="M115" s="74"/>
      <c r="N115" s="74"/>
      <c r="O115" s="74"/>
      <c r="P115" s="74"/>
      <c r="Q115" s="74"/>
      <c r="R115" s="74"/>
      <c r="S115" s="74"/>
      <c r="T115" s="74"/>
      <c r="U115" s="74"/>
      <c r="V115" s="74"/>
      <c r="W115" s="74"/>
      <c r="X115" s="74"/>
      <c r="Y115" s="74"/>
      <c r="Z115" s="74"/>
    </row>
    <row r="116" spans="1:30" ht="37.5" x14ac:dyDescent="0.25">
      <c r="A116" s="74">
        <v>1</v>
      </c>
      <c r="B116" s="74" t="e">
        <f t="shared" si="2"/>
        <v>#REF!</v>
      </c>
      <c r="C116" s="74"/>
      <c r="D116" s="74"/>
      <c r="E116" s="481"/>
      <c r="F116" s="104" t="s">
        <v>411</v>
      </c>
      <c r="G116" s="127" t="s">
        <v>67</v>
      </c>
      <c r="H116" s="128" t="s">
        <v>412</v>
      </c>
      <c r="I116" s="74"/>
      <c r="J116" s="74"/>
      <c r="K116" s="74"/>
      <c r="L116" s="74"/>
      <c r="M116" s="74"/>
      <c r="N116" s="74"/>
      <c r="O116" s="74"/>
      <c r="P116" s="74"/>
      <c r="Q116" s="74"/>
      <c r="R116" s="74"/>
      <c r="S116" s="74"/>
      <c r="T116" s="74"/>
      <c r="U116" s="74"/>
      <c r="V116" s="74"/>
      <c r="W116" s="74"/>
      <c r="X116" s="74"/>
      <c r="Y116" s="74"/>
      <c r="Z116" s="74"/>
    </row>
    <row r="117" spans="1:30" ht="12.5" x14ac:dyDescent="0.25">
      <c r="A117" s="74">
        <v>1</v>
      </c>
      <c r="B117" s="74" t="e">
        <f t="shared" si="2"/>
        <v>#REF!</v>
      </c>
      <c r="C117" s="74"/>
      <c r="D117" s="74"/>
      <c r="E117" s="481"/>
      <c r="F117" s="104" t="s">
        <v>413</v>
      </c>
      <c r="G117" s="127" t="s">
        <v>67</v>
      </c>
      <c r="H117" s="128" t="s">
        <v>414</v>
      </c>
      <c r="I117" s="74"/>
      <c r="J117" s="74"/>
      <c r="K117" s="74"/>
      <c r="L117" s="74"/>
      <c r="M117" s="74"/>
      <c r="N117" s="74"/>
      <c r="O117" s="74"/>
      <c r="P117" s="74"/>
      <c r="Q117" s="74"/>
      <c r="R117" s="74"/>
      <c r="S117" s="74"/>
      <c r="T117" s="74"/>
      <c r="U117" s="74"/>
      <c r="V117" s="74"/>
      <c r="W117" s="74"/>
      <c r="X117" s="74"/>
      <c r="Y117" s="74"/>
      <c r="Z117" s="74"/>
    </row>
    <row r="118" spans="1:30" ht="25" x14ac:dyDescent="0.25">
      <c r="A118" s="74">
        <v>1</v>
      </c>
      <c r="B118" s="74" t="e">
        <f t="shared" si="2"/>
        <v>#REF!</v>
      </c>
      <c r="C118" s="74"/>
      <c r="D118" s="74"/>
      <c r="E118" s="481"/>
      <c r="F118" s="104" t="s">
        <v>415</v>
      </c>
      <c r="G118" s="127" t="s">
        <v>67</v>
      </c>
      <c r="H118" s="128"/>
      <c r="I118" s="74"/>
      <c r="J118" s="74"/>
      <c r="K118" s="74"/>
      <c r="L118" s="74"/>
      <c r="M118" s="74"/>
      <c r="N118" s="74"/>
      <c r="O118" s="74"/>
      <c r="P118" s="74"/>
      <c r="Q118" s="74"/>
      <c r="R118" s="74"/>
      <c r="S118" s="74"/>
      <c r="T118" s="74"/>
      <c r="U118" s="74"/>
      <c r="V118" s="74"/>
      <c r="W118" s="74"/>
      <c r="X118" s="74"/>
      <c r="Y118" s="74"/>
      <c r="Z118" s="74"/>
    </row>
    <row r="119" spans="1:30" ht="37.5" x14ac:dyDescent="0.25">
      <c r="A119" s="74">
        <v>1</v>
      </c>
      <c r="B119" s="74" t="e">
        <f t="shared" si="2"/>
        <v>#REF!</v>
      </c>
      <c r="C119" s="74"/>
      <c r="D119" s="74"/>
      <c r="E119" s="482"/>
      <c r="F119" s="104" t="s">
        <v>416</v>
      </c>
      <c r="G119" s="127" t="s">
        <v>67</v>
      </c>
      <c r="H119" s="128" t="s">
        <v>417</v>
      </c>
      <c r="I119" s="74"/>
      <c r="J119" s="74"/>
      <c r="K119" s="74"/>
      <c r="L119" s="74"/>
      <c r="M119" s="74"/>
      <c r="N119" s="74"/>
      <c r="O119" s="74"/>
      <c r="P119" s="74"/>
      <c r="Q119" s="74"/>
      <c r="R119" s="74"/>
      <c r="S119" s="74"/>
      <c r="T119" s="74"/>
      <c r="U119" s="74"/>
      <c r="V119" s="74"/>
      <c r="W119" s="74"/>
      <c r="X119" s="74"/>
      <c r="Y119" s="74"/>
      <c r="Z119" s="74"/>
    </row>
    <row r="120" spans="1:30" ht="25" x14ac:dyDescent="0.25">
      <c r="A120" s="109">
        <v>1</v>
      </c>
      <c r="B120" s="74" t="e">
        <f t="shared" si="2"/>
        <v>#REF!</v>
      </c>
      <c r="C120" s="109"/>
      <c r="D120" s="109"/>
      <c r="E120" s="479" t="s">
        <v>418</v>
      </c>
      <c r="F120" s="110" t="s">
        <v>419</v>
      </c>
      <c r="G120" s="127" t="s">
        <v>67</v>
      </c>
      <c r="H120" s="128"/>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row>
    <row r="121" spans="1:30" ht="37.5" x14ac:dyDescent="0.25">
      <c r="A121" s="74">
        <v>1</v>
      </c>
      <c r="B121" s="74" t="e">
        <f t="shared" si="2"/>
        <v>#REF!</v>
      </c>
      <c r="C121" s="74"/>
      <c r="D121" s="74"/>
      <c r="E121" s="475"/>
      <c r="F121" s="105" t="s">
        <v>420</v>
      </c>
      <c r="G121" s="127" t="s">
        <v>67</v>
      </c>
      <c r="H121" s="128" t="s">
        <v>421</v>
      </c>
      <c r="I121" s="74"/>
      <c r="J121" s="74"/>
      <c r="K121" s="74"/>
      <c r="L121" s="74"/>
      <c r="M121" s="74"/>
      <c r="N121" s="74"/>
      <c r="O121" s="74"/>
      <c r="P121" s="74"/>
      <c r="Q121" s="74"/>
      <c r="R121" s="74"/>
      <c r="S121" s="74"/>
      <c r="T121" s="74"/>
      <c r="U121" s="74"/>
      <c r="V121" s="74"/>
      <c r="W121" s="74"/>
      <c r="X121" s="74"/>
      <c r="Y121" s="74"/>
      <c r="Z121" s="74"/>
    </row>
    <row r="122" spans="1:30" ht="12.5" x14ac:dyDescent="0.25">
      <c r="A122" s="74">
        <v>1</v>
      </c>
      <c r="B122" s="74" t="e">
        <f t="shared" si="2"/>
        <v>#REF!</v>
      </c>
      <c r="C122" s="74"/>
      <c r="D122" s="74"/>
      <c r="E122" s="475"/>
      <c r="F122" s="105" t="s">
        <v>422</v>
      </c>
      <c r="G122" s="127" t="s">
        <v>67</v>
      </c>
      <c r="H122" s="128" t="s">
        <v>423</v>
      </c>
      <c r="I122" s="74"/>
      <c r="J122" s="74"/>
      <c r="K122" s="74"/>
      <c r="L122" s="74"/>
      <c r="M122" s="74"/>
      <c r="N122" s="74"/>
      <c r="O122" s="74"/>
      <c r="P122" s="74"/>
      <c r="Q122" s="74"/>
      <c r="R122" s="74"/>
      <c r="S122" s="74"/>
      <c r="T122" s="74"/>
      <c r="U122" s="74"/>
      <c r="V122" s="74"/>
      <c r="W122" s="74"/>
      <c r="X122" s="74"/>
      <c r="Y122" s="74"/>
      <c r="Z122" s="74"/>
    </row>
    <row r="123" spans="1:30" ht="25" x14ac:dyDescent="0.25">
      <c r="A123" s="74">
        <v>1</v>
      </c>
      <c r="B123" s="74" t="e">
        <f t="shared" si="2"/>
        <v>#REF!</v>
      </c>
      <c r="C123" s="74"/>
      <c r="D123" s="74"/>
      <c r="E123" s="475"/>
      <c r="F123" s="105" t="s">
        <v>424</v>
      </c>
      <c r="G123" s="127" t="s">
        <v>67</v>
      </c>
      <c r="H123" s="128" t="s">
        <v>425</v>
      </c>
      <c r="I123" s="74"/>
      <c r="J123" s="74"/>
      <c r="K123" s="74"/>
      <c r="L123" s="74"/>
      <c r="M123" s="74"/>
      <c r="N123" s="74"/>
      <c r="O123" s="74"/>
      <c r="P123" s="74"/>
      <c r="Q123" s="74"/>
      <c r="R123" s="74"/>
      <c r="S123" s="74"/>
      <c r="T123" s="74"/>
      <c r="U123" s="74"/>
      <c r="V123" s="74"/>
      <c r="W123" s="74"/>
      <c r="X123" s="74"/>
      <c r="Y123" s="74"/>
      <c r="Z123" s="74"/>
    </row>
    <row r="124" spans="1:30" ht="38.25" customHeight="1" x14ac:dyDescent="0.25">
      <c r="A124" s="74">
        <v>1</v>
      </c>
      <c r="B124" s="74" t="e">
        <f t="shared" si="2"/>
        <v>#REF!</v>
      </c>
      <c r="C124" s="74"/>
      <c r="D124" s="74"/>
      <c r="E124" s="480" t="s">
        <v>426</v>
      </c>
      <c r="F124" s="105" t="s">
        <v>427</v>
      </c>
      <c r="G124" s="127" t="s">
        <v>428</v>
      </c>
      <c r="H124" s="128" t="s">
        <v>429</v>
      </c>
      <c r="I124" s="74"/>
      <c r="J124" s="74"/>
      <c r="K124" s="74"/>
      <c r="L124" s="74"/>
      <c r="M124" s="74"/>
      <c r="N124" s="74"/>
      <c r="O124" s="74"/>
      <c r="P124" s="74"/>
      <c r="Q124" s="74"/>
      <c r="R124" s="74"/>
      <c r="S124" s="74"/>
      <c r="T124" s="74"/>
      <c r="U124" s="74"/>
      <c r="V124" s="74"/>
      <c r="W124" s="74"/>
      <c r="X124" s="74"/>
      <c r="Y124" s="74"/>
      <c r="Z124" s="74"/>
    </row>
    <row r="125" spans="1:30" ht="50" x14ac:dyDescent="0.25">
      <c r="A125" s="74">
        <v>1</v>
      </c>
      <c r="B125" s="74" t="e">
        <f t="shared" si="2"/>
        <v>#REF!</v>
      </c>
      <c r="C125" s="74"/>
      <c r="D125" s="74"/>
      <c r="E125" s="481"/>
      <c r="F125" s="105" t="s">
        <v>430</v>
      </c>
      <c r="G125" s="127" t="s">
        <v>428</v>
      </c>
      <c r="H125" s="128" t="s">
        <v>431</v>
      </c>
      <c r="I125" s="74"/>
      <c r="J125" s="74"/>
      <c r="K125" s="74"/>
      <c r="L125" s="74"/>
      <c r="M125" s="74"/>
      <c r="N125" s="74"/>
      <c r="O125" s="74"/>
      <c r="P125" s="74"/>
      <c r="Q125" s="74"/>
      <c r="R125" s="74"/>
      <c r="S125" s="74"/>
      <c r="T125" s="74"/>
      <c r="U125" s="74"/>
      <c r="V125" s="74"/>
      <c r="W125" s="74"/>
      <c r="X125" s="74"/>
      <c r="Y125" s="74"/>
      <c r="Z125" s="74"/>
    </row>
    <row r="126" spans="1:30" ht="37.5" x14ac:dyDescent="0.25">
      <c r="A126" s="74">
        <v>1</v>
      </c>
      <c r="B126" s="74" t="e">
        <f t="shared" si="2"/>
        <v>#REF!</v>
      </c>
      <c r="C126" s="74"/>
      <c r="D126" s="74"/>
      <c r="E126" s="481"/>
      <c r="F126" s="105" t="s">
        <v>432</v>
      </c>
      <c r="G126" s="127" t="s">
        <v>433</v>
      </c>
      <c r="H126" s="128" t="s">
        <v>434</v>
      </c>
      <c r="I126" s="74"/>
      <c r="J126" s="74"/>
      <c r="K126" s="74"/>
      <c r="L126" s="74"/>
      <c r="M126" s="74"/>
      <c r="N126" s="74"/>
      <c r="O126" s="74"/>
      <c r="P126" s="74"/>
      <c r="Q126" s="74"/>
      <c r="R126" s="74"/>
      <c r="S126" s="74"/>
      <c r="T126" s="74"/>
      <c r="U126" s="74"/>
      <c r="V126" s="74"/>
      <c r="W126" s="74"/>
      <c r="X126" s="74"/>
      <c r="Y126" s="74"/>
      <c r="Z126" s="74"/>
    </row>
    <row r="127" spans="1:30" ht="25" x14ac:dyDescent="0.25">
      <c r="A127" s="74">
        <v>1</v>
      </c>
      <c r="B127" s="74" t="e">
        <f t="shared" si="2"/>
        <v>#REF!</v>
      </c>
      <c r="C127" s="74"/>
      <c r="D127" s="74"/>
      <c r="E127" s="482"/>
      <c r="F127" s="105" t="s">
        <v>435</v>
      </c>
      <c r="G127" s="127" t="s">
        <v>67</v>
      </c>
      <c r="H127" s="128" t="s">
        <v>792</v>
      </c>
      <c r="I127" s="74"/>
      <c r="J127" s="74"/>
      <c r="K127" s="74"/>
      <c r="L127" s="74"/>
      <c r="M127" s="74"/>
      <c r="N127" s="74"/>
      <c r="O127" s="74"/>
      <c r="P127" s="74"/>
      <c r="Q127" s="74"/>
      <c r="R127" s="74"/>
      <c r="S127" s="74"/>
      <c r="T127" s="74"/>
      <c r="U127" s="74"/>
      <c r="V127" s="74"/>
      <c r="W127" s="74"/>
      <c r="X127" s="74"/>
      <c r="Y127" s="74"/>
      <c r="Z127" s="74"/>
    </row>
    <row r="128" spans="1:30" ht="37.5" x14ac:dyDescent="0.25">
      <c r="A128" s="74">
        <v>1</v>
      </c>
      <c r="B128" s="74" t="e">
        <f t="shared" si="2"/>
        <v>#REF!</v>
      </c>
      <c r="C128" s="74"/>
      <c r="D128" s="74"/>
      <c r="E128" s="478" t="s">
        <v>436</v>
      </c>
      <c r="F128" s="104" t="s">
        <v>437</v>
      </c>
      <c r="G128" s="127" t="s">
        <v>67</v>
      </c>
      <c r="H128" s="128" t="s">
        <v>438</v>
      </c>
      <c r="I128" s="74"/>
      <c r="J128" s="74"/>
      <c r="K128" s="74"/>
      <c r="L128" s="74"/>
      <c r="M128" s="74"/>
      <c r="N128" s="74"/>
      <c r="O128" s="74"/>
      <c r="P128" s="74"/>
      <c r="Q128" s="74"/>
      <c r="R128" s="74"/>
      <c r="S128" s="74"/>
      <c r="T128" s="74"/>
      <c r="U128" s="74"/>
      <c r="V128" s="74"/>
      <c r="W128" s="74"/>
      <c r="X128" s="74"/>
      <c r="Y128" s="74"/>
      <c r="Z128" s="74"/>
    </row>
    <row r="129" spans="1:26" ht="25" x14ac:dyDescent="0.25">
      <c r="A129" s="74">
        <v>1</v>
      </c>
      <c r="B129" s="74" t="e">
        <f t="shared" si="2"/>
        <v>#REF!</v>
      </c>
      <c r="C129" s="74"/>
      <c r="D129" s="74"/>
      <c r="E129" s="475"/>
      <c r="F129" s="104" t="s">
        <v>439</v>
      </c>
      <c r="G129" s="127" t="s">
        <v>67</v>
      </c>
      <c r="H129" s="128" t="s">
        <v>440</v>
      </c>
      <c r="I129" s="74"/>
      <c r="J129" s="74"/>
      <c r="K129" s="74"/>
      <c r="L129" s="74"/>
      <c r="M129" s="74"/>
      <c r="N129" s="74"/>
      <c r="O129" s="74"/>
      <c r="P129" s="74"/>
      <c r="Q129" s="74"/>
      <c r="R129" s="74"/>
      <c r="S129" s="74"/>
      <c r="T129" s="74"/>
      <c r="U129" s="74"/>
      <c r="V129" s="74"/>
      <c r="W129" s="74"/>
      <c r="X129" s="74"/>
      <c r="Y129" s="74"/>
      <c r="Z129" s="74"/>
    </row>
    <row r="130" spans="1:26" ht="25" x14ac:dyDescent="0.25">
      <c r="A130" s="74">
        <v>1</v>
      </c>
      <c r="B130" s="74" t="e">
        <f t="shared" si="2"/>
        <v>#REF!</v>
      </c>
      <c r="C130" s="74"/>
      <c r="D130" s="74"/>
      <c r="E130" s="475"/>
      <c r="F130" s="104" t="s">
        <v>441</v>
      </c>
      <c r="G130" s="127" t="s">
        <v>442</v>
      </c>
      <c r="H130" s="358" t="s">
        <v>443</v>
      </c>
      <c r="I130" s="74"/>
      <c r="J130" s="74"/>
      <c r="K130" s="74"/>
      <c r="L130" s="74"/>
      <c r="M130" s="74"/>
      <c r="N130" s="74"/>
      <c r="O130" s="74"/>
      <c r="P130" s="74"/>
      <c r="Q130" s="74"/>
      <c r="R130" s="74"/>
      <c r="S130" s="74"/>
      <c r="T130" s="74"/>
      <c r="U130" s="74"/>
      <c r="V130" s="74"/>
      <c r="W130" s="74"/>
      <c r="X130" s="74"/>
      <c r="Y130" s="74"/>
      <c r="Z130" s="74"/>
    </row>
    <row r="131" spans="1:26" ht="25" x14ac:dyDescent="0.25">
      <c r="A131" s="74">
        <v>1</v>
      </c>
      <c r="B131" s="74" t="e">
        <f t="shared" si="2"/>
        <v>#REF!</v>
      </c>
      <c r="C131" s="74"/>
      <c r="D131" s="74"/>
      <c r="E131" s="475"/>
      <c r="F131" s="104" t="s">
        <v>444</v>
      </c>
      <c r="G131" s="127" t="s">
        <v>155</v>
      </c>
      <c r="H131" s="358" t="s">
        <v>445</v>
      </c>
      <c r="I131" s="74"/>
      <c r="J131" s="74"/>
      <c r="K131" s="74"/>
      <c r="L131" s="74"/>
      <c r="M131" s="74"/>
      <c r="N131" s="74"/>
      <c r="O131" s="74"/>
      <c r="P131" s="74"/>
      <c r="Q131" s="74"/>
      <c r="R131" s="74"/>
      <c r="S131" s="74"/>
      <c r="T131" s="74"/>
      <c r="U131" s="74"/>
      <c r="V131" s="74"/>
      <c r="W131" s="74"/>
      <c r="X131" s="74"/>
      <c r="Y131" s="74"/>
      <c r="Z131" s="74"/>
    </row>
    <row r="132" spans="1:26" ht="37.5" x14ac:dyDescent="0.25">
      <c r="A132" s="74">
        <v>1</v>
      </c>
      <c r="B132" s="74" t="e">
        <f t="shared" si="2"/>
        <v>#REF!</v>
      </c>
      <c r="C132" s="74"/>
      <c r="D132" s="74"/>
      <c r="E132" s="475"/>
      <c r="F132" s="104" t="s">
        <v>446</v>
      </c>
      <c r="G132" s="127" t="s">
        <v>447</v>
      </c>
      <c r="H132" s="128" t="s">
        <v>448</v>
      </c>
      <c r="I132" s="74"/>
      <c r="J132" s="74"/>
      <c r="K132" s="74"/>
      <c r="L132" s="74"/>
      <c r="M132" s="74"/>
      <c r="N132" s="74"/>
      <c r="O132" s="74"/>
      <c r="P132" s="74"/>
      <c r="Q132" s="74"/>
      <c r="R132" s="74"/>
      <c r="S132" s="74"/>
      <c r="T132" s="74"/>
      <c r="U132" s="74"/>
      <c r="V132" s="74"/>
      <c r="W132" s="74"/>
      <c r="X132" s="74"/>
      <c r="Y132" s="74"/>
      <c r="Z132" s="74"/>
    </row>
    <row r="133" spans="1:26" ht="62.5" x14ac:dyDescent="0.25">
      <c r="A133" s="74">
        <v>1</v>
      </c>
      <c r="B133" s="74" t="e">
        <f t="shared" si="2"/>
        <v>#REF!</v>
      </c>
      <c r="C133" s="74"/>
      <c r="D133" s="74"/>
      <c r="E133" s="475"/>
      <c r="F133" s="104" t="s">
        <v>449</v>
      </c>
      <c r="G133" s="127" t="s">
        <v>450</v>
      </c>
      <c r="H133" s="128" t="s">
        <v>451</v>
      </c>
      <c r="I133" s="74"/>
      <c r="J133" s="74"/>
      <c r="K133" s="74"/>
      <c r="L133" s="74"/>
      <c r="M133" s="74"/>
      <c r="N133" s="74"/>
      <c r="O133" s="74"/>
      <c r="P133" s="74"/>
      <c r="Q133" s="74"/>
      <c r="R133" s="74"/>
      <c r="S133" s="74"/>
      <c r="T133" s="74"/>
      <c r="U133" s="74"/>
      <c r="V133" s="74"/>
      <c r="W133" s="74"/>
      <c r="X133" s="74"/>
      <c r="Y133" s="74"/>
      <c r="Z133" s="74"/>
    </row>
    <row r="134" spans="1:26" ht="50" x14ac:dyDescent="0.25">
      <c r="A134" s="74">
        <v>1</v>
      </c>
      <c r="B134" s="74" t="e">
        <f t="shared" si="2"/>
        <v>#REF!</v>
      </c>
      <c r="C134" s="74"/>
      <c r="D134" s="74"/>
      <c r="E134" s="475"/>
      <c r="F134" s="104" t="s">
        <v>452</v>
      </c>
      <c r="G134" s="127" t="s">
        <v>453</v>
      </c>
      <c r="H134" s="128" t="s">
        <v>454</v>
      </c>
      <c r="I134" s="74"/>
      <c r="J134" s="74"/>
      <c r="K134" s="74"/>
      <c r="L134" s="74"/>
      <c r="M134" s="74"/>
      <c r="N134" s="74"/>
      <c r="O134" s="74"/>
      <c r="P134" s="74"/>
      <c r="Q134" s="74"/>
      <c r="R134" s="74"/>
      <c r="S134" s="74"/>
      <c r="T134" s="74"/>
      <c r="U134" s="74"/>
      <c r="V134" s="74"/>
      <c r="W134" s="74"/>
      <c r="X134" s="74"/>
      <c r="Y134" s="74"/>
      <c r="Z134" s="74"/>
    </row>
    <row r="135" spans="1:26" ht="37.5" x14ac:dyDescent="0.25">
      <c r="A135" s="74">
        <v>1</v>
      </c>
      <c r="B135" s="74" t="e">
        <f t="shared" si="2"/>
        <v>#REF!</v>
      </c>
      <c r="C135" s="74"/>
      <c r="D135" s="74"/>
      <c r="E135" s="475"/>
      <c r="F135" s="104" t="s">
        <v>455</v>
      </c>
      <c r="G135" s="359" t="s">
        <v>456</v>
      </c>
      <c r="H135" s="128" t="s">
        <v>457</v>
      </c>
      <c r="I135" s="74"/>
      <c r="J135" s="74"/>
      <c r="K135" s="74"/>
      <c r="L135" s="74"/>
      <c r="M135" s="74"/>
      <c r="N135" s="74"/>
      <c r="O135" s="74"/>
      <c r="P135" s="74"/>
      <c r="Q135" s="74"/>
      <c r="R135" s="74"/>
      <c r="S135" s="74"/>
      <c r="T135" s="74"/>
      <c r="U135" s="74"/>
      <c r="V135" s="74"/>
      <c r="W135" s="74"/>
      <c r="X135" s="74"/>
      <c r="Y135" s="74"/>
      <c r="Z135" s="74"/>
    </row>
    <row r="136" spans="1:26" ht="38" thickBot="1" x14ac:dyDescent="0.3">
      <c r="A136" s="74">
        <v>1</v>
      </c>
      <c r="B136" s="74" t="e">
        <f t="shared" si="2"/>
        <v>#REF!</v>
      </c>
      <c r="C136" s="74"/>
      <c r="D136" s="74"/>
      <c r="E136" s="476"/>
      <c r="F136" s="111" t="s">
        <v>458</v>
      </c>
      <c r="G136" s="129" t="s">
        <v>459</v>
      </c>
      <c r="H136" s="130" t="s">
        <v>460</v>
      </c>
      <c r="I136" s="74"/>
      <c r="J136" s="74"/>
      <c r="K136" s="74"/>
      <c r="L136" s="74"/>
      <c r="M136" s="74"/>
      <c r="N136" s="74"/>
      <c r="O136" s="74"/>
      <c r="P136" s="74"/>
      <c r="Q136" s="74"/>
      <c r="R136" s="74"/>
      <c r="S136" s="74"/>
      <c r="T136" s="74"/>
      <c r="U136" s="74"/>
      <c r="V136" s="74"/>
      <c r="W136" s="74"/>
      <c r="X136" s="74"/>
      <c r="Y136" s="74"/>
      <c r="Z136" s="74"/>
    </row>
    <row r="137" spans="1:26" ht="13" x14ac:dyDescent="0.25">
      <c r="A137" s="74">
        <v>1</v>
      </c>
      <c r="B137" s="74" t="e">
        <f t="shared" si="2"/>
        <v>#REF!</v>
      </c>
      <c r="C137" s="74"/>
      <c r="D137" s="74"/>
      <c r="E137" s="112"/>
      <c r="F137" s="113"/>
      <c r="G137" s="114"/>
      <c r="H137" s="114"/>
      <c r="I137" s="74"/>
      <c r="J137" s="74"/>
      <c r="K137" s="74"/>
      <c r="L137" s="74"/>
      <c r="M137" s="74"/>
      <c r="N137" s="74"/>
      <c r="O137" s="74"/>
      <c r="P137" s="74"/>
      <c r="Q137" s="74"/>
      <c r="R137" s="74"/>
      <c r="S137" s="74"/>
      <c r="T137" s="74"/>
      <c r="U137" s="74"/>
      <c r="V137" s="74"/>
      <c r="W137" s="74"/>
      <c r="X137" s="74"/>
      <c r="Y137" s="74"/>
      <c r="Z137" s="74"/>
    </row>
    <row r="138" spans="1:26" ht="13" thickBot="1" x14ac:dyDescent="0.3">
      <c r="A138" s="74">
        <v>1</v>
      </c>
      <c r="B138" s="74" t="e">
        <f t="shared" si="2"/>
        <v>#REF!</v>
      </c>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s="86" customFormat="1" ht="20.149999999999999" customHeight="1" thickBot="1" x14ac:dyDescent="0.3">
      <c r="A139" s="85">
        <v>1</v>
      </c>
      <c r="B139" s="85" t="e">
        <f t="shared" si="2"/>
        <v>#REF!</v>
      </c>
      <c r="C139" s="85"/>
      <c r="D139" s="85"/>
      <c r="E139" s="470" t="s">
        <v>461</v>
      </c>
      <c r="F139" s="471"/>
      <c r="G139" s="83" t="s">
        <v>38</v>
      </c>
      <c r="H139" s="83" t="s">
        <v>250</v>
      </c>
      <c r="I139" s="85"/>
      <c r="J139" s="85"/>
      <c r="K139" s="85"/>
      <c r="L139" s="85"/>
      <c r="M139" s="85"/>
      <c r="N139" s="85"/>
      <c r="O139" s="85"/>
      <c r="P139" s="85"/>
      <c r="Q139" s="85"/>
      <c r="R139" s="85"/>
      <c r="S139" s="85"/>
      <c r="T139" s="85"/>
      <c r="U139" s="85"/>
      <c r="V139" s="85"/>
      <c r="W139" s="85"/>
      <c r="X139" s="85"/>
      <c r="Y139" s="85"/>
      <c r="Z139" s="85"/>
    </row>
    <row r="140" spans="1:26" ht="225" x14ac:dyDescent="0.25">
      <c r="A140" s="74">
        <v>1</v>
      </c>
      <c r="B140" s="74" t="e">
        <f>#REF!+1</f>
        <v>#REF!</v>
      </c>
      <c r="C140" s="74"/>
      <c r="D140" s="74"/>
      <c r="E140" s="474" t="s">
        <v>462</v>
      </c>
      <c r="F140" s="104" t="s">
        <v>463</v>
      </c>
      <c r="G140" s="127" t="s">
        <v>67</v>
      </c>
      <c r="H140" s="128" t="s">
        <v>464</v>
      </c>
      <c r="I140" s="74"/>
      <c r="J140" s="74"/>
      <c r="K140" s="74"/>
      <c r="L140" s="74"/>
      <c r="M140" s="74"/>
      <c r="N140" s="74"/>
      <c r="O140" s="74"/>
      <c r="P140" s="74"/>
      <c r="Q140" s="74"/>
      <c r="R140" s="74"/>
      <c r="S140" s="74"/>
      <c r="T140" s="74"/>
      <c r="U140" s="74"/>
      <c r="V140" s="74"/>
      <c r="W140" s="74"/>
      <c r="X140" s="74"/>
      <c r="Y140" s="74"/>
      <c r="Z140" s="74"/>
    </row>
    <row r="141" spans="1:26" ht="62.5" x14ac:dyDescent="0.25">
      <c r="A141" s="74">
        <v>1</v>
      </c>
      <c r="B141" s="74" t="e">
        <f t="shared" si="2"/>
        <v>#REF!</v>
      </c>
      <c r="C141" s="74"/>
      <c r="D141" s="74"/>
      <c r="E141" s="475"/>
      <c r="F141" s="104" t="s">
        <v>465</v>
      </c>
      <c r="G141" s="127" t="s">
        <v>466</v>
      </c>
      <c r="H141" s="128" t="s">
        <v>467</v>
      </c>
      <c r="I141" s="74"/>
      <c r="J141" s="74"/>
      <c r="K141" s="74"/>
      <c r="L141" s="74"/>
      <c r="M141" s="74"/>
      <c r="N141" s="74"/>
      <c r="O141" s="74"/>
      <c r="P141" s="74"/>
      <c r="Q141" s="74"/>
      <c r="R141" s="74"/>
      <c r="S141" s="74"/>
      <c r="T141" s="74"/>
      <c r="U141" s="74"/>
      <c r="V141" s="74"/>
      <c r="W141" s="74"/>
      <c r="X141" s="74"/>
      <c r="Y141" s="74"/>
      <c r="Z141" s="74"/>
    </row>
    <row r="142" spans="1:26" ht="87.5" x14ac:dyDescent="0.25">
      <c r="A142" s="74">
        <v>1</v>
      </c>
      <c r="B142" s="74" t="e">
        <f t="shared" si="2"/>
        <v>#REF!</v>
      </c>
      <c r="C142" s="74"/>
      <c r="D142" s="74"/>
      <c r="E142" s="475"/>
      <c r="F142" s="104" t="s">
        <v>468</v>
      </c>
      <c r="G142" s="127" t="s">
        <v>67</v>
      </c>
      <c r="H142" s="128" t="s">
        <v>469</v>
      </c>
      <c r="I142" s="74"/>
      <c r="J142" s="74"/>
      <c r="K142" s="74"/>
      <c r="L142" s="74"/>
      <c r="M142" s="74"/>
      <c r="N142" s="74"/>
      <c r="O142" s="74"/>
      <c r="P142" s="74"/>
      <c r="Q142" s="74"/>
      <c r="R142" s="74"/>
      <c r="S142" s="74"/>
      <c r="T142" s="74"/>
      <c r="U142" s="74"/>
      <c r="V142" s="74"/>
      <c r="W142" s="74"/>
      <c r="X142" s="74"/>
      <c r="Y142" s="74"/>
      <c r="Z142" s="74"/>
    </row>
    <row r="143" spans="1:26" ht="50" x14ac:dyDescent="0.25">
      <c r="A143" s="74">
        <v>1</v>
      </c>
      <c r="B143" s="74" t="e">
        <f t="shared" si="2"/>
        <v>#REF!</v>
      </c>
      <c r="C143" s="74"/>
      <c r="D143" s="74"/>
      <c r="E143" s="475"/>
      <c r="F143" s="104" t="s">
        <v>470</v>
      </c>
      <c r="G143" s="127" t="s">
        <v>466</v>
      </c>
      <c r="H143" s="128" t="s">
        <v>794</v>
      </c>
      <c r="I143" s="74"/>
      <c r="J143" s="74"/>
      <c r="K143" s="74"/>
      <c r="L143" s="74"/>
      <c r="M143" s="74"/>
      <c r="N143" s="74"/>
      <c r="O143" s="74"/>
      <c r="P143" s="74"/>
      <c r="Q143" s="74"/>
      <c r="R143" s="74"/>
      <c r="S143" s="74"/>
      <c r="T143" s="74"/>
      <c r="U143" s="74"/>
      <c r="V143" s="74"/>
      <c r="W143" s="74"/>
      <c r="X143" s="74"/>
      <c r="Y143" s="74"/>
      <c r="Z143" s="74"/>
    </row>
    <row r="144" spans="1:26" ht="62.5" x14ac:dyDescent="0.25">
      <c r="A144" s="74">
        <v>1</v>
      </c>
      <c r="B144" s="74" t="e">
        <f t="shared" si="2"/>
        <v>#REF!</v>
      </c>
      <c r="C144" s="74"/>
      <c r="D144" s="74"/>
      <c r="E144" s="475"/>
      <c r="F144" s="104" t="s">
        <v>471</v>
      </c>
      <c r="G144" s="127" t="s">
        <v>67</v>
      </c>
      <c r="H144" s="128" t="s">
        <v>793</v>
      </c>
      <c r="I144" s="74"/>
      <c r="J144" s="74"/>
      <c r="K144" s="74"/>
      <c r="L144" s="74"/>
      <c r="M144" s="74"/>
      <c r="N144" s="74"/>
      <c r="O144" s="74"/>
      <c r="P144" s="74"/>
      <c r="Q144" s="74"/>
      <c r="R144" s="74"/>
      <c r="S144" s="74"/>
      <c r="T144" s="74"/>
      <c r="U144" s="74"/>
      <c r="V144" s="74"/>
      <c r="W144" s="74"/>
      <c r="X144" s="74"/>
      <c r="Y144" s="74"/>
      <c r="Z144" s="74"/>
    </row>
    <row r="145" spans="1:26" ht="25" x14ac:dyDescent="0.25">
      <c r="A145" s="74">
        <v>1</v>
      </c>
      <c r="B145" s="74" t="e">
        <f t="shared" si="2"/>
        <v>#REF!</v>
      </c>
      <c r="C145" s="74"/>
      <c r="D145" s="74"/>
      <c r="E145" s="475"/>
      <c r="F145" s="104" t="s">
        <v>472</v>
      </c>
      <c r="G145" s="127" t="s">
        <v>473</v>
      </c>
      <c r="H145" s="128"/>
      <c r="I145" s="74"/>
      <c r="J145" s="74"/>
      <c r="K145" s="74"/>
      <c r="L145" s="74"/>
      <c r="M145" s="74"/>
      <c r="N145" s="74"/>
      <c r="O145" s="74"/>
      <c r="P145" s="74"/>
      <c r="Q145" s="74"/>
      <c r="R145" s="74"/>
      <c r="S145" s="74"/>
      <c r="T145" s="74"/>
      <c r="U145" s="74"/>
      <c r="V145" s="74"/>
      <c r="W145" s="74"/>
      <c r="X145" s="74"/>
      <c r="Y145" s="74"/>
      <c r="Z145" s="74"/>
    </row>
    <row r="146" spans="1:26" ht="37.5" x14ac:dyDescent="0.25">
      <c r="A146" s="74">
        <v>1</v>
      </c>
      <c r="B146" s="74" t="e">
        <f t="shared" si="2"/>
        <v>#REF!</v>
      </c>
      <c r="C146" s="74"/>
      <c r="D146" s="74"/>
      <c r="E146" s="475"/>
      <c r="F146" s="104" t="s">
        <v>474</v>
      </c>
      <c r="G146" s="127" t="s">
        <v>155</v>
      </c>
      <c r="H146" s="128"/>
      <c r="I146" s="74"/>
      <c r="J146" s="74"/>
      <c r="K146" s="74"/>
      <c r="L146" s="74"/>
      <c r="M146" s="74"/>
      <c r="N146" s="74"/>
      <c r="O146" s="74"/>
      <c r="P146" s="74"/>
      <c r="Q146" s="74"/>
      <c r="R146" s="74"/>
      <c r="S146" s="74"/>
      <c r="T146" s="74"/>
      <c r="U146" s="74"/>
      <c r="V146" s="74"/>
      <c r="W146" s="74"/>
      <c r="X146" s="74"/>
      <c r="Y146" s="74"/>
      <c r="Z146" s="74"/>
    </row>
    <row r="147" spans="1:26" ht="25" x14ac:dyDescent="0.25">
      <c r="A147" s="74">
        <v>1</v>
      </c>
      <c r="B147" s="74" t="e">
        <f t="shared" si="2"/>
        <v>#REF!</v>
      </c>
      <c r="C147" s="74"/>
      <c r="D147" s="74"/>
      <c r="E147" s="475"/>
      <c r="F147" s="104" t="s">
        <v>475</v>
      </c>
      <c r="G147" s="127"/>
      <c r="H147" s="128"/>
      <c r="I147" s="74"/>
      <c r="J147" s="74"/>
      <c r="K147" s="74"/>
      <c r="L147" s="74"/>
      <c r="M147" s="74"/>
      <c r="N147" s="74"/>
      <c r="O147" s="74"/>
      <c r="P147" s="74"/>
      <c r="Q147" s="74"/>
      <c r="R147" s="74"/>
      <c r="S147" s="74"/>
      <c r="T147" s="74"/>
      <c r="U147" s="74"/>
      <c r="V147" s="74"/>
      <c r="W147" s="74"/>
      <c r="X147" s="74"/>
      <c r="Y147" s="74"/>
      <c r="Z147" s="74"/>
    </row>
    <row r="148" spans="1:26" ht="37.5" x14ac:dyDescent="0.25">
      <c r="A148" s="74">
        <v>1</v>
      </c>
      <c r="B148" s="74" t="e">
        <f t="shared" si="2"/>
        <v>#REF!</v>
      </c>
      <c r="C148" s="74"/>
      <c r="D148" s="74"/>
      <c r="E148" s="475"/>
      <c r="F148" s="104" t="s">
        <v>476</v>
      </c>
      <c r="G148" s="127" t="s">
        <v>67</v>
      </c>
      <c r="H148" s="128" t="s">
        <v>477</v>
      </c>
      <c r="I148" s="74"/>
      <c r="J148" s="74"/>
      <c r="K148" s="74"/>
      <c r="L148" s="74"/>
      <c r="M148" s="74"/>
      <c r="N148" s="74"/>
      <c r="O148" s="74"/>
      <c r="P148" s="74"/>
      <c r="Q148" s="74"/>
      <c r="R148" s="74"/>
      <c r="S148" s="74"/>
      <c r="T148" s="74"/>
      <c r="U148" s="74"/>
      <c r="V148" s="74"/>
      <c r="W148" s="74"/>
      <c r="X148" s="74"/>
      <c r="Y148" s="74"/>
      <c r="Z148" s="74"/>
    </row>
    <row r="149" spans="1:26" ht="37.5" x14ac:dyDescent="0.25">
      <c r="A149" s="74">
        <v>1</v>
      </c>
      <c r="B149" s="74" t="e">
        <f t="shared" si="2"/>
        <v>#REF!</v>
      </c>
      <c r="C149" s="74"/>
      <c r="D149" s="74"/>
      <c r="E149" s="475"/>
      <c r="F149" s="104" t="s">
        <v>478</v>
      </c>
      <c r="G149" s="127" t="s">
        <v>473</v>
      </c>
      <c r="H149" s="128"/>
      <c r="I149" s="74"/>
      <c r="J149" s="74"/>
      <c r="K149" s="74"/>
      <c r="L149" s="74"/>
      <c r="M149" s="74"/>
      <c r="N149" s="74"/>
      <c r="O149" s="74"/>
      <c r="P149" s="74"/>
      <c r="Q149" s="74"/>
      <c r="R149" s="74"/>
      <c r="S149" s="74"/>
      <c r="T149" s="74"/>
      <c r="U149" s="74"/>
      <c r="V149" s="74"/>
      <c r="W149" s="74"/>
      <c r="X149" s="74"/>
      <c r="Y149" s="74"/>
      <c r="Z149" s="74"/>
    </row>
    <row r="150" spans="1:26" ht="25" x14ac:dyDescent="0.25">
      <c r="A150" s="74">
        <v>1</v>
      </c>
      <c r="B150" s="74" t="e">
        <f t="shared" si="2"/>
        <v>#REF!</v>
      </c>
      <c r="C150" s="74"/>
      <c r="D150" s="74"/>
      <c r="E150" s="475"/>
      <c r="F150" s="104" t="s">
        <v>479</v>
      </c>
      <c r="G150" s="127" t="s">
        <v>480</v>
      </c>
      <c r="H150" s="128" t="s">
        <v>481</v>
      </c>
      <c r="I150" s="74"/>
      <c r="J150" s="74"/>
      <c r="K150" s="74"/>
      <c r="L150" s="74"/>
      <c r="M150" s="74"/>
      <c r="N150" s="74"/>
      <c r="O150" s="74"/>
      <c r="P150" s="74"/>
      <c r="Q150" s="74"/>
      <c r="R150" s="74"/>
      <c r="S150" s="74"/>
      <c r="T150" s="74"/>
      <c r="U150" s="74"/>
      <c r="V150" s="74"/>
      <c r="W150" s="74"/>
      <c r="X150" s="74"/>
      <c r="Y150" s="74"/>
      <c r="Z150" s="74"/>
    </row>
    <row r="151" spans="1:26" ht="37.5" x14ac:dyDescent="0.25">
      <c r="A151" s="74">
        <v>1</v>
      </c>
      <c r="B151" s="74" t="e">
        <f t="shared" si="2"/>
        <v>#REF!</v>
      </c>
      <c r="C151" s="74"/>
      <c r="D151" s="74"/>
      <c r="E151" s="475"/>
      <c r="F151" s="104" t="s">
        <v>482</v>
      </c>
      <c r="G151" s="127" t="s">
        <v>480</v>
      </c>
      <c r="H151" s="128" t="s">
        <v>483</v>
      </c>
      <c r="I151" s="74"/>
      <c r="J151" s="74"/>
      <c r="K151" s="74"/>
      <c r="L151" s="74"/>
      <c r="M151" s="74"/>
      <c r="N151" s="74"/>
      <c r="O151" s="74"/>
      <c r="P151" s="74"/>
      <c r="Q151" s="74"/>
      <c r="R151" s="74"/>
      <c r="S151" s="74"/>
      <c r="T151" s="74"/>
      <c r="U151" s="74"/>
      <c r="V151" s="74"/>
      <c r="W151" s="74"/>
      <c r="X151" s="74"/>
      <c r="Y151" s="74"/>
      <c r="Z151" s="74"/>
    </row>
    <row r="152" spans="1:26" ht="25" x14ac:dyDescent="0.25">
      <c r="A152" s="74">
        <v>1</v>
      </c>
      <c r="B152" s="74" t="e">
        <f t="shared" si="2"/>
        <v>#REF!</v>
      </c>
      <c r="C152" s="74"/>
      <c r="D152" s="74"/>
      <c r="E152" s="475"/>
      <c r="F152" s="104" t="s">
        <v>484</v>
      </c>
      <c r="G152" s="127" t="s">
        <v>485</v>
      </c>
      <c r="H152" s="128"/>
      <c r="I152" s="74"/>
      <c r="J152" s="74"/>
      <c r="K152" s="74"/>
      <c r="L152" s="74"/>
      <c r="M152" s="74"/>
      <c r="N152" s="74"/>
      <c r="O152" s="74"/>
      <c r="P152" s="74"/>
      <c r="Q152" s="74"/>
      <c r="R152" s="74"/>
      <c r="S152" s="74"/>
      <c r="T152" s="74"/>
      <c r="U152" s="74"/>
      <c r="V152" s="74"/>
      <c r="W152" s="74"/>
      <c r="X152" s="74"/>
      <c r="Y152" s="74"/>
      <c r="Z152" s="74"/>
    </row>
    <row r="153" spans="1:26" ht="38" thickBot="1" x14ac:dyDescent="0.3">
      <c r="A153" s="74">
        <v>1</v>
      </c>
      <c r="B153" s="74" t="e">
        <f t="shared" si="2"/>
        <v>#REF!</v>
      </c>
      <c r="C153" s="74"/>
      <c r="D153" s="74"/>
      <c r="E153" s="476"/>
      <c r="F153" s="115" t="s">
        <v>486</v>
      </c>
      <c r="G153" s="129" t="s">
        <v>487</v>
      </c>
      <c r="H153" s="130"/>
      <c r="I153" s="74"/>
      <c r="J153" s="74"/>
      <c r="K153" s="74"/>
      <c r="L153" s="74"/>
      <c r="M153" s="74"/>
      <c r="N153" s="74"/>
      <c r="O153" s="74"/>
      <c r="P153" s="74"/>
      <c r="Q153" s="74"/>
      <c r="R153" s="74"/>
      <c r="S153" s="74"/>
      <c r="T153" s="74"/>
      <c r="U153" s="74"/>
      <c r="V153" s="74"/>
      <c r="W153" s="74"/>
      <c r="X153" s="74"/>
      <c r="Y153" s="74"/>
      <c r="Z153" s="74"/>
    </row>
    <row r="154" spans="1:26" ht="13" x14ac:dyDescent="0.3">
      <c r="A154" s="74">
        <v>1</v>
      </c>
      <c r="B154" s="74" t="e">
        <f t="shared" si="2"/>
        <v>#REF!</v>
      </c>
      <c r="E154" s="76"/>
      <c r="G154" s="74"/>
    </row>
    <row r="155" spans="1:26" ht="13.5" thickBot="1" x14ac:dyDescent="0.35">
      <c r="A155" s="74">
        <v>1</v>
      </c>
      <c r="B155" s="74" t="e">
        <f t="shared" si="2"/>
        <v>#REF!</v>
      </c>
      <c r="E155" s="76"/>
      <c r="G155" s="74"/>
    </row>
    <row r="156" spans="1:26" s="86" customFormat="1" ht="20.149999999999999" customHeight="1" thickBot="1" x14ac:dyDescent="0.3">
      <c r="A156" s="85">
        <v>1</v>
      </c>
      <c r="B156" s="85" t="e">
        <f t="shared" si="2"/>
        <v>#REF!</v>
      </c>
      <c r="C156" s="85"/>
      <c r="D156" s="85"/>
      <c r="E156" s="470" t="s">
        <v>488</v>
      </c>
      <c r="F156" s="471"/>
      <c r="G156" s="83" t="s">
        <v>38</v>
      </c>
      <c r="H156" s="83" t="s">
        <v>250</v>
      </c>
      <c r="I156" s="85"/>
      <c r="J156" s="85"/>
      <c r="K156" s="85"/>
      <c r="L156" s="85"/>
      <c r="M156" s="85"/>
      <c r="N156" s="85"/>
      <c r="O156" s="85"/>
      <c r="P156" s="85"/>
      <c r="Q156" s="85"/>
      <c r="R156" s="85"/>
      <c r="S156" s="85"/>
      <c r="T156" s="85"/>
      <c r="U156" s="85"/>
      <c r="V156" s="85"/>
      <c r="W156" s="85"/>
      <c r="X156" s="85"/>
      <c r="Y156" s="85"/>
      <c r="Z156" s="85"/>
    </row>
    <row r="157" spans="1:26" ht="113" thickBot="1" x14ac:dyDescent="0.3">
      <c r="A157" s="74">
        <v>1</v>
      </c>
      <c r="B157" s="74" t="e">
        <f t="shared" si="2"/>
        <v>#REF!</v>
      </c>
      <c r="E157" s="116"/>
      <c r="F157" s="115" t="s">
        <v>489</v>
      </c>
      <c r="G157" s="129" t="s">
        <v>490</v>
      </c>
      <c r="H157" s="130" t="s">
        <v>491</v>
      </c>
    </row>
    <row r="158" spans="1:26" ht="13" x14ac:dyDescent="0.3">
      <c r="E158" s="76"/>
      <c r="G158" s="74"/>
    </row>
    <row r="159" spans="1:26" ht="13.5" thickBot="1" x14ac:dyDescent="0.35">
      <c r="E159" s="76"/>
      <c r="G159" s="74"/>
    </row>
    <row r="160" spans="1:26" s="86" customFormat="1" ht="20.149999999999999" customHeight="1" thickBot="1" x14ac:dyDescent="0.3">
      <c r="A160" s="85"/>
      <c r="B160" s="85"/>
      <c r="C160" s="85"/>
      <c r="D160" s="85"/>
      <c r="E160" s="470" t="s">
        <v>492</v>
      </c>
      <c r="F160" s="471"/>
      <c r="G160" s="83" t="s">
        <v>38</v>
      </c>
      <c r="H160" s="83" t="s">
        <v>250</v>
      </c>
      <c r="I160" s="85"/>
      <c r="J160" s="85"/>
      <c r="K160" s="85"/>
      <c r="L160" s="85"/>
      <c r="M160" s="85"/>
      <c r="N160" s="85"/>
      <c r="O160" s="85"/>
      <c r="P160" s="85"/>
      <c r="Q160" s="85"/>
      <c r="R160" s="85"/>
      <c r="S160" s="85"/>
      <c r="T160" s="85"/>
      <c r="U160" s="85"/>
      <c r="V160" s="85"/>
      <c r="W160" s="85"/>
      <c r="X160" s="85"/>
      <c r="Y160" s="85"/>
      <c r="Z160" s="85"/>
    </row>
    <row r="161" spans="5:8" ht="37.5" x14ac:dyDescent="0.25">
      <c r="E161" s="477"/>
      <c r="F161" s="117" t="s">
        <v>493</v>
      </c>
      <c r="G161" s="127" t="s">
        <v>67</v>
      </c>
      <c r="H161" s="128" t="s">
        <v>494</v>
      </c>
    </row>
    <row r="162" spans="5:8" ht="137.5" x14ac:dyDescent="0.25">
      <c r="E162" s="475"/>
      <c r="F162" s="117" t="s">
        <v>495</v>
      </c>
      <c r="G162" s="127" t="s">
        <v>496</v>
      </c>
      <c r="H162" s="128"/>
    </row>
    <row r="163" spans="5:8" ht="100" x14ac:dyDescent="0.25">
      <c r="E163" s="475"/>
      <c r="F163" s="117" t="s">
        <v>497</v>
      </c>
      <c r="G163" s="127" t="s">
        <v>790</v>
      </c>
      <c r="H163" s="128"/>
    </row>
    <row r="164" spans="5:8" ht="87.5" x14ac:dyDescent="0.25">
      <c r="E164" s="475"/>
      <c r="F164" s="117" t="s">
        <v>498</v>
      </c>
      <c r="G164" s="127" t="s">
        <v>499</v>
      </c>
      <c r="H164" s="128"/>
    </row>
    <row r="165" spans="5:8" ht="50" x14ac:dyDescent="0.25">
      <c r="E165" s="475"/>
      <c r="F165" s="117" t="s">
        <v>500</v>
      </c>
      <c r="G165" s="127" t="s">
        <v>501</v>
      </c>
      <c r="H165" s="128"/>
    </row>
    <row r="166" spans="5:8" ht="112.5" x14ac:dyDescent="0.25">
      <c r="E166" s="475"/>
      <c r="F166" s="117" t="s">
        <v>502</v>
      </c>
      <c r="G166" s="127" t="s">
        <v>503</v>
      </c>
      <c r="H166" s="128"/>
    </row>
    <row r="167" spans="5:8" ht="87.5" x14ac:dyDescent="0.25">
      <c r="E167" s="475"/>
      <c r="F167" s="117" t="s">
        <v>504</v>
      </c>
      <c r="G167" s="127" t="s">
        <v>505</v>
      </c>
      <c r="H167" s="128"/>
    </row>
    <row r="168" spans="5:8" ht="25" x14ac:dyDescent="0.25">
      <c r="E168" s="475"/>
      <c r="F168" s="117" t="s">
        <v>506</v>
      </c>
      <c r="G168" s="127" t="s">
        <v>507</v>
      </c>
      <c r="H168" s="128"/>
    </row>
    <row r="169" spans="5:8" ht="37.5" x14ac:dyDescent="0.25">
      <c r="E169" s="475"/>
      <c r="F169" s="117" t="s">
        <v>508</v>
      </c>
      <c r="G169" s="127" t="s">
        <v>785</v>
      </c>
      <c r="H169" s="128"/>
    </row>
    <row r="170" spans="5:8" ht="87.5" x14ac:dyDescent="0.25">
      <c r="E170" s="475"/>
      <c r="F170" s="117" t="s">
        <v>509</v>
      </c>
      <c r="G170" s="127" t="s">
        <v>510</v>
      </c>
      <c r="H170" s="128"/>
    </row>
    <row r="171" spans="5:8" ht="125" x14ac:dyDescent="0.25">
      <c r="E171" s="475"/>
      <c r="F171" s="117" t="s">
        <v>511</v>
      </c>
      <c r="G171" s="127" t="s">
        <v>512</v>
      </c>
      <c r="H171" s="128"/>
    </row>
    <row r="172" spans="5:8" ht="138" thickBot="1" x14ac:dyDescent="0.3">
      <c r="E172" s="476"/>
      <c r="F172" s="118" t="s">
        <v>513</v>
      </c>
      <c r="G172" s="129" t="s">
        <v>514</v>
      </c>
      <c r="H172" s="130"/>
    </row>
    <row r="173" spans="5:8" ht="13" x14ac:dyDescent="0.3">
      <c r="E173" s="76"/>
      <c r="G173" s="74"/>
    </row>
    <row r="174" spans="5:8" ht="13" x14ac:dyDescent="0.3">
      <c r="E174" s="76"/>
      <c r="G174" s="74"/>
    </row>
    <row r="175" spans="5:8" ht="13" x14ac:dyDescent="0.3">
      <c r="E175" s="76"/>
      <c r="G175" s="74"/>
    </row>
    <row r="176" spans="5:8" ht="13" x14ac:dyDescent="0.3">
      <c r="E176" s="76"/>
      <c r="G176" s="74"/>
    </row>
    <row r="177" spans="5:7" ht="13" x14ac:dyDescent="0.3">
      <c r="E177" s="76"/>
      <c r="G177" s="74"/>
    </row>
    <row r="178" spans="5:7" ht="13" x14ac:dyDescent="0.3">
      <c r="E178" s="76"/>
      <c r="G178" s="74"/>
    </row>
    <row r="179" spans="5:7" ht="13" x14ac:dyDescent="0.3">
      <c r="E179" s="76"/>
      <c r="G179" s="74"/>
    </row>
    <row r="180" spans="5:7" ht="13" x14ac:dyDescent="0.3">
      <c r="E180" s="76"/>
      <c r="G180" s="74"/>
    </row>
    <row r="181" spans="5:7" ht="13" x14ac:dyDescent="0.3">
      <c r="E181" s="76"/>
      <c r="G181" s="74"/>
    </row>
    <row r="182" spans="5:7" ht="13" x14ac:dyDescent="0.3">
      <c r="E182" s="76"/>
      <c r="G182" s="74"/>
    </row>
    <row r="183" spans="5:7" ht="13" x14ac:dyDescent="0.3">
      <c r="E183" s="76"/>
      <c r="G183" s="74"/>
    </row>
    <row r="184" spans="5:7" ht="13" x14ac:dyDescent="0.3">
      <c r="E184" s="76"/>
      <c r="G184" s="74"/>
    </row>
    <row r="185" spans="5:7" ht="13" x14ac:dyDescent="0.3">
      <c r="E185" s="76"/>
      <c r="G185" s="74"/>
    </row>
    <row r="186" spans="5:7" ht="13" x14ac:dyDescent="0.3">
      <c r="E186" s="76"/>
      <c r="G186" s="74"/>
    </row>
    <row r="187" spans="5:7" ht="13" x14ac:dyDescent="0.3">
      <c r="E187" s="76"/>
      <c r="G187" s="74"/>
    </row>
    <row r="188" spans="5:7" ht="13" x14ac:dyDescent="0.3">
      <c r="E188" s="76"/>
      <c r="G188" s="74"/>
    </row>
    <row r="189" spans="5:7" ht="13" x14ac:dyDescent="0.3">
      <c r="E189" s="76"/>
      <c r="G189" s="74"/>
    </row>
    <row r="190" spans="5:7" ht="13" x14ac:dyDescent="0.3">
      <c r="E190" s="76"/>
      <c r="G190" s="74"/>
    </row>
    <row r="191" spans="5:7" ht="13" x14ac:dyDescent="0.3">
      <c r="E191" s="76"/>
      <c r="G191" s="74"/>
    </row>
    <row r="192" spans="5:7" ht="13" x14ac:dyDescent="0.3">
      <c r="E192" s="76"/>
      <c r="G192" s="74"/>
    </row>
    <row r="193" spans="5:7" ht="13" x14ac:dyDescent="0.3">
      <c r="E193" s="76"/>
      <c r="G193" s="74"/>
    </row>
    <row r="194" spans="5:7" ht="13" x14ac:dyDescent="0.3">
      <c r="E194" s="76"/>
      <c r="G194" s="74"/>
    </row>
    <row r="195" spans="5:7" ht="13" x14ac:dyDescent="0.3">
      <c r="E195" s="76"/>
      <c r="G195" s="74"/>
    </row>
    <row r="196" spans="5:7" ht="13" x14ac:dyDescent="0.3">
      <c r="E196" s="76"/>
      <c r="G196" s="74"/>
    </row>
    <row r="197" spans="5:7" ht="13" x14ac:dyDescent="0.3">
      <c r="E197" s="76"/>
      <c r="G197" s="74"/>
    </row>
    <row r="198" spans="5:7" ht="13" x14ac:dyDescent="0.3">
      <c r="E198" s="76"/>
      <c r="G198" s="74"/>
    </row>
    <row r="199" spans="5:7" ht="13" x14ac:dyDescent="0.3">
      <c r="E199" s="76"/>
      <c r="G199" s="74"/>
    </row>
    <row r="200" spans="5:7" ht="13" x14ac:dyDescent="0.3">
      <c r="E200" s="76"/>
      <c r="G200" s="74"/>
    </row>
    <row r="201" spans="5:7" ht="13" x14ac:dyDescent="0.3">
      <c r="E201" s="76"/>
      <c r="G201" s="74"/>
    </row>
    <row r="202" spans="5:7" ht="13" x14ac:dyDescent="0.3">
      <c r="E202" s="76"/>
      <c r="G202" s="74"/>
    </row>
    <row r="203" spans="5:7" ht="13" x14ac:dyDescent="0.3">
      <c r="E203" s="76"/>
      <c r="G203" s="74"/>
    </row>
    <row r="204" spans="5:7" ht="13" x14ac:dyDescent="0.3">
      <c r="E204" s="76"/>
      <c r="G204" s="74"/>
    </row>
    <row r="205" spans="5:7" ht="13" x14ac:dyDescent="0.3">
      <c r="E205" s="76"/>
      <c r="G205" s="74"/>
    </row>
    <row r="206" spans="5:7" ht="13" x14ac:dyDescent="0.3">
      <c r="E206" s="76"/>
      <c r="G206" s="74"/>
    </row>
    <row r="207" spans="5:7" ht="13" x14ac:dyDescent="0.3">
      <c r="E207" s="76"/>
      <c r="G207" s="74"/>
    </row>
    <row r="208" spans="5:7" ht="13" x14ac:dyDescent="0.3">
      <c r="E208" s="76"/>
      <c r="G208" s="74"/>
    </row>
    <row r="209" spans="5:7" ht="13" x14ac:dyDescent="0.3">
      <c r="E209" s="76"/>
      <c r="G209" s="74"/>
    </row>
    <row r="210" spans="5:7" ht="13" x14ac:dyDescent="0.3">
      <c r="E210" s="76"/>
      <c r="G210" s="74"/>
    </row>
    <row r="211" spans="5:7" ht="13" x14ac:dyDescent="0.3">
      <c r="E211" s="76"/>
      <c r="G211" s="74"/>
    </row>
    <row r="212" spans="5:7" ht="13" x14ac:dyDescent="0.3">
      <c r="E212" s="76"/>
      <c r="G212" s="74"/>
    </row>
    <row r="213" spans="5:7" ht="13" x14ac:dyDescent="0.3">
      <c r="E213" s="76"/>
      <c r="G213" s="74"/>
    </row>
    <row r="214" spans="5:7" ht="13" x14ac:dyDescent="0.3">
      <c r="E214" s="76"/>
      <c r="G214" s="74"/>
    </row>
    <row r="215" spans="5:7" ht="13" x14ac:dyDescent="0.3">
      <c r="E215" s="76"/>
      <c r="G215" s="74"/>
    </row>
    <row r="216" spans="5:7" ht="13" x14ac:dyDescent="0.3">
      <c r="E216" s="76"/>
      <c r="G216" s="74"/>
    </row>
    <row r="217" spans="5:7" ht="13" x14ac:dyDescent="0.3">
      <c r="E217" s="76"/>
      <c r="G217" s="74"/>
    </row>
    <row r="218" spans="5:7" ht="13" x14ac:dyDescent="0.3">
      <c r="E218" s="76"/>
      <c r="G218" s="74"/>
    </row>
    <row r="219" spans="5:7" ht="13" x14ac:dyDescent="0.3">
      <c r="E219" s="76"/>
      <c r="G219" s="74"/>
    </row>
    <row r="220" spans="5:7" ht="13" x14ac:dyDescent="0.3">
      <c r="E220" s="76"/>
      <c r="G220" s="74"/>
    </row>
    <row r="221" spans="5:7" ht="13" x14ac:dyDescent="0.3">
      <c r="E221" s="76"/>
      <c r="G221" s="74"/>
    </row>
    <row r="222" spans="5:7" ht="13" x14ac:dyDescent="0.3">
      <c r="E222" s="76"/>
      <c r="G222" s="74"/>
    </row>
    <row r="223" spans="5:7" ht="13" x14ac:dyDescent="0.3">
      <c r="E223" s="76"/>
      <c r="G223" s="74"/>
    </row>
    <row r="224" spans="5:7" ht="13" x14ac:dyDescent="0.3">
      <c r="E224" s="76"/>
      <c r="G224" s="74"/>
    </row>
    <row r="225" spans="5:7" ht="13" x14ac:dyDescent="0.3">
      <c r="E225" s="76"/>
      <c r="G225" s="74"/>
    </row>
    <row r="226" spans="5:7" ht="13" x14ac:dyDescent="0.3">
      <c r="E226" s="76"/>
      <c r="G226" s="74"/>
    </row>
    <row r="227" spans="5:7" ht="13" x14ac:dyDescent="0.3">
      <c r="E227" s="76"/>
      <c r="G227" s="74"/>
    </row>
    <row r="228" spans="5:7" ht="13" x14ac:dyDescent="0.3">
      <c r="E228" s="76"/>
      <c r="G228" s="74"/>
    </row>
    <row r="229" spans="5:7" ht="13" x14ac:dyDescent="0.3">
      <c r="E229" s="76"/>
      <c r="G229" s="74"/>
    </row>
    <row r="230" spans="5:7" ht="13" x14ac:dyDescent="0.3">
      <c r="E230" s="76"/>
      <c r="G230" s="74"/>
    </row>
    <row r="231" spans="5:7" ht="13" x14ac:dyDescent="0.3">
      <c r="E231" s="76"/>
      <c r="G231" s="74"/>
    </row>
    <row r="232" spans="5:7" ht="13" x14ac:dyDescent="0.3">
      <c r="E232" s="76"/>
      <c r="G232" s="74"/>
    </row>
    <row r="233" spans="5:7" ht="13" x14ac:dyDescent="0.3">
      <c r="E233" s="76"/>
      <c r="G233" s="74"/>
    </row>
    <row r="234" spans="5:7" ht="13" x14ac:dyDescent="0.3">
      <c r="E234" s="76"/>
      <c r="G234" s="74"/>
    </row>
    <row r="235" spans="5:7" ht="13" x14ac:dyDescent="0.3">
      <c r="E235" s="76"/>
      <c r="G235" s="74"/>
    </row>
    <row r="236" spans="5:7" ht="13" x14ac:dyDescent="0.3">
      <c r="E236" s="76"/>
      <c r="G236" s="74"/>
    </row>
    <row r="237" spans="5:7" ht="13" x14ac:dyDescent="0.3">
      <c r="E237" s="76"/>
      <c r="G237" s="74"/>
    </row>
    <row r="238" spans="5:7" ht="13" x14ac:dyDescent="0.3">
      <c r="E238" s="76"/>
      <c r="G238" s="74"/>
    </row>
    <row r="239" spans="5:7" ht="13" x14ac:dyDescent="0.3">
      <c r="E239" s="76"/>
      <c r="G239" s="74"/>
    </row>
    <row r="240" spans="5:7" ht="13" x14ac:dyDescent="0.3">
      <c r="E240" s="76"/>
      <c r="G240" s="74"/>
    </row>
    <row r="241" spans="5:7" ht="13" x14ac:dyDescent="0.3">
      <c r="E241" s="76"/>
      <c r="G241" s="74"/>
    </row>
    <row r="242" spans="5:7" ht="13" x14ac:dyDescent="0.3">
      <c r="E242" s="76"/>
      <c r="G242" s="74"/>
    </row>
    <row r="243" spans="5:7" ht="13" x14ac:dyDescent="0.3">
      <c r="E243" s="76"/>
      <c r="G243" s="74"/>
    </row>
    <row r="244" spans="5:7" ht="13" x14ac:dyDescent="0.3">
      <c r="E244" s="76"/>
      <c r="G244" s="74"/>
    </row>
    <row r="245" spans="5:7" ht="13" x14ac:dyDescent="0.3">
      <c r="E245" s="76"/>
      <c r="G245" s="74"/>
    </row>
    <row r="246" spans="5:7" ht="13" x14ac:dyDescent="0.3">
      <c r="E246" s="76"/>
      <c r="G246" s="74"/>
    </row>
    <row r="247" spans="5:7" ht="13" x14ac:dyDescent="0.3">
      <c r="E247" s="76"/>
      <c r="G247" s="74"/>
    </row>
    <row r="248" spans="5:7" ht="13" x14ac:dyDescent="0.3">
      <c r="E248" s="76"/>
      <c r="G248" s="74"/>
    </row>
    <row r="249" spans="5:7" ht="13" x14ac:dyDescent="0.3">
      <c r="E249" s="76"/>
      <c r="G249" s="74"/>
    </row>
    <row r="250" spans="5:7" ht="13" x14ac:dyDescent="0.3">
      <c r="E250" s="76"/>
      <c r="G250" s="74"/>
    </row>
    <row r="251" spans="5:7" ht="13" x14ac:dyDescent="0.3">
      <c r="E251" s="76"/>
      <c r="G251" s="74"/>
    </row>
    <row r="252" spans="5:7" ht="13" x14ac:dyDescent="0.3">
      <c r="E252" s="76"/>
      <c r="G252" s="74"/>
    </row>
    <row r="253" spans="5:7" ht="13" x14ac:dyDescent="0.3">
      <c r="E253" s="76"/>
      <c r="G253" s="74"/>
    </row>
    <row r="254" spans="5:7" ht="13" x14ac:dyDescent="0.3">
      <c r="E254" s="76"/>
      <c r="G254" s="74"/>
    </row>
    <row r="255" spans="5:7" ht="13" x14ac:dyDescent="0.3">
      <c r="E255" s="76"/>
      <c r="G255" s="74"/>
    </row>
    <row r="256" spans="5:7" ht="13" x14ac:dyDescent="0.3">
      <c r="E256" s="76"/>
      <c r="G256" s="74"/>
    </row>
    <row r="257" spans="5:7" ht="13" x14ac:dyDescent="0.3">
      <c r="E257" s="76"/>
      <c r="G257" s="74"/>
    </row>
    <row r="258" spans="5:7" ht="13" x14ac:dyDescent="0.3">
      <c r="E258" s="76"/>
      <c r="G258" s="74"/>
    </row>
    <row r="259" spans="5:7" ht="13" x14ac:dyDescent="0.3">
      <c r="E259" s="76"/>
      <c r="G259" s="74"/>
    </row>
    <row r="260" spans="5:7" ht="13" x14ac:dyDescent="0.3">
      <c r="E260" s="76"/>
      <c r="G260" s="74"/>
    </row>
    <row r="261" spans="5:7" ht="13" x14ac:dyDescent="0.3">
      <c r="E261" s="76"/>
      <c r="G261" s="74"/>
    </row>
    <row r="262" spans="5:7" ht="13" x14ac:dyDescent="0.3">
      <c r="E262" s="76"/>
      <c r="G262" s="74"/>
    </row>
    <row r="263" spans="5:7" ht="13" x14ac:dyDescent="0.3">
      <c r="E263" s="76"/>
      <c r="G263" s="74"/>
    </row>
    <row r="264" spans="5:7" ht="13" x14ac:dyDescent="0.3">
      <c r="E264" s="76"/>
      <c r="G264" s="74"/>
    </row>
    <row r="265" spans="5:7" ht="13" x14ac:dyDescent="0.3">
      <c r="E265" s="76"/>
      <c r="G265" s="74"/>
    </row>
    <row r="266" spans="5:7" ht="13" x14ac:dyDescent="0.3">
      <c r="E266" s="76"/>
      <c r="G266" s="74"/>
    </row>
    <row r="267" spans="5:7" ht="13" x14ac:dyDescent="0.3">
      <c r="E267" s="76"/>
      <c r="G267" s="74"/>
    </row>
    <row r="268" spans="5:7" ht="13" x14ac:dyDescent="0.3">
      <c r="E268" s="76"/>
      <c r="G268" s="74"/>
    </row>
    <row r="269" spans="5:7" ht="13" x14ac:dyDescent="0.3">
      <c r="E269" s="76"/>
      <c r="G269" s="74"/>
    </row>
    <row r="270" spans="5:7" ht="13" x14ac:dyDescent="0.3">
      <c r="E270" s="76"/>
      <c r="G270" s="74"/>
    </row>
    <row r="271" spans="5:7" ht="13" x14ac:dyDescent="0.3">
      <c r="E271" s="76"/>
      <c r="G271" s="74"/>
    </row>
    <row r="272" spans="5:7" ht="13" x14ac:dyDescent="0.3">
      <c r="E272" s="76"/>
      <c r="G272" s="74"/>
    </row>
    <row r="273" spans="5:7" ht="13" x14ac:dyDescent="0.3">
      <c r="E273" s="76"/>
      <c r="G273" s="74"/>
    </row>
    <row r="274" spans="5:7" ht="13" x14ac:dyDescent="0.3">
      <c r="E274" s="76"/>
      <c r="G274" s="74"/>
    </row>
    <row r="275" spans="5:7" ht="13" x14ac:dyDescent="0.3">
      <c r="E275" s="76"/>
      <c r="G275" s="74"/>
    </row>
    <row r="276" spans="5:7" ht="13" x14ac:dyDescent="0.3">
      <c r="E276" s="76"/>
      <c r="G276" s="74"/>
    </row>
    <row r="277" spans="5:7" ht="13" x14ac:dyDescent="0.3">
      <c r="E277" s="76"/>
      <c r="G277" s="74"/>
    </row>
    <row r="278" spans="5:7" ht="13" x14ac:dyDescent="0.3">
      <c r="E278" s="76"/>
      <c r="G278" s="74"/>
    </row>
    <row r="279" spans="5:7" ht="13" x14ac:dyDescent="0.3">
      <c r="E279" s="76"/>
      <c r="G279" s="74"/>
    </row>
    <row r="280" spans="5:7" ht="13" x14ac:dyDescent="0.3">
      <c r="E280" s="76"/>
      <c r="G280" s="74"/>
    </row>
    <row r="281" spans="5:7" ht="13" x14ac:dyDescent="0.3">
      <c r="E281" s="76"/>
      <c r="G281" s="74"/>
    </row>
    <row r="282" spans="5:7" ht="13" x14ac:dyDescent="0.3">
      <c r="E282" s="76"/>
      <c r="G282" s="74"/>
    </row>
    <row r="283" spans="5:7" ht="13" x14ac:dyDescent="0.3">
      <c r="E283" s="76"/>
      <c r="G283" s="74"/>
    </row>
    <row r="284" spans="5:7" ht="13" x14ac:dyDescent="0.3">
      <c r="E284" s="76"/>
      <c r="G284" s="74"/>
    </row>
    <row r="285" spans="5:7" ht="13" x14ac:dyDescent="0.3">
      <c r="E285" s="76"/>
      <c r="G285" s="74"/>
    </row>
    <row r="286" spans="5:7" ht="13" x14ac:dyDescent="0.3">
      <c r="E286" s="76"/>
      <c r="G286" s="74"/>
    </row>
    <row r="287" spans="5:7" ht="13" x14ac:dyDescent="0.3">
      <c r="E287" s="76"/>
      <c r="G287" s="74"/>
    </row>
    <row r="288" spans="5:7" ht="13" x14ac:dyDescent="0.3">
      <c r="E288" s="76"/>
      <c r="G288" s="74"/>
    </row>
    <row r="289" spans="5:7" ht="13" x14ac:dyDescent="0.3">
      <c r="E289" s="76"/>
      <c r="G289" s="74"/>
    </row>
    <row r="290" spans="5:7" ht="13" x14ac:dyDescent="0.3">
      <c r="E290" s="76"/>
      <c r="G290" s="74"/>
    </row>
    <row r="291" spans="5:7" ht="13" x14ac:dyDescent="0.3">
      <c r="E291" s="76"/>
      <c r="G291" s="74"/>
    </row>
    <row r="292" spans="5:7" ht="13" x14ac:dyDescent="0.3">
      <c r="E292" s="76"/>
      <c r="G292" s="74"/>
    </row>
    <row r="293" spans="5:7" ht="13" x14ac:dyDescent="0.3">
      <c r="E293" s="76"/>
      <c r="G293" s="74"/>
    </row>
    <row r="294" spans="5:7" ht="13" x14ac:dyDescent="0.3">
      <c r="E294" s="76"/>
      <c r="G294" s="74"/>
    </row>
    <row r="295" spans="5:7" ht="13" x14ac:dyDescent="0.3">
      <c r="E295" s="76"/>
      <c r="G295" s="74"/>
    </row>
    <row r="296" spans="5:7" ht="13" x14ac:dyDescent="0.3">
      <c r="E296" s="76"/>
      <c r="G296" s="74"/>
    </row>
    <row r="297" spans="5:7" ht="13" x14ac:dyDescent="0.3">
      <c r="E297" s="76"/>
      <c r="G297" s="74"/>
    </row>
    <row r="298" spans="5:7" ht="13" x14ac:dyDescent="0.3">
      <c r="E298" s="76"/>
      <c r="G298" s="74"/>
    </row>
    <row r="299" spans="5:7" ht="13" x14ac:dyDescent="0.3">
      <c r="E299" s="76"/>
      <c r="G299" s="74"/>
    </row>
    <row r="300" spans="5:7" ht="13" x14ac:dyDescent="0.3">
      <c r="E300" s="76"/>
      <c r="G300" s="74"/>
    </row>
    <row r="301" spans="5:7" ht="13" x14ac:dyDescent="0.3">
      <c r="E301" s="76"/>
      <c r="G301" s="74"/>
    </row>
    <row r="302" spans="5:7" ht="13" x14ac:dyDescent="0.3">
      <c r="E302" s="76"/>
      <c r="G302" s="74"/>
    </row>
    <row r="303" spans="5:7" ht="13" x14ac:dyDescent="0.3">
      <c r="E303" s="76"/>
      <c r="G303" s="74"/>
    </row>
    <row r="304" spans="5:7" ht="13" x14ac:dyDescent="0.3">
      <c r="E304" s="76"/>
      <c r="G304" s="74"/>
    </row>
    <row r="305" spans="5:7" ht="13" x14ac:dyDescent="0.3">
      <c r="E305" s="76"/>
      <c r="G305" s="74"/>
    </row>
    <row r="306" spans="5:7" ht="13" x14ac:dyDescent="0.3">
      <c r="E306" s="76"/>
      <c r="G306" s="74"/>
    </row>
    <row r="307" spans="5:7" ht="13" x14ac:dyDescent="0.3">
      <c r="E307" s="76"/>
      <c r="G307" s="74"/>
    </row>
    <row r="308" spans="5:7" ht="13" x14ac:dyDescent="0.3">
      <c r="E308" s="76"/>
      <c r="G308" s="74"/>
    </row>
    <row r="309" spans="5:7" ht="13" x14ac:dyDescent="0.3">
      <c r="E309" s="76"/>
      <c r="G309" s="74"/>
    </row>
    <row r="310" spans="5:7" ht="13" x14ac:dyDescent="0.3">
      <c r="E310" s="76"/>
      <c r="G310" s="74"/>
    </row>
    <row r="311" spans="5:7" ht="13" x14ac:dyDescent="0.3">
      <c r="E311" s="76"/>
      <c r="G311" s="74"/>
    </row>
    <row r="312" spans="5:7" ht="13" x14ac:dyDescent="0.3">
      <c r="E312" s="76"/>
      <c r="G312" s="74"/>
    </row>
    <row r="313" spans="5:7" ht="13" x14ac:dyDescent="0.3">
      <c r="E313" s="76"/>
      <c r="G313" s="74"/>
    </row>
    <row r="314" spans="5:7" ht="13" x14ac:dyDescent="0.3">
      <c r="E314" s="76"/>
      <c r="G314" s="74"/>
    </row>
    <row r="315" spans="5:7" ht="13" x14ac:dyDescent="0.3">
      <c r="E315" s="76"/>
      <c r="G315" s="74"/>
    </row>
    <row r="316" spans="5:7" ht="13" x14ac:dyDescent="0.3">
      <c r="E316" s="76"/>
      <c r="G316" s="74"/>
    </row>
    <row r="317" spans="5:7" ht="13" x14ac:dyDescent="0.3">
      <c r="E317" s="76"/>
      <c r="G317" s="74"/>
    </row>
    <row r="318" spans="5:7" ht="13" x14ac:dyDescent="0.3">
      <c r="E318" s="76"/>
      <c r="G318" s="74"/>
    </row>
    <row r="319" spans="5:7" ht="13" x14ac:dyDescent="0.3">
      <c r="E319" s="76"/>
      <c r="G319" s="74"/>
    </row>
    <row r="320" spans="5:7" ht="13" x14ac:dyDescent="0.3">
      <c r="E320" s="76"/>
      <c r="G320" s="74"/>
    </row>
    <row r="321" spans="5:7" ht="13" x14ac:dyDescent="0.3">
      <c r="E321" s="76"/>
      <c r="G321" s="74"/>
    </row>
    <row r="322" spans="5:7" ht="13" x14ac:dyDescent="0.3">
      <c r="E322" s="76"/>
      <c r="G322" s="74"/>
    </row>
    <row r="323" spans="5:7" ht="13" x14ac:dyDescent="0.3">
      <c r="E323" s="76"/>
      <c r="G323" s="74"/>
    </row>
    <row r="324" spans="5:7" ht="13" x14ac:dyDescent="0.3">
      <c r="E324" s="76"/>
      <c r="G324" s="74"/>
    </row>
    <row r="325" spans="5:7" ht="13" x14ac:dyDescent="0.3">
      <c r="E325" s="76"/>
      <c r="G325" s="74"/>
    </row>
    <row r="326" spans="5:7" ht="13" x14ac:dyDescent="0.3">
      <c r="E326" s="76"/>
      <c r="G326" s="74"/>
    </row>
    <row r="327" spans="5:7" ht="13" x14ac:dyDescent="0.3">
      <c r="E327" s="76"/>
      <c r="G327" s="74"/>
    </row>
    <row r="328" spans="5:7" ht="13" x14ac:dyDescent="0.3">
      <c r="E328" s="76"/>
      <c r="G328" s="74"/>
    </row>
    <row r="329" spans="5:7" ht="13" x14ac:dyDescent="0.3">
      <c r="E329" s="76"/>
      <c r="G329" s="74"/>
    </row>
    <row r="330" spans="5:7" ht="13" x14ac:dyDescent="0.3">
      <c r="E330" s="76"/>
      <c r="G330" s="74"/>
    </row>
    <row r="331" spans="5:7" ht="13" x14ac:dyDescent="0.3">
      <c r="E331" s="76"/>
      <c r="G331" s="74"/>
    </row>
    <row r="332" spans="5:7" ht="13" x14ac:dyDescent="0.3">
      <c r="E332" s="76"/>
      <c r="G332" s="74"/>
    </row>
    <row r="333" spans="5:7" ht="13" x14ac:dyDescent="0.3">
      <c r="E333" s="76"/>
      <c r="G333" s="74"/>
    </row>
    <row r="334" spans="5:7" ht="13" x14ac:dyDescent="0.3">
      <c r="E334" s="76"/>
      <c r="G334" s="74"/>
    </row>
    <row r="335" spans="5:7" ht="13" x14ac:dyDescent="0.3">
      <c r="E335" s="76"/>
      <c r="G335" s="74"/>
    </row>
    <row r="336" spans="5:7" ht="13" x14ac:dyDescent="0.3">
      <c r="E336" s="76"/>
      <c r="G336" s="74"/>
    </row>
    <row r="337" spans="5:7" ht="13" x14ac:dyDescent="0.3">
      <c r="E337" s="76"/>
      <c r="G337" s="74"/>
    </row>
    <row r="338" spans="5:7" ht="13" x14ac:dyDescent="0.3">
      <c r="E338" s="76"/>
      <c r="G338" s="74"/>
    </row>
    <row r="339" spans="5:7" ht="13" x14ac:dyDescent="0.3">
      <c r="E339" s="76"/>
      <c r="G339" s="74"/>
    </row>
    <row r="340" spans="5:7" ht="13" x14ac:dyDescent="0.3">
      <c r="E340" s="76"/>
      <c r="G340" s="74"/>
    </row>
    <row r="341" spans="5:7" ht="13" x14ac:dyDescent="0.3">
      <c r="E341" s="76"/>
      <c r="G341" s="74"/>
    </row>
    <row r="342" spans="5:7" ht="13" x14ac:dyDescent="0.3">
      <c r="E342" s="76"/>
      <c r="G342" s="74"/>
    </row>
    <row r="343" spans="5:7" ht="13" x14ac:dyDescent="0.3">
      <c r="E343" s="76"/>
      <c r="G343" s="74"/>
    </row>
    <row r="344" spans="5:7" ht="13" x14ac:dyDescent="0.3">
      <c r="E344" s="76"/>
      <c r="G344" s="74"/>
    </row>
    <row r="345" spans="5:7" ht="13" x14ac:dyDescent="0.3">
      <c r="E345" s="76"/>
      <c r="G345" s="74"/>
    </row>
    <row r="346" spans="5:7" ht="13" x14ac:dyDescent="0.3">
      <c r="E346" s="76"/>
      <c r="G346" s="74"/>
    </row>
    <row r="347" spans="5:7" ht="13" x14ac:dyDescent="0.3">
      <c r="E347" s="76"/>
      <c r="G347" s="74"/>
    </row>
    <row r="348" spans="5:7" ht="13" x14ac:dyDescent="0.3">
      <c r="E348" s="76"/>
      <c r="G348" s="74"/>
    </row>
    <row r="349" spans="5:7" ht="13" x14ac:dyDescent="0.3">
      <c r="E349" s="76"/>
      <c r="G349" s="74"/>
    </row>
    <row r="350" spans="5:7" ht="13" x14ac:dyDescent="0.3">
      <c r="E350" s="76"/>
      <c r="G350" s="74"/>
    </row>
    <row r="351" spans="5:7" ht="13" x14ac:dyDescent="0.3">
      <c r="E351" s="76"/>
      <c r="G351" s="74"/>
    </row>
    <row r="352" spans="5:7" ht="13" x14ac:dyDescent="0.3">
      <c r="E352" s="76"/>
      <c r="G352" s="74"/>
    </row>
    <row r="353" spans="5:7" ht="13" x14ac:dyDescent="0.3">
      <c r="E353" s="76"/>
      <c r="G353" s="74"/>
    </row>
    <row r="354" spans="5:7" ht="13" x14ac:dyDescent="0.3">
      <c r="E354" s="76"/>
      <c r="G354" s="74"/>
    </row>
    <row r="355" spans="5:7" ht="13" x14ac:dyDescent="0.3">
      <c r="E355" s="76"/>
      <c r="G355" s="74"/>
    </row>
    <row r="356" spans="5:7" ht="13" x14ac:dyDescent="0.3">
      <c r="E356" s="76"/>
      <c r="G356" s="74"/>
    </row>
    <row r="357" spans="5:7" ht="13" x14ac:dyDescent="0.3">
      <c r="E357" s="76"/>
      <c r="G357" s="74"/>
    </row>
    <row r="358" spans="5:7" ht="13" x14ac:dyDescent="0.3">
      <c r="E358" s="76"/>
      <c r="G358" s="74"/>
    </row>
    <row r="359" spans="5:7" ht="13" x14ac:dyDescent="0.3">
      <c r="E359" s="76"/>
      <c r="G359" s="74"/>
    </row>
    <row r="360" spans="5:7" ht="13" x14ac:dyDescent="0.3">
      <c r="E360" s="76"/>
      <c r="G360" s="74"/>
    </row>
    <row r="361" spans="5:7" ht="13" x14ac:dyDescent="0.3">
      <c r="E361" s="76"/>
      <c r="G361" s="74"/>
    </row>
    <row r="362" spans="5:7" ht="13" x14ac:dyDescent="0.3">
      <c r="E362" s="76"/>
      <c r="G362" s="74"/>
    </row>
    <row r="363" spans="5:7" ht="13" x14ac:dyDescent="0.3">
      <c r="E363" s="76"/>
      <c r="G363" s="74"/>
    </row>
    <row r="364" spans="5:7" ht="13" x14ac:dyDescent="0.3">
      <c r="E364" s="76"/>
      <c r="G364" s="74"/>
    </row>
    <row r="365" spans="5:7" ht="13" x14ac:dyDescent="0.3">
      <c r="E365" s="76"/>
      <c r="G365" s="74"/>
    </row>
    <row r="366" spans="5:7" ht="13" x14ac:dyDescent="0.3">
      <c r="E366" s="76"/>
      <c r="G366" s="74"/>
    </row>
    <row r="367" spans="5:7" ht="13" x14ac:dyDescent="0.3">
      <c r="E367" s="76"/>
      <c r="G367" s="74"/>
    </row>
    <row r="368" spans="5:7" ht="13" x14ac:dyDescent="0.3">
      <c r="E368" s="76"/>
      <c r="G368" s="74"/>
    </row>
    <row r="369" spans="5:7" ht="13" x14ac:dyDescent="0.3">
      <c r="E369" s="76"/>
      <c r="G369" s="74"/>
    </row>
    <row r="370" spans="5:7" ht="13" x14ac:dyDescent="0.3">
      <c r="E370" s="76"/>
      <c r="G370" s="74"/>
    </row>
    <row r="371" spans="5:7" ht="13" x14ac:dyDescent="0.3">
      <c r="E371" s="76"/>
      <c r="G371" s="74"/>
    </row>
    <row r="372" spans="5:7" ht="13" x14ac:dyDescent="0.3">
      <c r="E372" s="76"/>
      <c r="G372" s="74"/>
    </row>
    <row r="373" spans="5:7" ht="13" x14ac:dyDescent="0.3">
      <c r="E373" s="76"/>
      <c r="G373" s="74"/>
    </row>
    <row r="374" spans="5:7" ht="13" x14ac:dyDescent="0.3">
      <c r="E374" s="76"/>
      <c r="G374" s="74"/>
    </row>
    <row r="375" spans="5:7" ht="13" x14ac:dyDescent="0.3">
      <c r="E375" s="76"/>
      <c r="G375" s="74"/>
    </row>
    <row r="376" spans="5:7" ht="13" x14ac:dyDescent="0.3">
      <c r="E376" s="76"/>
      <c r="G376" s="74"/>
    </row>
    <row r="377" spans="5:7" ht="13" x14ac:dyDescent="0.3">
      <c r="E377" s="76"/>
      <c r="G377" s="74"/>
    </row>
    <row r="378" spans="5:7" ht="13" x14ac:dyDescent="0.3">
      <c r="E378" s="76"/>
      <c r="G378" s="74"/>
    </row>
    <row r="379" spans="5:7" ht="13" x14ac:dyDescent="0.3">
      <c r="E379" s="76"/>
      <c r="G379" s="74"/>
    </row>
    <row r="380" spans="5:7" ht="13" x14ac:dyDescent="0.3">
      <c r="E380" s="76"/>
      <c r="G380" s="74"/>
    </row>
    <row r="381" spans="5:7" ht="13" x14ac:dyDescent="0.3">
      <c r="E381" s="76"/>
      <c r="G381" s="74"/>
    </row>
    <row r="382" spans="5:7" ht="13" x14ac:dyDescent="0.3">
      <c r="E382" s="76"/>
      <c r="G382" s="74"/>
    </row>
    <row r="383" spans="5:7" ht="13" x14ac:dyDescent="0.3">
      <c r="E383" s="76"/>
      <c r="G383" s="74"/>
    </row>
    <row r="384" spans="5:7" ht="13" x14ac:dyDescent="0.3">
      <c r="E384" s="76"/>
      <c r="G384" s="74"/>
    </row>
    <row r="385" spans="5:7" ht="13" x14ac:dyDescent="0.3">
      <c r="E385" s="76"/>
      <c r="G385" s="74"/>
    </row>
    <row r="386" spans="5:7" ht="13" x14ac:dyDescent="0.3">
      <c r="E386" s="76"/>
      <c r="G386" s="74"/>
    </row>
    <row r="387" spans="5:7" ht="13" x14ac:dyDescent="0.3">
      <c r="E387" s="76"/>
      <c r="G387" s="74"/>
    </row>
    <row r="388" spans="5:7" ht="13" x14ac:dyDescent="0.3">
      <c r="E388" s="76"/>
      <c r="G388" s="74"/>
    </row>
    <row r="389" spans="5:7" ht="13" x14ac:dyDescent="0.3">
      <c r="E389" s="76"/>
      <c r="G389" s="74"/>
    </row>
    <row r="390" spans="5:7" ht="13" x14ac:dyDescent="0.3">
      <c r="E390" s="76"/>
      <c r="G390" s="74"/>
    </row>
    <row r="391" spans="5:7" ht="13" x14ac:dyDescent="0.3">
      <c r="E391" s="76"/>
      <c r="G391" s="74"/>
    </row>
    <row r="392" spans="5:7" ht="13" x14ac:dyDescent="0.3">
      <c r="E392" s="76"/>
      <c r="G392" s="74"/>
    </row>
    <row r="393" spans="5:7" ht="13" x14ac:dyDescent="0.3">
      <c r="E393" s="76"/>
      <c r="G393" s="74"/>
    </row>
    <row r="394" spans="5:7" ht="13" x14ac:dyDescent="0.3">
      <c r="E394" s="76"/>
      <c r="G394" s="74"/>
    </row>
    <row r="395" spans="5:7" ht="13" x14ac:dyDescent="0.3">
      <c r="E395" s="76"/>
      <c r="G395" s="74"/>
    </row>
    <row r="396" spans="5:7" ht="13" x14ac:dyDescent="0.3">
      <c r="E396" s="76"/>
      <c r="G396" s="74"/>
    </row>
    <row r="397" spans="5:7" ht="13" x14ac:dyDescent="0.3">
      <c r="E397" s="76"/>
      <c r="G397" s="74"/>
    </row>
    <row r="398" spans="5:7" ht="13" x14ac:dyDescent="0.3">
      <c r="E398" s="76"/>
      <c r="G398" s="74"/>
    </row>
    <row r="399" spans="5:7" ht="13" x14ac:dyDescent="0.3">
      <c r="E399" s="76"/>
      <c r="G399" s="74"/>
    </row>
    <row r="400" spans="5:7" ht="13" x14ac:dyDescent="0.3">
      <c r="E400" s="76"/>
      <c r="G400" s="74"/>
    </row>
    <row r="401" spans="5:7" ht="13" x14ac:dyDescent="0.3">
      <c r="E401" s="76"/>
      <c r="G401" s="74"/>
    </row>
    <row r="402" spans="5:7" ht="13" x14ac:dyDescent="0.3">
      <c r="E402" s="76"/>
      <c r="G402" s="74"/>
    </row>
    <row r="403" spans="5:7" ht="13" x14ac:dyDescent="0.3">
      <c r="E403" s="76"/>
      <c r="G403" s="74"/>
    </row>
    <row r="404" spans="5:7" ht="13" x14ac:dyDescent="0.3">
      <c r="E404" s="76"/>
      <c r="G404" s="74"/>
    </row>
    <row r="405" spans="5:7" ht="13" x14ac:dyDescent="0.3">
      <c r="E405" s="76"/>
      <c r="G405" s="74"/>
    </row>
    <row r="406" spans="5:7" ht="13" x14ac:dyDescent="0.3">
      <c r="E406" s="76"/>
      <c r="G406" s="74"/>
    </row>
    <row r="407" spans="5:7" ht="13" x14ac:dyDescent="0.3">
      <c r="E407" s="76"/>
      <c r="G407" s="74"/>
    </row>
    <row r="408" spans="5:7" ht="13" x14ac:dyDescent="0.3">
      <c r="E408" s="76"/>
      <c r="G408" s="74"/>
    </row>
    <row r="409" spans="5:7" ht="13" x14ac:dyDescent="0.3">
      <c r="E409" s="76"/>
      <c r="G409" s="74"/>
    </row>
    <row r="410" spans="5:7" ht="13" x14ac:dyDescent="0.3">
      <c r="E410" s="76"/>
      <c r="G410" s="74"/>
    </row>
    <row r="411" spans="5:7" ht="13" x14ac:dyDescent="0.3">
      <c r="E411" s="76"/>
      <c r="G411" s="74"/>
    </row>
    <row r="412" spans="5:7" ht="13" x14ac:dyDescent="0.3">
      <c r="E412" s="76"/>
      <c r="G412" s="74"/>
    </row>
    <row r="413" spans="5:7" ht="13" x14ac:dyDescent="0.3">
      <c r="E413" s="76"/>
      <c r="G413" s="74"/>
    </row>
    <row r="414" spans="5:7" ht="13" x14ac:dyDescent="0.3">
      <c r="E414" s="76"/>
      <c r="G414" s="74"/>
    </row>
    <row r="415" spans="5:7" ht="13" x14ac:dyDescent="0.3">
      <c r="E415" s="76"/>
      <c r="G415" s="74"/>
    </row>
    <row r="416" spans="5:7" ht="13" x14ac:dyDescent="0.3">
      <c r="E416" s="76"/>
      <c r="G416" s="74"/>
    </row>
    <row r="417" spans="5:7" ht="13" x14ac:dyDescent="0.3">
      <c r="E417" s="76"/>
      <c r="G417" s="74"/>
    </row>
    <row r="418" spans="5:7" ht="13" x14ac:dyDescent="0.3">
      <c r="E418" s="76"/>
      <c r="G418" s="74"/>
    </row>
    <row r="419" spans="5:7" ht="13" x14ac:dyDescent="0.3">
      <c r="E419" s="76"/>
      <c r="G419" s="74"/>
    </row>
    <row r="420" spans="5:7" ht="13" x14ac:dyDescent="0.3">
      <c r="E420" s="76"/>
      <c r="G420" s="74"/>
    </row>
    <row r="421" spans="5:7" ht="13" x14ac:dyDescent="0.3">
      <c r="E421" s="76"/>
      <c r="G421" s="74"/>
    </row>
    <row r="422" spans="5:7" ht="13" x14ac:dyDescent="0.3">
      <c r="E422" s="76"/>
      <c r="G422" s="74"/>
    </row>
    <row r="423" spans="5:7" ht="13" x14ac:dyDescent="0.3">
      <c r="E423" s="76"/>
      <c r="G423" s="74"/>
    </row>
    <row r="424" spans="5:7" ht="13" x14ac:dyDescent="0.3">
      <c r="E424" s="76"/>
      <c r="G424" s="74"/>
    </row>
    <row r="425" spans="5:7" ht="13" x14ac:dyDescent="0.3">
      <c r="E425" s="76"/>
      <c r="G425" s="74"/>
    </row>
    <row r="426" spans="5:7" ht="13" x14ac:dyDescent="0.3">
      <c r="E426" s="76"/>
      <c r="G426" s="74"/>
    </row>
    <row r="427" spans="5:7" ht="13" x14ac:dyDescent="0.3">
      <c r="E427" s="76"/>
      <c r="G427" s="74"/>
    </row>
    <row r="428" spans="5:7" ht="13" x14ac:dyDescent="0.3">
      <c r="E428" s="76"/>
      <c r="G428" s="74"/>
    </row>
    <row r="429" spans="5:7" ht="13" x14ac:dyDescent="0.3">
      <c r="E429" s="76"/>
      <c r="G429" s="74"/>
    </row>
    <row r="430" spans="5:7" ht="13" x14ac:dyDescent="0.3">
      <c r="E430" s="76"/>
      <c r="G430" s="74"/>
    </row>
    <row r="431" spans="5:7" ht="13" x14ac:dyDescent="0.3">
      <c r="E431" s="76"/>
      <c r="G431" s="74"/>
    </row>
    <row r="432" spans="5:7" ht="13" x14ac:dyDescent="0.3">
      <c r="E432" s="76"/>
      <c r="G432" s="74"/>
    </row>
    <row r="433" spans="5:7" ht="13" x14ac:dyDescent="0.3">
      <c r="E433" s="76"/>
      <c r="G433" s="74"/>
    </row>
    <row r="434" spans="5:7" ht="13" x14ac:dyDescent="0.3">
      <c r="E434" s="76"/>
      <c r="G434" s="74"/>
    </row>
    <row r="435" spans="5:7" ht="13" x14ac:dyDescent="0.3">
      <c r="E435" s="76"/>
      <c r="G435" s="74"/>
    </row>
    <row r="436" spans="5:7" ht="13" x14ac:dyDescent="0.3">
      <c r="E436" s="76"/>
      <c r="G436" s="74"/>
    </row>
    <row r="437" spans="5:7" ht="13" x14ac:dyDescent="0.3">
      <c r="E437" s="76"/>
      <c r="G437" s="74"/>
    </row>
    <row r="438" spans="5:7" ht="13" x14ac:dyDescent="0.3">
      <c r="E438" s="76"/>
      <c r="G438" s="74"/>
    </row>
    <row r="439" spans="5:7" ht="13" x14ac:dyDescent="0.3">
      <c r="E439" s="76"/>
      <c r="G439" s="74"/>
    </row>
    <row r="440" spans="5:7" ht="13" x14ac:dyDescent="0.3">
      <c r="E440" s="76"/>
      <c r="G440" s="74"/>
    </row>
    <row r="441" spans="5:7" ht="13" x14ac:dyDescent="0.3">
      <c r="E441" s="76"/>
      <c r="G441" s="74"/>
    </row>
    <row r="442" spans="5:7" ht="13" x14ac:dyDescent="0.3">
      <c r="E442" s="76"/>
      <c r="G442" s="74"/>
    </row>
    <row r="443" spans="5:7" ht="13" x14ac:dyDescent="0.3">
      <c r="E443" s="76"/>
      <c r="G443" s="74"/>
    </row>
    <row r="444" spans="5:7" ht="13" x14ac:dyDescent="0.3">
      <c r="E444" s="76"/>
      <c r="G444" s="74"/>
    </row>
    <row r="445" spans="5:7" ht="13" x14ac:dyDescent="0.3">
      <c r="E445" s="76"/>
      <c r="G445" s="74"/>
    </row>
    <row r="446" spans="5:7" ht="13" x14ac:dyDescent="0.3">
      <c r="E446" s="76"/>
      <c r="G446" s="74"/>
    </row>
    <row r="447" spans="5:7" ht="13" x14ac:dyDescent="0.3">
      <c r="E447" s="76"/>
      <c r="G447" s="74"/>
    </row>
    <row r="448" spans="5:7" ht="13" x14ac:dyDescent="0.3">
      <c r="E448" s="76"/>
      <c r="G448" s="74"/>
    </row>
    <row r="449" spans="5:7" ht="13" x14ac:dyDescent="0.3">
      <c r="E449" s="76"/>
      <c r="G449" s="74"/>
    </row>
    <row r="450" spans="5:7" ht="13" x14ac:dyDescent="0.3">
      <c r="E450" s="76"/>
      <c r="G450" s="74"/>
    </row>
    <row r="451" spans="5:7" ht="13" x14ac:dyDescent="0.3">
      <c r="E451" s="76"/>
      <c r="G451" s="74"/>
    </row>
    <row r="452" spans="5:7" ht="13" x14ac:dyDescent="0.3">
      <c r="E452" s="76"/>
      <c r="G452" s="74"/>
    </row>
    <row r="453" spans="5:7" ht="13" x14ac:dyDescent="0.3">
      <c r="E453" s="76"/>
      <c r="G453" s="74"/>
    </row>
    <row r="454" spans="5:7" ht="13" x14ac:dyDescent="0.3">
      <c r="E454" s="76"/>
      <c r="G454" s="74"/>
    </row>
    <row r="455" spans="5:7" ht="13" x14ac:dyDescent="0.3">
      <c r="E455" s="76"/>
      <c r="G455" s="74"/>
    </row>
    <row r="456" spans="5:7" ht="13" x14ac:dyDescent="0.3">
      <c r="E456" s="76"/>
      <c r="G456" s="74"/>
    </row>
    <row r="457" spans="5:7" ht="13" x14ac:dyDescent="0.3">
      <c r="E457" s="76"/>
      <c r="G457" s="74"/>
    </row>
    <row r="458" spans="5:7" ht="13" x14ac:dyDescent="0.3">
      <c r="E458" s="76"/>
      <c r="G458" s="74"/>
    </row>
    <row r="459" spans="5:7" ht="13" x14ac:dyDescent="0.3">
      <c r="E459" s="76"/>
      <c r="G459" s="74"/>
    </row>
    <row r="460" spans="5:7" ht="13" x14ac:dyDescent="0.3">
      <c r="E460" s="76"/>
      <c r="G460" s="74"/>
    </row>
    <row r="461" spans="5:7" ht="13" x14ac:dyDescent="0.3">
      <c r="E461" s="76"/>
      <c r="G461" s="74"/>
    </row>
    <row r="462" spans="5:7" ht="13" x14ac:dyDescent="0.3">
      <c r="E462" s="76"/>
      <c r="G462" s="74"/>
    </row>
    <row r="463" spans="5:7" ht="13" x14ac:dyDescent="0.3">
      <c r="E463" s="76"/>
      <c r="G463" s="74"/>
    </row>
    <row r="464" spans="5:7" ht="13" x14ac:dyDescent="0.3">
      <c r="E464" s="76"/>
      <c r="G464" s="74"/>
    </row>
    <row r="465" spans="5:7" ht="13" x14ac:dyDescent="0.3">
      <c r="E465" s="76"/>
      <c r="G465" s="74"/>
    </row>
    <row r="466" spans="5:7" ht="13" x14ac:dyDescent="0.3">
      <c r="E466" s="76"/>
      <c r="G466" s="74"/>
    </row>
    <row r="467" spans="5:7" ht="13" x14ac:dyDescent="0.3">
      <c r="E467" s="76"/>
      <c r="G467" s="74"/>
    </row>
    <row r="468" spans="5:7" ht="13" x14ac:dyDescent="0.3">
      <c r="E468" s="76"/>
      <c r="G468" s="74"/>
    </row>
    <row r="469" spans="5:7" ht="13" x14ac:dyDescent="0.3">
      <c r="E469" s="76"/>
      <c r="G469" s="74"/>
    </row>
    <row r="470" spans="5:7" ht="13" x14ac:dyDescent="0.3">
      <c r="E470" s="76"/>
      <c r="G470" s="74"/>
    </row>
    <row r="471" spans="5:7" ht="13" x14ac:dyDescent="0.3">
      <c r="E471" s="76"/>
      <c r="G471" s="74"/>
    </row>
    <row r="472" spans="5:7" ht="13" x14ac:dyDescent="0.3">
      <c r="E472" s="76"/>
      <c r="G472" s="74"/>
    </row>
    <row r="473" spans="5:7" ht="13" x14ac:dyDescent="0.3">
      <c r="E473" s="76"/>
      <c r="G473" s="74"/>
    </row>
    <row r="474" spans="5:7" ht="13" x14ac:dyDescent="0.3">
      <c r="E474" s="76"/>
      <c r="G474" s="74"/>
    </row>
    <row r="475" spans="5:7" ht="13" x14ac:dyDescent="0.3">
      <c r="E475" s="76"/>
      <c r="G475" s="74"/>
    </row>
    <row r="476" spans="5:7" ht="13" x14ac:dyDescent="0.3">
      <c r="E476" s="76"/>
      <c r="G476" s="74"/>
    </row>
    <row r="477" spans="5:7" ht="13" x14ac:dyDescent="0.3">
      <c r="E477" s="76"/>
      <c r="G477" s="74"/>
    </row>
    <row r="478" spans="5:7" ht="13" x14ac:dyDescent="0.3">
      <c r="E478" s="76"/>
      <c r="G478" s="74"/>
    </row>
    <row r="479" spans="5:7" ht="13" x14ac:dyDescent="0.3">
      <c r="E479" s="76"/>
      <c r="G479" s="74"/>
    </row>
    <row r="480" spans="5:7" ht="13" x14ac:dyDescent="0.3">
      <c r="E480" s="76"/>
      <c r="G480" s="74"/>
    </row>
    <row r="481" spans="5:7" ht="13" x14ac:dyDescent="0.3">
      <c r="E481" s="76"/>
      <c r="G481" s="74"/>
    </row>
    <row r="482" spans="5:7" ht="13" x14ac:dyDescent="0.3">
      <c r="E482" s="76"/>
      <c r="G482" s="74"/>
    </row>
    <row r="483" spans="5:7" ht="13" x14ac:dyDescent="0.3">
      <c r="E483" s="76"/>
      <c r="G483" s="74"/>
    </row>
    <row r="484" spans="5:7" ht="13" x14ac:dyDescent="0.3">
      <c r="E484" s="76"/>
      <c r="G484" s="74"/>
    </row>
    <row r="485" spans="5:7" ht="13" x14ac:dyDescent="0.3">
      <c r="E485" s="76"/>
      <c r="G485" s="74"/>
    </row>
    <row r="486" spans="5:7" ht="13" x14ac:dyDescent="0.3">
      <c r="E486" s="76"/>
      <c r="G486" s="74"/>
    </row>
    <row r="487" spans="5:7" ht="13" x14ac:dyDescent="0.3">
      <c r="E487" s="76"/>
      <c r="G487" s="74"/>
    </row>
    <row r="488" spans="5:7" ht="13" x14ac:dyDescent="0.3">
      <c r="E488" s="76"/>
      <c r="G488" s="74"/>
    </row>
    <row r="489" spans="5:7" ht="13" x14ac:dyDescent="0.3">
      <c r="E489" s="76"/>
      <c r="G489" s="74"/>
    </row>
    <row r="490" spans="5:7" ht="13" x14ac:dyDescent="0.3">
      <c r="E490" s="76"/>
      <c r="G490" s="74"/>
    </row>
    <row r="491" spans="5:7" ht="13" x14ac:dyDescent="0.3">
      <c r="E491" s="76"/>
      <c r="G491" s="74"/>
    </row>
    <row r="492" spans="5:7" ht="13" x14ac:dyDescent="0.3">
      <c r="E492" s="76"/>
      <c r="G492" s="74"/>
    </row>
    <row r="493" spans="5:7" ht="13" x14ac:dyDescent="0.3">
      <c r="E493" s="76"/>
      <c r="G493" s="74"/>
    </row>
    <row r="494" spans="5:7" ht="13" x14ac:dyDescent="0.3">
      <c r="E494" s="76"/>
      <c r="G494" s="74"/>
    </row>
    <row r="495" spans="5:7" ht="13" x14ac:dyDescent="0.3">
      <c r="E495" s="76"/>
      <c r="G495" s="74"/>
    </row>
    <row r="496" spans="5:7" ht="13" x14ac:dyDescent="0.3">
      <c r="E496" s="76"/>
      <c r="G496" s="74"/>
    </row>
    <row r="497" spans="5:7" ht="13" x14ac:dyDescent="0.3">
      <c r="E497" s="76"/>
      <c r="G497" s="74"/>
    </row>
    <row r="498" spans="5:7" ht="13" x14ac:dyDescent="0.3">
      <c r="E498" s="76"/>
      <c r="G498" s="74"/>
    </row>
    <row r="499" spans="5:7" ht="13" x14ac:dyDescent="0.3">
      <c r="E499" s="76"/>
      <c r="G499" s="74"/>
    </row>
    <row r="500" spans="5:7" ht="13" x14ac:dyDescent="0.3">
      <c r="E500" s="76"/>
      <c r="G500" s="74"/>
    </row>
    <row r="501" spans="5:7" ht="13" x14ac:dyDescent="0.3">
      <c r="E501" s="76"/>
      <c r="G501" s="74"/>
    </row>
    <row r="502" spans="5:7" ht="13" x14ac:dyDescent="0.3">
      <c r="E502" s="76"/>
      <c r="G502" s="74"/>
    </row>
    <row r="503" spans="5:7" ht="13" x14ac:dyDescent="0.3">
      <c r="E503" s="76"/>
      <c r="G503" s="74"/>
    </row>
    <row r="504" spans="5:7" ht="13" x14ac:dyDescent="0.3">
      <c r="E504" s="76"/>
      <c r="G504" s="74"/>
    </row>
    <row r="505" spans="5:7" ht="13" x14ac:dyDescent="0.3">
      <c r="E505" s="76"/>
      <c r="G505" s="74"/>
    </row>
    <row r="506" spans="5:7" ht="13" x14ac:dyDescent="0.3">
      <c r="E506" s="76"/>
      <c r="G506" s="74"/>
    </row>
    <row r="507" spans="5:7" ht="13" x14ac:dyDescent="0.3">
      <c r="E507" s="76"/>
      <c r="G507" s="74"/>
    </row>
    <row r="508" spans="5:7" ht="13" x14ac:dyDescent="0.3">
      <c r="E508" s="76"/>
      <c r="G508" s="74"/>
    </row>
    <row r="509" spans="5:7" ht="13" x14ac:dyDescent="0.3">
      <c r="E509" s="76"/>
      <c r="G509" s="74"/>
    </row>
    <row r="510" spans="5:7" ht="13" x14ac:dyDescent="0.3">
      <c r="E510" s="76"/>
      <c r="G510" s="74"/>
    </row>
    <row r="511" spans="5:7" ht="13" x14ac:dyDescent="0.3">
      <c r="E511" s="76"/>
      <c r="G511" s="74"/>
    </row>
    <row r="512" spans="5:7" ht="13" x14ac:dyDescent="0.3">
      <c r="E512" s="76"/>
      <c r="G512" s="74"/>
    </row>
    <row r="513" spans="5:7" ht="13" x14ac:dyDescent="0.3">
      <c r="E513" s="76"/>
      <c r="G513" s="74"/>
    </row>
    <row r="514" spans="5:7" ht="13" x14ac:dyDescent="0.3">
      <c r="E514" s="76"/>
      <c r="G514" s="74"/>
    </row>
    <row r="515" spans="5:7" ht="13" x14ac:dyDescent="0.3">
      <c r="E515" s="76"/>
      <c r="G515" s="74"/>
    </row>
    <row r="516" spans="5:7" ht="13" x14ac:dyDescent="0.3">
      <c r="E516" s="76"/>
      <c r="G516" s="74"/>
    </row>
    <row r="517" spans="5:7" ht="13" x14ac:dyDescent="0.3">
      <c r="E517" s="76"/>
      <c r="G517" s="74"/>
    </row>
    <row r="518" spans="5:7" ht="13" x14ac:dyDescent="0.3">
      <c r="E518" s="76"/>
      <c r="G518" s="74"/>
    </row>
    <row r="519" spans="5:7" ht="13" x14ac:dyDescent="0.3">
      <c r="E519" s="76"/>
      <c r="G519" s="74"/>
    </row>
    <row r="520" spans="5:7" ht="13" x14ac:dyDescent="0.3">
      <c r="E520" s="76"/>
      <c r="G520" s="74"/>
    </row>
    <row r="521" spans="5:7" ht="13" x14ac:dyDescent="0.3">
      <c r="E521" s="76"/>
      <c r="G521" s="74"/>
    </row>
    <row r="522" spans="5:7" ht="13" x14ac:dyDescent="0.3">
      <c r="E522" s="76"/>
      <c r="G522" s="74"/>
    </row>
    <row r="523" spans="5:7" ht="13" x14ac:dyDescent="0.3">
      <c r="E523" s="76"/>
      <c r="G523" s="74"/>
    </row>
    <row r="524" spans="5:7" ht="13" x14ac:dyDescent="0.3">
      <c r="E524" s="76"/>
      <c r="G524" s="74"/>
    </row>
    <row r="525" spans="5:7" ht="13" x14ac:dyDescent="0.3">
      <c r="E525" s="76"/>
      <c r="G525" s="74"/>
    </row>
    <row r="526" spans="5:7" ht="13" x14ac:dyDescent="0.3">
      <c r="E526" s="76"/>
      <c r="G526" s="74"/>
    </row>
    <row r="527" spans="5:7" ht="13" x14ac:dyDescent="0.3">
      <c r="E527" s="76"/>
      <c r="G527" s="74"/>
    </row>
    <row r="528" spans="5:7" ht="13" x14ac:dyDescent="0.3">
      <c r="E528" s="76"/>
      <c r="G528" s="74"/>
    </row>
    <row r="529" spans="5:7" ht="13" x14ac:dyDescent="0.3">
      <c r="E529" s="76"/>
      <c r="G529" s="74"/>
    </row>
    <row r="530" spans="5:7" ht="13" x14ac:dyDescent="0.3">
      <c r="E530" s="76"/>
      <c r="G530" s="74"/>
    </row>
    <row r="531" spans="5:7" ht="13" x14ac:dyDescent="0.3">
      <c r="E531" s="76"/>
      <c r="G531" s="74"/>
    </row>
    <row r="532" spans="5:7" ht="13" x14ac:dyDescent="0.3">
      <c r="E532" s="76"/>
      <c r="G532" s="74"/>
    </row>
    <row r="533" spans="5:7" ht="13" x14ac:dyDescent="0.3">
      <c r="E533" s="76"/>
      <c r="G533" s="74"/>
    </row>
    <row r="534" spans="5:7" ht="13" x14ac:dyDescent="0.3">
      <c r="E534" s="76"/>
      <c r="G534" s="74"/>
    </row>
    <row r="535" spans="5:7" ht="13" x14ac:dyDescent="0.3">
      <c r="E535" s="76"/>
      <c r="G535" s="74"/>
    </row>
    <row r="536" spans="5:7" ht="13" x14ac:dyDescent="0.3">
      <c r="E536" s="76"/>
      <c r="G536" s="74"/>
    </row>
    <row r="537" spans="5:7" ht="13" x14ac:dyDescent="0.3">
      <c r="E537" s="76"/>
      <c r="G537" s="74"/>
    </row>
    <row r="538" spans="5:7" ht="13" x14ac:dyDescent="0.3">
      <c r="E538" s="76"/>
      <c r="G538" s="74"/>
    </row>
    <row r="539" spans="5:7" ht="13" x14ac:dyDescent="0.3">
      <c r="E539" s="76"/>
      <c r="G539" s="74"/>
    </row>
    <row r="540" spans="5:7" ht="13" x14ac:dyDescent="0.3">
      <c r="E540" s="76"/>
      <c r="G540" s="74"/>
    </row>
    <row r="541" spans="5:7" ht="13" x14ac:dyDescent="0.3">
      <c r="E541" s="76"/>
      <c r="G541" s="74"/>
    </row>
    <row r="542" spans="5:7" ht="13" x14ac:dyDescent="0.3">
      <c r="E542" s="76"/>
      <c r="G542" s="74"/>
    </row>
    <row r="543" spans="5:7" ht="13" x14ac:dyDescent="0.3">
      <c r="E543" s="76"/>
      <c r="G543" s="74"/>
    </row>
    <row r="544" spans="5:7" ht="13" x14ac:dyDescent="0.3">
      <c r="E544" s="76"/>
      <c r="G544" s="74"/>
    </row>
    <row r="545" spans="5:7" ht="13" x14ac:dyDescent="0.3">
      <c r="E545" s="76"/>
      <c r="G545" s="74"/>
    </row>
    <row r="546" spans="5:7" ht="13" x14ac:dyDescent="0.3">
      <c r="E546" s="76"/>
      <c r="G546" s="74"/>
    </row>
    <row r="547" spans="5:7" ht="13" x14ac:dyDescent="0.3">
      <c r="E547" s="76"/>
      <c r="G547" s="74"/>
    </row>
    <row r="548" spans="5:7" ht="13" x14ac:dyDescent="0.3">
      <c r="E548" s="76"/>
      <c r="G548" s="74"/>
    </row>
    <row r="549" spans="5:7" ht="13" x14ac:dyDescent="0.3">
      <c r="E549" s="76"/>
      <c r="G549" s="74"/>
    </row>
    <row r="550" spans="5:7" ht="13" x14ac:dyDescent="0.3">
      <c r="E550" s="76"/>
      <c r="G550" s="74"/>
    </row>
    <row r="551" spans="5:7" ht="13" x14ac:dyDescent="0.3">
      <c r="E551" s="76"/>
      <c r="G551" s="74"/>
    </row>
    <row r="552" spans="5:7" ht="13" x14ac:dyDescent="0.3">
      <c r="E552" s="76"/>
      <c r="G552" s="74"/>
    </row>
    <row r="553" spans="5:7" ht="13" x14ac:dyDescent="0.3">
      <c r="E553" s="76"/>
      <c r="G553" s="74"/>
    </row>
    <row r="554" spans="5:7" ht="13" x14ac:dyDescent="0.3">
      <c r="E554" s="76"/>
      <c r="G554" s="74"/>
    </row>
    <row r="555" spans="5:7" ht="13" x14ac:dyDescent="0.3">
      <c r="E555" s="76"/>
      <c r="G555" s="74"/>
    </row>
    <row r="556" spans="5:7" ht="13" x14ac:dyDescent="0.3">
      <c r="E556" s="76"/>
      <c r="G556" s="74"/>
    </row>
    <row r="557" spans="5:7" ht="13" x14ac:dyDescent="0.3">
      <c r="E557" s="76"/>
      <c r="G557" s="74"/>
    </row>
    <row r="558" spans="5:7" ht="13" x14ac:dyDescent="0.3">
      <c r="E558" s="76"/>
      <c r="G558" s="74"/>
    </row>
    <row r="559" spans="5:7" ht="13" x14ac:dyDescent="0.3">
      <c r="E559" s="76"/>
      <c r="G559" s="74"/>
    </row>
    <row r="560" spans="5:7" ht="13" x14ac:dyDescent="0.3">
      <c r="E560" s="76"/>
      <c r="G560" s="74"/>
    </row>
    <row r="561" spans="5:7" ht="13" x14ac:dyDescent="0.3">
      <c r="E561" s="76"/>
      <c r="G561" s="74"/>
    </row>
    <row r="562" spans="5:7" ht="13" x14ac:dyDescent="0.3">
      <c r="E562" s="76"/>
      <c r="G562" s="74"/>
    </row>
    <row r="563" spans="5:7" ht="13" x14ac:dyDescent="0.3">
      <c r="E563" s="76"/>
      <c r="G563" s="74"/>
    </row>
    <row r="564" spans="5:7" ht="13" x14ac:dyDescent="0.3">
      <c r="E564" s="76"/>
      <c r="G564" s="74"/>
    </row>
    <row r="565" spans="5:7" ht="13" x14ac:dyDescent="0.3">
      <c r="E565" s="76"/>
      <c r="G565" s="74"/>
    </row>
    <row r="566" spans="5:7" ht="13" x14ac:dyDescent="0.3">
      <c r="E566" s="76"/>
      <c r="G566" s="74"/>
    </row>
    <row r="567" spans="5:7" ht="13" x14ac:dyDescent="0.3">
      <c r="E567" s="76"/>
      <c r="G567" s="74"/>
    </row>
    <row r="568" spans="5:7" ht="13" x14ac:dyDescent="0.3">
      <c r="E568" s="76"/>
      <c r="G568" s="74"/>
    </row>
    <row r="569" spans="5:7" ht="13" x14ac:dyDescent="0.3">
      <c r="E569" s="76"/>
      <c r="G569" s="74"/>
    </row>
    <row r="570" spans="5:7" ht="13" x14ac:dyDescent="0.3">
      <c r="E570" s="76"/>
      <c r="G570" s="74"/>
    </row>
    <row r="571" spans="5:7" ht="13" x14ac:dyDescent="0.3">
      <c r="E571" s="76"/>
      <c r="G571" s="74"/>
    </row>
    <row r="572" spans="5:7" ht="13" x14ac:dyDescent="0.3">
      <c r="E572" s="76"/>
      <c r="G572" s="74"/>
    </row>
    <row r="573" spans="5:7" ht="13" x14ac:dyDescent="0.3">
      <c r="E573" s="76"/>
      <c r="G573" s="74"/>
    </row>
    <row r="574" spans="5:7" ht="13" x14ac:dyDescent="0.3">
      <c r="E574" s="76"/>
      <c r="G574" s="74"/>
    </row>
    <row r="575" spans="5:7" ht="13" x14ac:dyDescent="0.3">
      <c r="E575" s="76"/>
      <c r="G575" s="74"/>
    </row>
    <row r="576" spans="5:7" ht="13" x14ac:dyDescent="0.3">
      <c r="E576" s="76"/>
      <c r="G576" s="74"/>
    </row>
    <row r="577" spans="5:7" ht="13" x14ac:dyDescent="0.3">
      <c r="E577" s="76"/>
      <c r="G577" s="74"/>
    </row>
    <row r="578" spans="5:7" ht="13" x14ac:dyDescent="0.3">
      <c r="E578" s="76"/>
      <c r="G578" s="74"/>
    </row>
    <row r="579" spans="5:7" ht="13" x14ac:dyDescent="0.3">
      <c r="E579" s="76"/>
      <c r="G579" s="74"/>
    </row>
    <row r="580" spans="5:7" ht="13" x14ac:dyDescent="0.3">
      <c r="E580" s="76"/>
      <c r="G580" s="74"/>
    </row>
    <row r="581" spans="5:7" ht="13" x14ac:dyDescent="0.3">
      <c r="E581" s="76"/>
      <c r="G581" s="74"/>
    </row>
    <row r="582" spans="5:7" ht="13" x14ac:dyDescent="0.3">
      <c r="E582" s="76"/>
      <c r="G582" s="74"/>
    </row>
    <row r="583" spans="5:7" ht="13" x14ac:dyDescent="0.3">
      <c r="E583" s="76"/>
      <c r="G583" s="74"/>
    </row>
    <row r="584" spans="5:7" ht="13" x14ac:dyDescent="0.3">
      <c r="E584" s="76"/>
      <c r="G584" s="74"/>
    </row>
    <row r="585" spans="5:7" ht="13" x14ac:dyDescent="0.3">
      <c r="E585" s="76"/>
      <c r="G585" s="74"/>
    </row>
    <row r="586" spans="5:7" ht="13" x14ac:dyDescent="0.3">
      <c r="E586" s="76"/>
      <c r="G586" s="74"/>
    </row>
    <row r="587" spans="5:7" ht="13" x14ac:dyDescent="0.3">
      <c r="E587" s="76"/>
      <c r="G587" s="74"/>
    </row>
    <row r="588" spans="5:7" ht="13" x14ac:dyDescent="0.3">
      <c r="E588" s="76"/>
      <c r="G588" s="74"/>
    </row>
    <row r="589" spans="5:7" ht="13" x14ac:dyDescent="0.3">
      <c r="E589" s="76"/>
      <c r="G589" s="74"/>
    </row>
    <row r="590" spans="5:7" ht="13" x14ac:dyDescent="0.3">
      <c r="E590" s="76"/>
      <c r="G590" s="74"/>
    </row>
    <row r="591" spans="5:7" ht="13" x14ac:dyDescent="0.3">
      <c r="E591" s="76"/>
      <c r="G591" s="74"/>
    </row>
    <row r="592" spans="5:7" ht="13" x14ac:dyDescent="0.3">
      <c r="E592" s="76"/>
      <c r="G592" s="74"/>
    </row>
    <row r="593" spans="5:7" ht="13" x14ac:dyDescent="0.3">
      <c r="E593" s="76"/>
      <c r="G593" s="74"/>
    </row>
    <row r="594" spans="5:7" ht="13" x14ac:dyDescent="0.3">
      <c r="E594" s="76"/>
      <c r="G594" s="74"/>
    </row>
    <row r="595" spans="5:7" ht="13" x14ac:dyDescent="0.3">
      <c r="E595" s="76"/>
      <c r="G595" s="74"/>
    </row>
    <row r="596" spans="5:7" ht="13" x14ac:dyDescent="0.3">
      <c r="E596" s="76"/>
      <c r="G596" s="74"/>
    </row>
    <row r="597" spans="5:7" ht="13" x14ac:dyDescent="0.3">
      <c r="E597" s="76"/>
      <c r="G597" s="74"/>
    </row>
    <row r="598" spans="5:7" ht="13" x14ac:dyDescent="0.3">
      <c r="E598" s="76"/>
      <c r="G598" s="74"/>
    </row>
    <row r="599" spans="5:7" ht="13" x14ac:dyDescent="0.3">
      <c r="E599" s="76"/>
      <c r="G599" s="74"/>
    </row>
    <row r="600" spans="5:7" ht="13" x14ac:dyDescent="0.3">
      <c r="E600" s="76"/>
      <c r="G600" s="74"/>
    </row>
    <row r="601" spans="5:7" ht="13" x14ac:dyDescent="0.3">
      <c r="E601" s="76"/>
      <c r="G601" s="74"/>
    </row>
    <row r="602" spans="5:7" ht="13" x14ac:dyDescent="0.3">
      <c r="E602" s="76"/>
      <c r="G602" s="74"/>
    </row>
    <row r="603" spans="5:7" ht="13" x14ac:dyDescent="0.3">
      <c r="E603" s="76"/>
      <c r="G603" s="74"/>
    </row>
    <row r="604" spans="5:7" ht="13" x14ac:dyDescent="0.3">
      <c r="E604" s="76"/>
      <c r="G604" s="74"/>
    </row>
    <row r="605" spans="5:7" ht="13" x14ac:dyDescent="0.3">
      <c r="E605" s="76"/>
      <c r="G605" s="74"/>
    </row>
    <row r="606" spans="5:7" ht="13" x14ac:dyDescent="0.3">
      <c r="E606" s="76"/>
      <c r="G606" s="74"/>
    </row>
    <row r="607" spans="5:7" ht="13" x14ac:dyDescent="0.3">
      <c r="E607" s="76"/>
      <c r="G607" s="74"/>
    </row>
    <row r="608" spans="5:7" ht="13" x14ac:dyDescent="0.3">
      <c r="E608" s="76"/>
      <c r="G608" s="74"/>
    </row>
    <row r="609" spans="5:7" ht="13" x14ac:dyDescent="0.3">
      <c r="E609" s="76"/>
      <c r="G609" s="74"/>
    </row>
    <row r="610" spans="5:7" ht="13" x14ac:dyDescent="0.3">
      <c r="E610" s="76"/>
      <c r="G610" s="74"/>
    </row>
    <row r="611" spans="5:7" ht="13" x14ac:dyDescent="0.3">
      <c r="E611" s="76"/>
      <c r="G611" s="74"/>
    </row>
    <row r="612" spans="5:7" ht="13" x14ac:dyDescent="0.3">
      <c r="E612" s="76"/>
      <c r="G612" s="74"/>
    </row>
    <row r="613" spans="5:7" ht="13" x14ac:dyDescent="0.3">
      <c r="E613" s="76"/>
      <c r="G613" s="74"/>
    </row>
    <row r="614" spans="5:7" ht="13" x14ac:dyDescent="0.3">
      <c r="E614" s="76"/>
      <c r="G614" s="74"/>
    </row>
    <row r="615" spans="5:7" ht="13" x14ac:dyDescent="0.3">
      <c r="E615" s="76"/>
      <c r="G615" s="74"/>
    </row>
    <row r="616" spans="5:7" ht="13" x14ac:dyDescent="0.3">
      <c r="E616" s="76"/>
      <c r="G616" s="74"/>
    </row>
    <row r="617" spans="5:7" ht="13" x14ac:dyDescent="0.3">
      <c r="E617" s="76"/>
      <c r="G617" s="74"/>
    </row>
    <row r="618" spans="5:7" ht="13" x14ac:dyDescent="0.3">
      <c r="E618" s="76"/>
      <c r="G618" s="74"/>
    </row>
    <row r="619" spans="5:7" ht="13" x14ac:dyDescent="0.3">
      <c r="E619" s="76"/>
      <c r="G619" s="74"/>
    </row>
    <row r="620" spans="5:7" ht="13" x14ac:dyDescent="0.3">
      <c r="E620" s="76"/>
      <c r="G620" s="74"/>
    </row>
    <row r="621" spans="5:7" ht="13" x14ac:dyDescent="0.3">
      <c r="E621" s="76"/>
      <c r="G621" s="74"/>
    </row>
    <row r="622" spans="5:7" ht="13" x14ac:dyDescent="0.3">
      <c r="E622" s="76"/>
      <c r="G622" s="74"/>
    </row>
    <row r="623" spans="5:7" ht="13" x14ac:dyDescent="0.3">
      <c r="E623" s="76"/>
      <c r="G623" s="74"/>
    </row>
    <row r="624" spans="5:7" ht="13" x14ac:dyDescent="0.3">
      <c r="E624" s="76"/>
      <c r="G624" s="74"/>
    </row>
    <row r="625" spans="5:7" ht="13" x14ac:dyDescent="0.3">
      <c r="E625" s="76"/>
      <c r="G625" s="74"/>
    </row>
    <row r="626" spans="5:7" ht="13" x14ac:dyDescent="0.3">
      <c r="E626" s="76"/>
      <c r="G626" s="74"/>
    </row>
    <row r="627" spans="5:7" ht="13" x14ac:dyDescent="0.3">
      <c r="E627" s="76"/>
      <c r="G627" s="74"/>
    </row>
    <row r="628" spans="5:7" ht="13" x14ac:dyDescent="0.3">
      <c r="E628" s="76"/>
      <c r="G628" s="74"/>
    </row>
    <row r="629" spans="5:7" ht="13" x14ac:dyDescent="0.3">
      <c r="E629" s="76"/>
      <c r="G629" s="74"/>
    </row>
    <row r="630" spans="5:7" ht="13" x14ac:dyDescent="0.3">
      <c r="E630" s="76"/>
      <c r="G630" s="74"/>
    </row>
    <row r="631" spans="5:7" ht="13" x14ac:dyDescent="0.3">
      <c r="E631" s="76"/>
      <c r="G631" s="74"/>
    </row>
    <row r="632" spans="5:7" ht="13" x14ac:dyDescent="0.3">
      <c r="E632" s="76"/>
      <c r="G632" s="74"/>
    </row>
    <row r="633" spans="5:7" ht="13" x14ac:dyDescent="0.3">
      <c r="E633" s="76"/>
      <c r="G633" s="74"/>
    </row>
    <row r="634" spans="5:7" ht="13" x14ac:dyDescent="0.3">
      <c r="E634" s="76"/>
      <c r="G634" s="74"/>
    </row>
    <row r="635" spans="5:7" ht="13" x14ac:dyDescent="0.3">
      <c r="E635" s="76"/>
      <c r="G635" s="74"/>
    </row>
    <row r="636" spans="5:7" ht="13" x14ac:dyDescent="0.3">
      <c r="E636" s="76"/>
      <c r="G636" s="74"/>
    </row>
    <row r="637" spans="5:7" ht="13" x14ac:dyDescent="0.3">
      <c r="E637" s="76"/>
      <c r="G637" s="74"/>
    </row>
    <row r="638" spans="5:7" ht="13" x14ac:dyDescent="0.3">
      <c r="E638" s="76"/>
      <c r="G638" s="74"/>
    </row>
    <row r="639" spans="5:7" ht="13" x14ac:dyDescent="0.3">
      <c r="E639" s="76"/>
      <c r="G639" s="74"/>
    </row>
    <row r="640" spans="5:7" ht="13" x14ac:dyDescent="0.3">
      <c r="E640" s="76"/>
      <c r="G640" s="74"/>
    </row>
    <row r="641" spans="5:7" ht="13" x14ac:dyDescent="0.3">
      <c r="E641" s="76"/>
      <c r="G641" s="74"/>
    </row>
    <row r="642" spans="5:7" ht="13" x14ac:dyDescent="0.3">
      <c r="E642" s="76"/>
      <c r="G642" s="74"/>
    </row>
    <row r="643" spans="5:7" ht="13" x14ac:dyDescent="0.3">
      <c r="E643" s="76"/>
      <c r="G643" s="74"/>
    </row>
    <row r="644" spans="5:7" ht="13" x14ac:dyDescent="0.3">
      <c r="E644" s="76"/>
      <c r="G644" s="74"/>
    </row>
    <row r="645" spans="5:7" ht="13" x14ac:dyDescent="0.3">
      <c r="E645" s="76"/>
      <c r="G645" s="74"/>
    </row>
    <row r="646" spans="5:7" ht="13" x14ac:dyDescent="0.3">
      <c r="E646" s="76"/>
      <c r="G646" s="74"/>
    </row>
    <row r="647" spans="5:7" ht="13" x14ac:dyDescent="0.3">
      <c r="E647" s="76"/>
      <c r="G647" s="74"/>
    </row>
    <row r="648" spans="5:7" ht="13" x14ac:dyDescent="0.3">
      <c r="E648" s="76"/>
      <c r="G648" s="74"/>
    </row>
    <row r="649" spans="5:7" ht="13" x14ac:dyDescent="0.3">
      <c r="E649" s="76"/>
      <c r="G649" s="74"/>
    </row>
    <row r="650" spans="5:7" ht="13" x14ac:dyDescent="0.3">
      <c r="E650" s="76"/>
      <c r="G650" s="74"/>
    </row>
    <row r="651" spans="5:7" ht="13" x14ac:dyDescent="0.3">
      <c r="E651" s="76"/>
      <c r="G651" s="74"/>
    </row>
    <row r="652" spans="5:7" ht="13" x14ac:dyDescent="0.3">
      <c r="E652" s="76"/>
      <c r="G652" s="74"/>
    </row>
    <row r="653" spans="5:7" ht="13" x14ac:dyDescent="0.3">
      <c r="E653" s="76"/>
      <c r="G653" s="74"/>
    </row>
    <row r="654" spans="5:7" ht="13" x14ac:dyDescent="0.3">
      <c r="E654" s="76"/>
      <c r="G654" s="74"/>
    </row>
    <row r="655" spans="5:7" ht="13" x14ac:dyDescent="0.3">
      <c r="E655" s="76"/>
      <c r="G655" s="74"/>
    </row>
    <row r="656" spans="5:7" ht="13" x14ac:dyDescent="0.3">
      <c r="E656" s="76"/>
      <c r="G656" s="74"/>
    </row>
    <row r="657" spans="5:7" ht="13" x14ac:dyDescent="0.3">
      <c r="E657" s="76"/>
      <c r="G657" s="74"/>
    </row>
    <row r="658" spans="5:7" ht="13" x14ac:dyDescent="0.3">
      <c r="E658" s="76"/>
      <c r="G658" s="74"/>
    </row>
    <row r="659" spans="5:7" ht="13" x14ac:dyDescent="0.3">
      <c r="E659" s="76"/>
      <c r="G659" s="74"/>
    </row>
    <row r="660" spans="5:7" ht="13" x14ac:dyDescent="0.3">
      <c r="E660" s="76"/>
      <c r="G660" s="74"/>
    </row>
    <row r="661" spans="5:7" ht="13" x14ac:dyDescent="0.3">
      <c r="E661" s="76"/>
      <c r="G661" s="74"/>
    </row>
    <row r="662" spans="5:7" ht="13" x14ac:dyDescent="0.3">
      <c r="E662" s="76"/>
      <c r="G662" s="74"/>
    </row>
    <row r="663" spans="5:7" ht="13" x14ac:dyDescent="0.3">
      <c r="E663" s="76"/>
      <c r="G663" s="74"/>
    </row>
    <row r="664" spans="5:7" ht="13" x14ac:dyDescent="0.3">
      <c r="E664" s="76"/>
      <c r="G664" s="74"/>
    </row>
    <row r="665" spans="5:7" ht="13" x14ac:dyDescent="0.3">
      <c r="E665" s="76"/>
      <c r="G665" s="74"/>
    </row>
    <row r="666" spans="5:7" ht="13" x14ac:dyDescent="0.3">
      <c r="E666" s="76"/>
      <c r="G666" s="74"/>
    </row>
    <row r="667" spans="5:7" ht="13" x14ac:dyDescent="0.3">
      <c r="E667" s="76"/>
      <c r="G667" s="74"/>
    </row>
    <row r="668" spans="5:7" ht="13" x14ac:dyDescent="0.3">
      <c r="E668" s="76"/>
      <c r="G668" s="74"/>
    </row>
    <row r="669" spans="5:7" ht="13" x14ac:dyDescent="0.3">
      <c r="E669" s="76"/>
      <c r="G669" s="74"/>
    </row>
    <row r="670" spans="5:7" ht="13" x14ac:dyDescent="0.3">
      <c r="E670" s="76"/>
      <c r="G670" s="74"/>
    </row>
    <row r="671" spans="5:7" ht="13" x14ac:dyDescent="0.3">
      <c r="E671" s="76"/>
      <c r="G671" s="74"/>
    </row>
    <row r="672" spans="5:7" ht="13" x14ac:dyDescent="0.3">
      <c r="E672" s="76"/>
      <c r="G672" s="74"/>
    </row>
    <row r="673" spans="5:7" ht="13" x14ac:dyDescent="0.3">
      <c r="E673" s="76"/>
      <c r="G673" s="74"/>
    </row>
    <row r="674" spans="5:7" ht="13" x14ac:dyDescent="0.3">
      <c r="E674" s="76"/>
      <c r="G674" s="74"/>
    </row>
    <row r="675" spans="5:7" ht="13" x14ac:dyDescent="0.3">
      <c r="E675" s="76"/>
      <c r="G675" s="74"/>
    </row>
    <row r="676" spans="5:7" ht="13" x14ac:dyDescent="0.3">
      <c r="E676" s="76"/>
      <c r="G676" s="74"/>
    </row>
    <row r="677" spans="5:7" ht="13" x14ac:dyDescent="0.3">
      <c r="E677" s="76"/>
      <c r="G677" s="74"/>
    </row>
    <row r="678" spans="5:7" ht="13" x14ac:dyDescent="0.3">
      <c r="E678" s="76"/>
      <c r="G678" s="74"/>
    </row>
    <row r="679" spans="5:7" ht="13" x14ac:dyDescent="0.3">
      <c r="E679" s="76"/>
      <c r="G679" s="74"/>
    </row>
    <row r="680" spans="5:7" ht="13" x14ac:dyDescent="0.3">
      <c r="E680" s="76"/>
      <c r="G680" s="74"/>
    </row>
    <row r="681" spans="5:7" ht="13" x14ac:dyDescent="0.3">
      <c r="E681" s="76"/>
      <c r="G681" s="74"/>
    </row>
    <row r="682" spans="5:7" ht="13" x14ac:dyDescent="0.3">
      <c r="E682" s="76"/>
      <c r="G682" s="74"/>
    </row>
    <row r="683" spans="5:7" ht="13" x14ac:dyDescent="0.3">
      <c r="E683" s="76"/>
      <c r="G683" s="74"/>
    </row>
    <row r="684" spans="5:7" ht="13" x14ac:dyDescent="0.3">
      <c r="E684" s="76"/>
      <c r="G684" s="74"/>
    </row>
    <row r="685" spans="5:7" ht="13" x14ac:dyDescent="0.3">
      <c r="E685" s="76"/>
      <c r="G685" s="74"/>
    </row>
    <row r="686" spans="5:7" ht="13" x14ac:dyDescent="0.3">
      <c r="E686" s="76"/>
      <c r="G686" s="74"/>
    </row>
    <row r="687" spans="5:7" ht="13" x14ac:dyDescent="0.3">
      <c r="E687" s="76"/>
      <c r="G687" s="74"/>
    </row>
    <row r="688" spans="5:7" ht="13" x14ac:dyDescent="0.3">
      <c r="E688" s="76"/>
      <c r="G688" s="74"/>
    </row>
    <row r="689" spans="5:7" ht="13" x14ac:dyDescent="0.3">
      <c r="E689" s="76"/>
      <c r="G689" s="74"/>
    </row>
    <row r="690" spans="5:7" ht="13" x14ac:dyDescent="0.3">
      <c r="E690" s="76"/>
      <c r="G690" s="74"/>
    </row>
    <row r="691" spans="5:7" ht="13" x14ac:dyDescent="0.3">
      <c r="E691" s="76"/>
      <c r="G691" s="74"/>
    </row>
    <row r="692" spans="5:7" ht="13" x14ac:dyDescent="0.3">
      <c r="E692" s="76"/>
      <c r="G692" s="74"/>
    </row>
    <row r="693" spans="5:7" ht="13" x14ac:dyDescent="0.3">
      <c r="E693" s="76"/>
      <c r="G693" s="74"/>
    </row>
    <row r="694" spans="5:7" ht="13" x14ac:dyDescent="0.3">
      <c r="E694" s="76"/>
      <c r="G694" s="74"/>
    </row>
    <row r="695" spans="5:7" ht="13" x14ac:dyDescent="0.3">
      <c r="E695" s="76"/>
      <c r="G695" s="74"/>
    </row>
    <row r="696" spans="5:7" ht="13" x14ac:dyDescent="0.3">
      <c r="E696" s="76"/>
      <c r="G696" s="74"/>
    </row>
    <row r="697" spans="5:7" ht="13" x14ac:dyDescent="0.3">
      <c r="E697" s="76"/>
      <c r="G697" s="74"/>
    </row>
    <row r="698" spans="5:7" ht="13" x14ac:dyDescent="0.3">
      <c r="E698" s="76"/>
      <c r="G698" s="74"/>
    </row>
    <row r="699" spans="5:7" ht="13" x14ac:dyDescent="0.3">
      <c r="E699" s="76"/>
      <c r="G699" s="74"/>
    </row>
    <row r="700" spans="5:7" ht="13" x14ac:dyDescent="0.3">
      <c r="E700" s="76"/>
      <c r="G700" s="74"/>
    </row>
    <row r="701" spans="5:7" ht="13" x14ac:dyDescent="0.3">
      <c r="E701" s="76"/>
      <c r="G701" s="74"/>
    </row>
    <row r="702" spans="5:7" ht="13" x14ac:dyDescent="0.3">
      <c r="E702" s="76"/>
      <c r="G702" s="74"/>
    </row>
    <row r="703" spans="5:7" ht="13" x14ac:dyDescent="0.3">
      <c r="E703" s="76"/>
      <c r="G703" s="74"/>
    </row>
    <row r="704" spans="5:7" ht="13" x14ac:dyDescent="0.3">
      <c r="E704" s="76"/>
      <c r="G704" s="74"/>
    </row>
    <row r="705" spans="5:7" ht="13" x14ac:dyDescent="0.3">
      <c r="E705" s="76"/>
      <c r="G705" s="74"/>
    </row>
    <row r="706" spans="5:7" ht="13" x14ac:dyDescent="0.3">
      <c r="E706" s="76"/>
      <c r="G706" s="74"/>
    </row>
    <row r="707" spans="5:7" ht="13" x14ac:dyDescent="0.3">
      <c r="E707" s="76"/>
      <c r="G707" s="74"/>
    </row>
    <row r="708" spans="5:7" ht="13" x14ac:dyDescent="0.3">
      <c r="E708" s="76"/>
      <c r="G708" s="74"/>
    </row>
    <row r="709" spans="5:7" ht="13" x14ac:dyDescent="0.3">
      <c r="E709" s="76"/>
      <c r="G709" s="74"/>
    </row>
    <row r="710" spans="5:7" ht="13" x14ac:dyDescent="0.3">
      <c r="E710" s="76"/>
      <c r="G710" s="74"/>
    </row>
    <row r="711" spans="5:7" ht="13" x14ac:dyDescent="0.3">
      <c r="E711" s="76"/>
      <c r="G711" s="74"/>
    </row>
    <row r="712" spans="5:7" ht="13" x14ac:dyDescent="0.3">
      <c r="E712" s="76"/>
      <c r="G712" s="74"/>
    </row>
    <row r="713" spans="5:7" ht="13" x14ac:dyDescent="0.3">
      <c r="E713" s="76"/>
      <c r="G713" s="74"/>
    </row>
    <row r="714" spans="5:7" ht="13" x14ac:dyDescent="0.3">
      <c r="E714" s="76"/>
      <c r="G714" s="74"/>
    </row>
    <row r="715" spans="5:7" ht="13" x14ac:dyDescent="0.3">
      <c r="E715" s="76"/>
      <c r="G715" s="74"/>
    </row>
    <row r="716" spans="5:7" ht="13" x14ac:dyDescent="0.3">
      <c r="E716" s="76"/>
      <c r="G716" s="74"/>
    </row>
    <row r="717" spans="5:7" ht="13" x14ac:dyDescent="0.3">
      <c r="E717" s="76"/>
      <c r="G717" s="74"/>
    </row>
    <row r="718" spans="5:7" ht="13" x14ac:dyDescent="0.3">
      <c r="E718" s="76"/>
      <c r="G718" s="74"/>
    </row>
    <row r="719" spans="5:7" ht="13" x14ac:dyDescent="0.3">
      <c r="E719" s="76"/>
      <c r="G719" s="74"/>
    </row>
    <row r="720" spans="5:7" ht="13" x14ac:dyDescent="0.3">
      <c r="E720" s="76"/>
      <c r="G720" s="74"/>
    </row>
    <row r="721" spans="5:7" ht="13" x14ac:dyDescent="0.3">
      <c r="E721" s="76"/>
      <c r="G721" s="74"/>
    </row>
    <row r="722" spans="5:7" ht="13" x14ac:dyDescent="0.3">
      <c r="E722" s="76"/>
      <c r="G722" s="74"/>
    </row>
    <row r="723" spans="5:7" ht="13" x14ac:dyDescent="0.3">
      <c r="E723" s="76"/>
      <c r="G723" s="74"/>
    </row>
    <row r="724" spans="5:7" ht="13" x14ac:dyDescent="0.3">
      <c r="E724" s="76"/>
      <c r="G724" s="74"/>
    </row>
    <row r="725" spans="5:7" ht="13" x14ac:dyDescent="0.3">
      <c r="E725" s="76"/>
      <c r="G725" s="74"/>
    </row>
    <row r="726" spans="5:7" ht="13" x14ac:dyDescent="0.3">
      <c r="E726" s="76"/>
      <c r="G726" s="74"/>
    </row>
    <row r="727" spans="5:7" ht="13" x14ac:dyDescent="0.3">
      <c r="E727" s="76"/>
      <c r="G727" s="74"/>
    </row>
    <row r="728" spans="5:7" ht="13" x14ac:dyDescent="0.3">
      <c r="E728" s="76"/>
      <c r="G728" s="74"/>
    </row>
    <row r="729" spans="5:7" ht="13" x14ac:dyDescent="0.3">
      <c r="E729" s="76"/>
      <c r="G729" s="74"/>
    </row>
    <row r="730" spans="5:7" ht="13" x14ac:dyDescent="0.3">
      <c r="E730" s="76"/>
      <c r="G730" s="74"/>
    </row>
    <row r="731" spans="5:7" ht="13" x14ac:dyDescent="0.3">
      <c r="E731" s="76"/>
      <c r="G731" s="74"/>
    </row>
    <row r="732" spans="5:7" ht="13" x14ac:dyDescent="0.3">
      <c r="E732" s="76"/>
      <c r="G732" s="74"/>
    </row>
    <row r="733" spans="5:7" ht="13" x14ac:dyDescent="0.3">
      <c r="E733" s="76"/>
      <c r="G733" s="74"/>
    </row>
    <row r="734" spans="5:7" ht="13" x14ac:dyDescent="0.3">
      <c r="E734" s="76"/>
      <c r="G734" s="74"/>
    </row>
    <row r="735" spans="5:7" ht="13" x14ac:dyDescent="0.3">
      <c r="E735" s="76"/>
      <c r="G735" s="74"/>
    </row>
    <row r="736" spans="5:7" ht="13" x14ac:dyDescent="0.3">
      <c r="E736" s="76"/>
      <c r="G736" s="74"/>
    </row>
    <row r="737" spans="5:7" ht="13" x14ac:dyDescent="0.3">
      <c r="E737" s="76"/>
      <c r="G737" s="74"/>
    </row>
    <row r="738" spans="5:7" ht="13" x14ac:dyDescent="0.3">
      <c r="E738" s="76"/>
      <c r="G738" s="74"/>
    </row>
    <row r="739" spans="5:7" ht="13" x14ac:dyDescent="0.3">
      <c r="E739" s="76"/>
      <c r="G739" s="74"/>
    </row>
    <row r="740" spans="5:7" ht="13" x14ac:dyDescent="0.3">
      <c r="E740" s="76"/>
      <c r="G740" s="74"/>
    </row>
    <row r="741" spans="5:7" ht="13" x14ac:dyDescent="0.3">
      <c r="E741" s="76"/>
      <c r="G741" s="74"/>
    </row>
    <row r="742" spans="5:7" ht="13" x14ac:dyDescent="0.3">
      <c r="E742" s="76"/>
      <c r="G742" s="74"/>
    </row>
    <row r="743" spans="5:7" ht="13" x14ac:dyDescent="0.3">
      <c r="E743" s="76"/>
      <c r="G743" s="74"/>
    </row>
    <row r="744" spans="5:7" ht="13" x14ac:dyDescent="0.3">
      <c r="E744" s="76"/>
      <c r="G744" s="74"/>
    </row>
    <row r="745" spans="5:7" ht="13" x14ac:dyDescent="0.3">
      <c r="E745" s="76"/>
      <c r="G745" s="74"/>
    </row>
    <row r="746" spans="5:7" ht="13" x14ac:dyDescent="0.3">
      <c r="E746" s="76"/>
      <c r="G746" s="74"/>
    </row>
    <row r="747" spans="5:7" ht="13" x14ac:dyDescent="0.3">
      <c r="E747" s="76"/>
      <c r="G747" s="74"/>
    </row>
    <row r="748" spans="5:7" ht="13" x14ac:dyDescent="0.3">
      <c r="E748" s="76"/>
      <c r="G748" s="74"/>
    </row>
    <row r="749" spans="5:7" ht="13" x14ac:dyDescent="0.3">
      <c r="E749" s="76"/>
      <c r="G749" s="74"/>
    </row>
    <row r="750" spans="5:7" ht="13" x14ac:dyDescent="0.3">
      <c r="E750" s="76"/>
      <c r="G750" s="74"/>
    </row>
    <row r="751" spans="5:7" ht="13" x14ac:dyDescent="0.3">
      <c r="E751" s="76"/>
      <c r="G751" s="74"/>
    </row>
    <row r="752" spans="5:7" ht="13" x14ac:dyDescent="0.3">
      <c r="E752" s="76"/>
      <c r="G752" s="74"/>
    </row>
    <row r="753" spans="5:7" ht="13" x14ac:dyDescent="0.3">
      <c r="E753" s="76"/>
      <c r="G753" s="74"/>
    </row>
    <row r="754" spans="5:7" ht="13" x14ac:dyDescent="0.3">
      <c r="E754" s="76"/>
      <c r="G754" s="74"/>
    </row>
    <row r="755" spans="5:7" ht="13" x14ac:dyDescent="0.3">
      <c r="E755" s="76"/>
      <c r="G755" s="74"/>
    </row>
    <row r="756" spans="5:7" ht="13" x14ac:dyDescent="0.3">
      <c r="E756" s="76"/>
      <c r="G756" s="74"/>
    </row>
    <row r="757" spans="5:7" ht="13" x14ac:dyDescent="0.3">
      <c r="E757" s="76"/>
      <c r="G757" s="74"/>
    </row>
    <row r="758" spans="5:7" ht="13" x14ac:dyDescent="0.3">
      <c r="E758" s="76"/>
      <c r="G758" s="74"/>
    </row>
    <row r="759" spans="5:7" ht="13" x14ac:dyDescent="0.3">
      <c r="E759" s="76"/>
      <c r="G759" s="74"/>
    </row>
    <row r="760" spans="5:7" ht="13" x14ac:dyDescent="0.3">
      <c r="E760" s="76"/>
      <c r="G760" s="74"/>
    </row>
    <row r="761" spans="5:7" ht="13" x14ac:dyDescent="0.3">
      <c r="E761" s="76"/>
      <c r="G761" s="74"/>
    </row>
    <row r="762" spans="5:7" ht="13" x14ac:dyDescent="0.3">
      <c r="E762" s="76"/>
      <c r="G762" s="74"/>
    </row>
    <row r="763" spans="5:7" ht="13" x14ac:dyDescent="0.3">
      <c r="E763" s="76"/>
      <c r="G763" s="74"/>
    </row>
    <row r="764" spans="5:7" ht="13" x14ac:dyDescent="0.3">
      <c r="E764" s="76"/>
      <c r="G764" s="74"/>
    </row>
    <row r="765" spans="5:7" ht="13" x14ac:dyDescent="0.3">
      <c r="E765" s="76"/>
      <c r="G765" s="74"/>
    </row>
    <row r="766" spans="5:7" ht="13" x14ac:dyDescent="0.3">
      <c r="E766" s="76"/>
      <c r="G766" s="74"/>
    </row>
    <row r="767" spans="5:7" ht="13" x14ac:dyDescent="0.3">
      <c r="E767" s="76"/>
      <c r="G767" s="74"/>
    </row>
    <row r="768" spans="5:7" ht="13" x14ac:dyDescent="0.3">
      <c r="E768" s="76"/>
      <c r="G768" s="74"/>
    </row>
    <row r="769" spans="5:7" ht="13" x14ac:dyDescent="0.3">
      <c r="E769" s="76"/>
      <c r="G769" s="74"/>
    </row>
    <row r="770" spans="5:7" ht="13" x14ac:dyDescent="0.3">
      <c r="E770" s="76"/>
      <c r="G770" s="74"/>
    </row>
    <row r="771" spans="5:7" ht="13" x14ac:dyDescent="0.3">
      <c r="E771" s="76"/>
      <c r="G771" s="74"/>
    </row>
    <row r="772" spans="5:7" ht="13" x14ac:dyDescent="0.3">
      <c r="E772" s="76"/>
      <c r="G772" s="74"/>
    </row>
    <row r="773" spans="5:7" ht="13" x14ac:dyDescent="0.3">
      <c r="E773" s="76"/>
      <c r="G773" s="74"/>
    </row>
    <row r="774" spans="5:7" ht="13" x14ac:dyDescent="0.3">
      <c r="E774" s="76"/>
      <c r="G774" s="74"/>
    </row>
    <row r="775" spans="5:7" ht="13" x14ac:dyDescent="0.3">
      <c r="E775" s="76"/>
      <c r="G775" s="74"/>
    </row>
    <row r="776" spans="5:7" ht="13" x14ac:dyDescent="0.3">
      <c r="E776" s="76"/>
      <c r="G776" s="74"/>
    </row>
    <row r="777" spans="5:7" ht="13" x14ac:dyDescent="0.3">
      <c r="E777" s="76"/>
      <c r="G777" s="74"/>
    </row>
    <row r="778" spans="5:7" ht="13" x14ac:dyDescent="0.3">
      <c r="E778" s="76"/>
      <c r="G778" s="74"/>
    </row>
    <row r="779" spans="5:7" ht="13" x14ac:dyDescent="0.3">
      <c r="E779" s="76"/>
      <c r="G779" s="74"/>
    </row>
    <row r="780" spans="5:7" ht="13" x14ac:dyDescent="0.3">
      <c r="E780" s="76"/>
      <c r="G780" s="74"/>
    </row>
    <row r="781" spans="5:7" ht="13" x14ac:dyDescent="0.3">
      <c r="E781" s="76"/>
      <c r="G781" s="74"/>
    </row>
    <row r="782" spans="5:7" ht="13" x14ac:dyDescent="0.3">
      <c r="E782" s="76"/>
      <c r="G782" s="74"/>
    </row>
    <row r="783" spans="5:7" ht="13" x14ac:dyDescent="0.3">
      <c r="E783" s="76"/>
      <c r="G783" s="74"/>
    </row>
    <row r="784" spans="5:7" ht="13" x14ac:dyDescent="0.3">
      <c r="E784" s="76"/>
      <c r="G784" s="74"/>
    </row>
    <row r="785" spans="5:7" ht="13" x14ac:dyDescent="0.3">
      <c r="E785" s="76"/>
      <c r="G785" s="74"/>
    </row>
    <row r="786" spans="5:7" ht="13" x14ac:dyDescent="0.3">
      <c r="E786" s="76"/>
      <c r="G786" s="74"/>
    </row>
    <row r="787" spans="5:7" ht="13" x14ac:dyDescent="0.3">
      <c r="E787" s="76"/>
      <c r="G787" s="74"/>
    </row>
    <row r="788" spans="5:7" ht="13" x14ac:dyDescent="0.3">
      <c r="E788" s="76"/>
      <c r="G788" s="74"/>
    </row>
    <row r="789" spans="5:7" ht="13" x14ac:dyDescent="0.3">
      <c r="E789" s="76"/>
      <c r="G789" s="74"/>
    </row>
    <row r="790" spans="5:7" ht="13" x14ac:dyDescent="0.3">
      <c r="E790" s="76"/>
      <c r="G790" s="74"/>
    </row>
    <row r="791" spans="5:7" ht="13" x14ac:dyDescent="0.3">
      <c r="E791" s="76"/>
      <c r="G791" s="74"/>
    </row>
    <row r="792" spans="5:7" ht="13" x14ac:dyDescent="0.3">
      <c r="E792" s="76"/>
      <c r="G792" s="74"/>
    </row>
    <row r="793" spans="5:7" ht="13" x14ac:dyDescent="0.3">
      <c r="E793" s="76"/>
      <c r="G793" s="74"/>
    </row>
    <row r="794" spans="5:7" ht="13" x14ac:dyDescent="0.3">
      <c r="E794" s="76"/>
      <c r="G794" s="74"/>
    </row>
    <row r="795" spans="5:7" ht="13" x14ac:dyDescent="0.3">
      <c r="E795" s="76"/>
      <c r="G795" s="74"/>
    </row>
    <row r="796" spans="5:7" ht="13" x14ac:dyDescent="0.3">
      <c r="E796" s="76"/>
      <c r="G796" s="74"/>
    </row>
    <row r="797" spans="5:7" ht="13" x14ac:dyDescent="0.3">
      <c r="E797" s="76"/>
      <c r="G797" s="74"/>
    </row>
    <row r="798" spans="5:7" ht="13" x14ac:dyDescent="0.3">
      <c r="E798" s="76"/>
      <c r="G798" s="74"/>
    </row>
    <row r="799" spans="5:7" ht="13" x14ac:dyDescent="0.3">
      <c r="E799" s="76"/>
      <c r="G799" s="74"/>
    </row>
    <row r="800" spans="5:7" ht="13" x14ac:dyDescent="0.3">
      <c r="E800" s="76"/>
      <c r="G800" s="74"/>
    </row>
    <row r="801" spans="5:7" ht="13" x14ac:dyDescent="0.3">
      <c r="E801" s="76"/>
      <c r="G801" s="74"/>
    </row>
    <row r="802" spans="5:7" ht="13" x14ac:dyDescent="0.3">
      <c r="E802" s="76"/>
      <c r="G802" s="74"/>
    </row>
    <row r="803" spans="5:7" ht="13" x14ac:dyDescent="0.3">
      <c r="E803" s="76"/>
      <c r="G803" s="74"/>
    </row>
    <row r="804" spans="5:7" ht="13" x14ac:dyDescent="0.3">
      <c r="E804" s="76"/>
      <c r="G804" s="74"/>
    </row>
    <row r="805" spans="5:7" ht="13" x14ac:dyDescent="0.3">
      <c r="E805" s="76"/>
      <c r="G805" s="74"/>
    </row>
    <row r="806" spans="5:7" ht="13" x14ac:dyDescent="0.3">
      <c r="E806" s="76"/>
      <c r="G806" s="74"/>
    </row>
    <row r="807" spans="5:7" ht="13" x14ac:dyDescent="0.3">
      <c r="E807" s="76"/>
      <c r="G807" s="74"/>
    </row>
    <row r="808" spans="5:7" ht="13" x14ac:dyDescent="0.3">
      <c r="E808" s="76"/>
      <c r="G808" s="74"/>
    </row>
    <row r="809" spans="5:7" ht="13" x14ac:dyDescent="0.3">
      <c r="E809" s="76"/>
      <c r="G809" s="74"/>
    </row>
    <row r="810" spans="5:7" ht="13" x14ac:dyDescent="0.3">
      <c r="E810" s="76"/>
      <c r="G810" s="74"/>
    </row>
    <row r="811" spans="5:7" ht="13" x14ac:dyDescent="0.3">
      <c r="E811" s="76"/>
      <c r="G811" s="74"/>
    </row>
    <row r="812" spans="5:7" ht="13" x14ac:dyDescent="0.3">
      <c r="E812" s="76"/>
      <c r="G812" s="74"/>
    </row>
    <row r="813" spans="5:7" ht="13" x14ac:dyDescent="0.3">
      <c r="E813" s="76"/>
      <c r="G813" s="74"/>
    </row>
    <row r="814" spans="5:7" ht="13" x14ac:dyDescent="0.3">
      <c r="E814" s="76"/>
      <c r="G814" s="74"/>
    </row>
    <row r="815" spans="5:7" ht="13" x14ac:dyDescent="0.3">
      <c r="E815" s="76"/>
      <c r="G815" s="74"/>
    </row>
    <row r="816" spans="5:7" ht="13" x14ac:dyDescent="0.3">
      <c r="E816" s="76"/>
      <c r="G816" s="74"/>
    </row>
    <row r="817" spans="5:7" ht="13" x14ac:dyDescent="0.3">
      <c r="E817" s="76"/>
      <c r="G817" s="74"/>
    </row>
    <row r="818" spans="5:7" ht="13" x14ac:dyDescent="0.3">
      <c r="E818" s="76"/>
      <c r="G818" s="74"/>
    </row>
    <row r="819" spans="5:7" ht="13" x14ac:dyDescent="0.3">
      <c r="E819" s="76"/>
      <c r="G819" s="74"/>
    </row>
    <row r="820" spans="5:7" ht="13" x14ac:dyDescent="0.3">
      <c r="E820" s="76"/>
      <c r="G820" s="74"/>
    </row>
    <row r="821" spans="5:7" ht="13" x14ac:dyDescent="0.3">
      <c r="E821" s="76"/>
      <c r="G821" s="74"/>
    </row>
    <row r="822" spans="5:7" ht="13" x14ac:dyDescent="0.3">
      <c r="E822" s="76"/>
      <c r="G822" s="74"/>
    </row>
    <row r="823" spans="5:7" ht="13" x14ac:dyDescent="0.3">
      <c r="E823" s="76"/>
      <c r="G823" s="74"/>
    </row>
    <row r="824" spans="5:7" ht="13" x14ac:dyDescent="0.3">
      <c r="E824" s="76"/>
      <c r="G824" s="74"/>
    </row>
    <row r="825" spans="5:7" ht="13" x14ac:dyDescent="0.3">
      <c r="E825" s="76"/>
      <c r="G825" s="74"/>
    </row>
    <row r="826" spans="5:7" ht="13" x14ac:dyDescent="0.3">
      <c r="E826" s="76"/>
      <c r="G826" s="74"/>
    </row>
    <row r="827" spans="5:7" ht="13" x14ac:dyDescent="0.3">
      <c r="E827" s="76"/>
      <c r="G827" s="74"/>
    </row>
    <row r="828" spans="5:7" ht="13" x14ac:dyDescent="0.3">
      <c r="E828" s="76"/>
      <c r="G828" s="74"/>
    </row>
    <row r="829" spans="5:7" ht="13" x14ac:dyDescent="0.3">
      <c r="E829" s="76"/>
      <c r="G829" s="74"/>
    </row>
    <row r="830" spans="5:7" ht="13" x14ac:dyDescent="0.3">
      <c r="E830" s="76"/>
      <c r="G830" s="74"/>
    </row>
    <row r="831" spans="5:7" ht="13" x14ac:dyDescent="0.3">
      <c r="E831" s="76"/>
      <c r="G831" s="74"/>
    </row>
    <row r="832" spans="5:7" ht="13" x14ac:dyDescent="0.3">
      <c r="E832" s="76"/>
      <c r="G832" s="74"/>
    </row>
    <row r="833" spans="5:7" ht="13" x14ac:dyDescent="0.3">
      <c r="E833" s="76"/>
      <c r="G833" s="74"/>
    </row>
    <row r="834" spans="5:7" ht="13" x14ac:dyDescent="0.3">
      <c r="E834" s="76"/>
      <c r="G834" s="74"/>
    </row>
    <row r="835" spans="5:7" ht="13" x14ac:dyDescent="0.3">
      <c r="E835" s="76"/>
      <c r="G835" s="74"/>
    </row>
    <row r="836" spans="5:7" ht="13" x14ac:dyDescent="0.3">
      <c r="E836" s="76"/>
      <c r="G836" s="74"/>
    </row>
    <row r="837" spans="5:7" ht="13" x14ac:dyDescent="0.3">
      <c r="E837" s="76"/>
      <c r="G837" s="74"/>
    </row>
    <row r="838" spans="5:7" ht="13" x14ac:dyDescent="0.3">
      <c r="E838" s="76"/>
      <c r="G838" s="74"/>
    </row>
    <row r="839" spans="5:7" ht="13" x14ac:dyDescent="0.3">
      <c r="E839" s="76"/>
      <c r="G839" s="74"/>
    </row>
    <row r="840" spans="5:7" ht="13" x14ac:dyDescent="0.3">
      <c r="E840" s="76"/>
      <c r="G840" s="74"/>
    </row>
    <row r="841" spans="5:7" ht="13" x14ac:dyDescent="0.3">
      <c r="E841" s="76"/>
      <c r="G841" s="74"/>
    </row>
    <row r="842" spans="5:7" ht="13" x14ac:dyDescent="0.3">
      <c r="E842" s="76"/>
      <c r="G842" s="74"/>
    </row>
    <row r="843" spans="5:7" ht="13" x14ac:dyDescent="0.3">
      <c r="E843" s="76"/>
      <c r="G843" s="74"/>
    </row>
    <row r="844" spans="5:7" ht="13" x14ac:dyDescent="0.3">
      <c r="E844" s="76"/>
      <c r="G844" s="74"/>
    </row>
    <row r="845" spans="5:7" ht="13" x14ac:dyDescent="0.3">
      <c r="E845" s="76"/>
      <c r="G845" s="74"/>
    </row>
    <row r="846" spans="5:7" ht="13" x14ac:dyDescent="0.3">
      <c r="E846" s="76"/>
      <c r="G846" s="74"/>
    </row>
    <row r="847" spans="5:7" ht="13" x14ac:dyDescent="0.3">
      <c r="E847" s="76"/>
      <c r="G847" s="74"/>
    </row>
    <row r="848" spans="5:7" ht="13" x14ac:dyDescent="0.3">
      <c r="E848" s="76"/>
      <c r="G848" s="74"/>
    </row>
    <row r="849" spans="5:7" ht="13" x14ac:dyDescent="0.3">
      <c r="E849" s="76"/>
      <c r="G849" s="74"/>
    </row>
    <row r="850" spans="5:7" ht="13" x14ac:dyDescent="0.3">
      <c r="E850" s="76"/>
      <c r="G850" s="74"/>
    </row>
    <row r="851" spans="5:7" ht="13" x14ac:dyDescent="0.3">
      <c r="E851" s="76"/>
      <c r="G851" s="74"/>
    </row>
    <row r="852" spans="5:7" ht="13" x14ac:dyDescent="0.3">
      <c r="E852" s="76"/>
      <c r="G852" s="74"/>
    </row>
    <row r="853" spans="5:7" ht="13" x14ac:dyDescent="0.3">
      <c r="E853" s="76"/>
      <c r="G853" s="74"/>
    </row>
    <row r="854" spans="5:7" ht="13" x14ac:dyDescent="0.3">
      <c r="E854" s="76"/>
      <c r="G854" s="74"/>
    </row>
    <row r="855" spans="5:7" ht="13" x14ac:dyDescent="0.3">
      <c r="E855" s="76"/>
      <c r="G855" s="74"/>
    </row>
    <row r="856" spans="5:7" ht="13" x14ac:dyDescent="0.3">
      <c r="E856" s="76"/>
      <c r="G856" s="74"/>
    </row>
    <row r="857" spans="5:7" ht="13" x14ac:dyDescent="0.3">
      <c r="E857" s="76"/>
      <c r="G857" s="74"/>
    </row>
    <row r="858" spans="5:7" ht="13" x14ac:dyDescent="0.3">
      <c r="E858" s="76"/>
      <c r="G858" s="74"/>
    </row>
    <row r="859" spans="5:7" ht="13" x14ac:dyDescent="0.3">
      <c r="E859" s="76"/>
      <c r="G859" s="74"/>
    </row>
    <row r="860" spans="5:7" ht="13" x14ac:dyDescent="0.3">
      <c r="E860" s="76"/>
      <c r="G860" s="74"/>
    </row>
    <row r="861" spans="5:7" ht="13" x14ac:dyDescent="0.3">
      <c r="E861" s="76"/>
      <c r="G861" s="74"/>
    </row>
    <row r="862" spans="5:7" ht="13" x14ac:dyDescent="0.3">
      <c r="E862" s="76"/>
      <c r="G862" s="74"/>
    </row>
    <row r="863" spans="5:7" ht="13" x14ac:dyDescent="0.3">
      <c r="E863" s="76"/>
      <c r="G863" s="74"/>
    </row>
    <row r="864" spans="5:7" ht="13" x14ac:dyDescent="0.3">
      <c r="E864" s="76"/>
      <c r="G864" s="74"/>
    </row>
    <row r="865" spans="5:7" ht="13" x14ac:dyDescent="0.3">
      <c r="E865" s="76"/>
      <c r="G865" s="74"/>
    </row>
    <row r="866" spans="5:7" ht="13" x14ac:dyDescent="0.3">
      <c r="E866" s="76"/>
      <c r="G866" s="74"/>
    </row>
    <row r="867" spans="5:7" ht="13" x14ac:dyDescent="0.3">
      <c r="E867" s="76"/>
      <c r="G867" s="74"/>
    </row>
    <row r="868" spans="5:7" ht="13" x14ac:dyDescent="0.3">
      <c r="E868" s="76"/>
      <c r="G868" s="74"/>
    </row>
    <row r="869" spans="5:7" ht="13" x14ac:dyDescent="0.3">
      <c r="E869" s="76"/>
      <c r="G869" s="74"/>
    </row>
    <row r="870" spans="5:7" ht="13" x14ac:dyDescent="0.3">
      <c r="E870" s="76"/>
      <c r="G870" s="74"/>
    </row>
    <row r="871" spans="5:7" ht="13" x14ac:dyDescent="0.3">
      <c r="E871" s="76"/>
      <c r="G871" s="74"/>
    </row>
    <row r="872" spans="5:7" ht="13" x14ac:dyDescent="0.3">
      <c r="E872" s="76"/>
      <c r="G872" s="74"/>
    </row>
    <row r="873" spans="5:7" ht="13" x14ac:dyDescent="0.3">
      <c r="E873" s="76"/>
      <c r="G873" s="74"/>
    </row>
    <row r="874" spans="5:7" ht="13" x14ac:dyDescent="0.3">
      <c r="E874" s="76"/>
      <c r="G874" s="74"/>
    </row>
    <row r="875" spans="5:7" ht="13" x14ac:dyDescent="0.3">
      <c r="E875" s="76"/>
      <c r="G875" s="74"/>
    </row>
    <row r="876" spans="5:7" ht="13" x14ac:dyDescent="0.3">
      <c r="E876" s="76"/>
      <c r="G876" s="74"/>
    </row>
    <row r="877" spans="5:7" ht="13" x14ac:dyDescent="0.3">
      <c r="E877" s="76"/>
      <c r="G877" s="74"/>
    </row>
    <row r="878" spans="5:7" ht="13" x14ac:dyDescent="0.3">
      <c r="E878" s="76"/>
      <c r="G878" s="74"/>
    </row>
    <row r="879" spans="5:7" ht="13" x14ac:dyDescent="0.3">
      <c r="E879" s="76"/>
      <c r="G879" s="74"/>
    </row>
    <row r="880" spans="5:7" ht="13" x14ac:dyDescent="0.3">
      <c r="E880" s="76"/>
      <c r="G880" s="74"/>
    </row>
    <row r="881" spans="5:7" ht="13" x14ac:dyDescent="0.3">
      <c r="E881" s="76"/>
      <c r="G881" s="74"/>
    </row>
    <row r="882" spans="5:7" ht="13" x14ac:dyDescent="0.3">
      <c r="E882" s="76"/>
      <c r="G882" s="74"/>
    </row>
    <row r="883" spans="5:7" ht="13" x14ac:dyDescent="0.3">
      <c r="E883" s="76"/>
      <c r="G883" s="74"/>
    </row>
    <row r="884" spans="5:7" ht="13" x14ac:dyDescent="0.3">
      <c r="E884" s="76"/>
      <c r="G884" s="74"/>
    </row>
    <row r="885" spans="5:7" ht="13" x14ac:dyDescent="0.3">
      <c r="E885" s="76"/>
      <c r="G885" s="74"/>
    </row>
    <row r="886" spans="5:7" ht="13" x14ac:dyDescent="0.3">
      <c r="E886" s="76"/>
      <c r="G886" s="74"/>
    </row>
    <row r="887" spans="5:7" ht="13" x14ac:dyDescent="0.3">
      <c r="E887" s="76"/>
      <c r="G887" s="74"/>
    </row>
    <row r="888" spans="5:7" ht="13" x14ac:dyDescent="0.3">
      <c r="E888" s="76"/>
      <c r="G888" s="74"/>
    </row>
    <row r="889" spans="5:7" ht="13" x14ac:dyDescent="0.3">
      <c r="E889" s="76"/>
      <c r="G889" s="74"/>
    </row>
    <row r="890" spans="5:7" ht="13" x14ac:dyDescent="0.3">
      <c r="E890" s="76"/>
      <c r="G890" s="74"/>
    </row>
    <row r="891" spans="5:7" ht="13" x14ac:dyDescent="0.3">
      <c r="E891" s="76"/>
      <c r="G891" s="74"/>
    </row>
    <row r="892" spans="5:7" ht="13" x14ac:dyDescent="0.3">
      <c r="E892" s="76"/>
      <c r="G892" s="74"/>
    </row>
    <row r="893" spans="5:7" ht="13" x14ac:dyDescent="0.3">
      <c r="E893" s="76"/>
      <c r="G893" s="74"/>
    </row>
    <row r="894" spans="5:7" ht="13" x14ac:dyDescent="0.3">
      <c r="E894" s="76"/>
      <c r="G894" s="74"/>
    </row>
    <row r="895" spans="5:7" ht="13" x14ac:dyDescent="0.3">
      <c r="E895" s="76"/>
      <c r="G895" s="74"/>
    </row>
    <row r="896" spans="5:7" ht="13" x14ac:dyDescent="0.3">
      <c r="E896" s="76"/>
      <c r="G896" s="74"/>
    </row>
    <row r="897" spans="5:7" ht="13" x14ac:dyDescent="0.3">
      <c r="E897" s="76"/>
      <c r="G897" s="74"/>
    </row>
    <row r="898" spans="5:7" ht="13" x14ac:dyDescent="0.3">
      <c r="E898" s="76"/>
      <c r="G898" s="74"/>
    </row>
    <row r="899" spans="5:7" ht="13" x14ac:dyDescent="0.3">
      <c r="E899" s="76"/>
      <c r="G899" s="74"/>
    </row>
    <row r="900" spans="5:7" ht="13" x14ac:dyDescent="0.3">
      <c r="E900" s="76"/>
      <c r="G900" s="74"/>
    </row>
    <row r="901" spans="5:7" ht="13" x14ac:dyDescent="0.3">
      <c r="E901" s="76"/>
      <c r="G901" s="74"/>
    </row>
    <row r="902" spans="5:7" ht="13" x14ac:dyDescent="0.3">
      <c r="E902" s="76"/>
      <c r="G902" s="74"/>
    </row>
    <row r="903" spans="5:7" ht="13" x14ac:dyDescent="0.3">
      <c r="E903" s="76"/>
      <c r="G903" s="74"/>
    </row>
    <row r="904" spans="5:7" ht="13" x14ac:dyDescent="0.3">
      <c r="E904" s="76"/>
      <c r="G904" s="74"/>
    </row>
    <row r="905" spans="5:7" ht="13" x14ac:dyDescent="0.3">
      <c r="E905" s="76"/>
      <c r="G905" s="74"/>
    </row>
    <row r="906" spans="5:7" ht="13" x14ac:dyDescent="0.3">
      <c r="E906" s="76"/>
      <c r="G906" s="74"/>
    </row>
    <row r="907" spans="5:7" ht="13" x14ac:dyDescent="0.3">
      <c r="E907" s="76"/>
      <c r="G907" s="74"/>
    </row>
    <row r="908" spans="5:7" ht="13" x14ac:dyDescent="0.3">
      <c r="E908" s="76"/>
      <c r="G908" s="74"/>
    </row>
    <row r="909" spans="5:7" ht="13" x14ac:dyDescent="0.3">
      <c r="E909" s="76"/>
      <c r="G909" s="74"/>
    </row>
    <row r="910" spans="5:7" ht="13" x14ac:dyDescent="0.3">
      <c r="E910" s="76"/>
      <c r="G910" s="74"/>
    </row>
    <row r="911" spans="5:7" ht="13" x14ac:dyDescent="0.3">
      <c r="E911" s="76"/>
      <c r="G911" s="74"/>
    </row>
    <row r="912" spans="5:7" ht="13" x14ac:dyDescent="0.3">
      <c r="E912" s="76"/>
      <c r="G912" s="74"/>
    </row>
    <row r="913" spans="5:7" ht="13" x14ac:dyDescent="0.3">
      <c r="E913" s="76"/>
      <c r="G913" s="74"/>
    </row>
    <row r="914" spans="5:7" ht="13" x14ac:dyDescent="0.3">
      <c r="E914" s="76"/>
      <c r="G914" s="74"/>
    </row>
    <row r="915" spans="5:7" ht="13" x14ac:dyDescent="0.3">
      <c r="E915" s="76"/>
      <c r="G915" s="74"/>
    </row>
    <row r="916" spans="5:7" ht="13" x14ac:dyDescent="0.3">
      <c r="E916" s="76"/>
      <c r="G916" s="74"/>
    </row>
    <row r="917" spans="5:7" ht="13" x14ac:dyDescent="0.3">
      <c r="E917" s="76"/>
      <c r="G917" s="74"/>
    </row>
    <row r="918" spans="5:7" ht="13" x14ac:dyDescent="0.3">
      <c r="E918" s="76"/>
      <c r="G918" s="74"/>
    </row>
    <row r="919" spans="5:7" ht="13" x14ac:dyDescent="0.3">
      <c r="E919" s="76"/>
      <c r="G919" s="74"/>
    </row>
    <row r="920" spans="5:7" ht="13" x14ac:dyDescent="0.3">
      <c r="E920" s="76"/>
      <c r="G920" s="74"/>
    </row>
    <row r="921" spans="5:7" ht="13" x14ac:dyDescent="0.3">
      <c r="E921" s="76"/>
      <c r="G921" s="74"/>
    </row>
    <row r="922" spans="5:7" ht="13" x14ac:dyDescent="0.3">
      <c r="E922" s="76"/>
      <c r="G922" s="74"/>
    </row>
    <row r="923" spans="5:7" ht="13" x14ac:dyDescent="0.3">
      <c r="E923" s="76"/>
      <c r="G923" s="74"/>
    </row>
    <row r="924" spans="5:7" ht="13" x14ac:dyDescent="0.3">
      <c r="E924" s="76"/>
      <c r="G924" s="74"/>
    </row>
    <row r="925" spans="5:7" ht="13" x14ac:dyDescent="0.3">
      <c r="E925" s="76"/>
      <c r="G925" s="74"/>
    </row>
    <row r="926" spans="5:7" ht="13" x14ac:dyDescent="0.3">
      <c r="E926" s="76"/>
      <c r="G926" s="74"/>
    </row>
    <row r="927" spans="5:7" ht="13" x14ac:dyDescent="0.3">
      <c r="E927" s="76"/>
      <c r="G927" s="74"/>
    </row>
    <row r="928" spans="5:7" ht="13" x14ac:dyDescent="0.3">
      <c r="E928" s="76"/>
      <c r="G928" s="74"/>
    </row>
    <row r="929" spans="5:7" ht="13" x14ac:dyDescent="0.3">
      <c r="E929" s="76"/>
      <c r="G929" s="74"/>
    </row>
    <row r="930" spans="5:7" ht="13" x14ac:dyDescent="0.3">
      <c r="E930" s="76"/>
      <c r="G930" s="74"/>
    </row>
    <row r="931" spans="5:7" ht="13" x14ac:dyDescent="0.3">
      <c r="E931" s="76"/>
      <c r="G931" s="74"/>
    </row>
    <row r="932" spans="5:7" ht="13" x14ac:dyDescent="0.3">
      <c r="E932" s="76"/>
      <c r="G932" s="74"/>
    </row>
    <row r="933" spans="5:7" ht="13" x14ac:dyDescent="0.3">
      <c r="E933" s="76"/>
      <c r="G933" s="74"/>
    </row>
    <row r="934" spans="5:7" ht="13" x14ac:dyDescent="0.3">
      <c r="E934" s="76"/>
      <c r="G934" s="74"/>
    </row>
    <row r="935" spans="5:7" ht="13" x14ac:dyDescent="0.3">
      <c r="E935" s="76"/>
      <c r="G935" s="74"/>
    </row>
    <row r="936" spans="5:7" ht="13" x14ac:dyDescent="0.3">
      <c r="E936" s="76"/>
      <c r="G936" s="74"/>
    </row>
    <row r="937" spans="5:7" ht="13" x14ac:dyDescent="0.3">
      <c r="E937" s="76"/>
      <c r="G937" s="74"/>
    </row>
    <row r="938" spans="5:7" ht="13" x14ac:dyDescent="0.3">
      <c r="E938" s="76"/>
      <c r="G938" s="74"/>
    </row>
    <row r="939" spans="5:7" ht="13" x14ac:dyDescent="0.3">
      <c r="E939" s="76"/>
      <c r="G939" s="74"/>
    </row>
    <row r="940" spans="5:7" ht="13" x14ac:dyDescent="0.3">
      <c r="E940" s="76"/>
      <c r="G940" s="74"/>
    </row>
    <row r="941" spans="5:7" ht="13" x14ac:dyDescent="0.3">
      <c r="E941" s="76"/>
      <c r="G941" s="74"/>
    </row>
    <row r="942" spans="5:7" ht="13" x14ac:dyDescent="0.3">
      <c r="E942" s="76"/>
      <c r="G942" s="74"/>
    </row>
    <row r="943" spans="5:7" ht="13" x14ac:dyDescent="0.3">
      <c r="E943" s="76"/>
      <c r="G943" s="74"/>
    </row>
    <row r="944" spans="5:7" ht="13" x14ac:dyDescent="0.3">
      <c r="E944" s="76"/>
      <c r="G944" s="74"/>
    </row>
    <row r="945" spans="5:7" ht="13" x14ac:dyDescent="0.3">
      <c r="E945" s="76"/>
      <c r="G945" s="74"/>
    </row>
    <row r="946" spans="5:7" ht="13" x14ac:dyDescent="0.3">
      <c r="E946" s="76"/>
      <c r="G946" s="74"/>
    </row>
    <row r="947" spans="5:7" ht="13" x14ac:dyDescent="0.3">
      <c r="E947" s="76"/>
      <c r="G947" s="74"/>
    </row>
    <row r="948" spans="5:7" ht="13" x14ac:dyDescent="0.3">
      <c r="E948" s="76"/>
      <c r="G948" s="74"/>
    </row>
    <row r="949" spans="5:7" ht="13" x14ac:dyDescent="0.3">
      <c r="E949" s="76"/>
      <c r="G949" s="74"/>
    </row>
    <row r="950" spans="5:7" ht="13" x14ac:dyDescent="0.3">
      <c r="E950" s="76"/>
      <c r="G950" s="74"/>
    </row>
    <row r="951" spans="5:7" ht="13" x14ac:dyDescent="0.3">
      <c r="E951" s="76"/>
      <c r="G951" s="74"/>
    </row>
    <row r="952" spans="5:7" ht="13" x14ac:dyDescent="0.3">
      <c r="E952" s="76"/>
      <c r="G952" s="74"/>
    </row>
    <row r="953" spans="5:7" ht="13" x14ac:dyDescent="0.3">
      <c r="E953" s="76"/>
      <c r="G953" s="74"/>
    </row>
    <row r="954" spans="5:7" ht="13" x14ac:dyDescent="0.3">
      <c r="E954" s="76"/>
      <c r="G954" s="74"/>
    </row>
    <row r="955" spans="5:7" ht="13" x14ac:dyDescent="0.3">
      <c r="E955" s="76"/>
      <c r="G955" s="74"/>
    </row>
    <row r="956" spans="5:7" ht="13" x14ac:dyDescent="0.3">
      <c r="E956" s="76"/>
      <c r="G956" s="74"/>
    </row>
    <row r="957" spans="5:7" ht="13" x14ac:dyDescent="0.3">
      <c r="E957" s="76"/>
      <c r="G957" s="74"/>
    </row>
    <row r="958" spans="5:7" ht="13" x14ac:dyDescent="0.3">
      <c r="E958" s="76"/>
      <c r="G958" s="74"/>
    </row>
    <row r="959" spans="5:7" ht="13" x14ac:dyDescent="0.3">
      <c r="E959" s="76"/>
      <c r="G959" s="74"/>
    </row>
    <row r="960" spans="5:7" ht="13" x14ac:dyDescent="0.3">
      <c r="E960" s="76"/>
      <c r="G960" s="74"/>
    </row>
    <row r="961" spans="5:7" ht="13" x14ac:dyDescent="0.3">
      <c r="E961" s="76"/>
      <c r="G961" s="74"/>
    </row>
    <row r="962" spans="5:7" ht="13" x14ac:dyDescent="0.3">
      <c r="E962" s="76"/>
      <c r="G962" s="74"/>
    </row>
    <row r="963" spans="5:7" ht="13" x14ac:dyDescent="0.3">
      <c r="E963" s="76"/>
      <c r="G963" s="74"/>
    </row>
    <row r="964" spans="5:7" ht="13" x14ac:dyDescent="0.3">
      <c r="E964" s="76"/>
      <c r="G964" s="74"/>
    </row>
    <row r="965" spans="5:7" ht="13" x14ac:dyDescent="0.3">
      <c r="E965" s="76"/>
      <c r="G965" s="74"/>
    </row>
    <row r="966" spans="5:7" ht="13" x14ac:dyDescent="0.3">
      <c r="E966" s="76"/>
      <c r="G966" s="74"/>
    </row>
    <row r="967" spans="5:7" ht="13" x14ac:dyDescent="0.3">
      <c r="E967" s="76"/>
      <c r="G967" s="74"/>
    </row>
    <row r="968" spans="5:7" ht="13" x14ac:dyDescent="0.3">
      <c r="E968" s="76"/>
      <c r="G968" s="74"/>
    </row>
    <row r="969" spans="5:7" ht="13" x14ac:dyDescent="0.3">
      <c r="E969" s="76"/>
      <c r="G969" s="74"/>
    </row>
    <row r="970" spans="5:7" ht="13" x14ac:dyDescent="0.3">
      <c r="E970" s="76"/>
      <c r="G970" s="74"/>
    </row>
    <row r="971" spans="5:7" ht="13" x14ac:dyDescent="0.3">
      <c r="E971" s="76"/>
      <c r="G971" s="74"/>
    </row>
    <row r="972" spans="5:7" ht="13" x14ac:dyDescent="0.3">
      <c r="E972" s="76"/>
      <c r="G972" s="74"/>
    </row>
    <row r="973" spans="5:7" ht="13" x14ac:dyDescent="0.3">
      <c r="E973" s="76"/>
      <c r="G973" s="74"/>
    </row>
    <row r="974" spans="5:7" ht="13" x14ac:dyDescent="0.3">
      <c r="E974" s="76"/>
      <c r="G974" s="74"/>
    </row>
    <row r="975" spans="5:7" ht="13" x14ac:dyDescent="0.3">
      <c r="E975" s="76"/>
      <c r="G975" s="74"/>
    </row>
    <row r="976" spans="5:7" ht="13" x14ac:dyDescent="0.3">
      <c r="E976" s="76"/>
      <c r="G976" s="74"/>
    </row>
    <row r="977" spans="5:7" ht="13" x14ac:dyDescent="0.3">
      <c r="E977" s="76"/>
      <c r="G977" s="74"/>
    </row>
    <row r="978" spans="5:7" ht="13" x14ac:dyDescent="0.3">
      <c r="E978" s="76"/>
      <c r="G978" s="74"/>
    </row>
    <row r="979" spans="5:7" ht="13" x14ac:dyDescent="0.3">
      <c r="E979" s="76"/>
      <c r="G979" s="74"/>
    </row>
    <row r="980" spans="5:7" ht="13" x14ac:dyDescent="0.3">
      <c r="E980" s="76"/>
      <c r="G980" s="74"/>
    </row>
    <row r="981" spans="5:7" ht="13" x14ac:dyDescent="0.3">
      <c r="E981" s="76"/>
      <c r="G981" s="74"/>
    </row>
    <row r="982" spans="5:7" ht="13" x14ac:dyDescent="0.3">
      <c r="E982" s="76"/>
      <c r="G982" s="74"/>
    </row>
    <row r="983" spans="5:7" ht="13" x14ac:dyDescent="0.3">
      <c r="E983" s="76"/>
      <c r="G983" s="74"/>
    </row>
    <row r="984" spans="5:7" ht="13" x14ac:dyDescent="0.3">
      <c r="E984" s="76"/>
      <c r="G984" s="74"/>
    </row>
    <row r="985" spans="5:7" ht="13" x14ac:dyDescent="0.3">
      <c r="E985" s="76"/>
      <c r="G985" s="74"/>
    </row>
    <row r="986" spans="5:7" ht="13" x14ac:dyDescent="0.3">
      <c r="E986" s="76"/>
      <c r="G986" s="74"/>
    </row>
    <row r="987" spans="5:7" ht="13" x14ac:dyDescent="0.3">
      <c r="E987" s="76"/>
      <c r="G987" s="74"/>
    </row>
    <row r="988" spans="5:7" ht="13" x14ac:dyDescent="0.3">
      <c r="E988" s="76"/>
      <c r="G988" s="74"/>
    </row>
    <row r="989" spans="5:7" ht="13" x14ac:dyDescent="0.3">
      <c r="E989" s="76"/>
      <c r="G989" s="74"/>
    </row>
    <row r="990" spans="5:7" ht="13" x14ac:dyDescent="0.3">
      <c r="E990" s="76"/>
      <c r="G990" s="74"/>
    </row>
    <row r="991" spans="5:7" ht="13" x14ac:dyDescent="0.3">
      <c r="E991" s="76"/>
      <c r="G991" s="74"/>
    </row>
    <row r="992" spans="5:7" ht="13" x14ac:dyDescent="0.3">
      <c r="E992" s="76"/>
      <c r="G992" s="74"/>
    </row>
    <row r="993" spans="5:7" ht="13" x14ac:dyDescent="0.3">
      <c r="E993" s="76"/>
      <c r="G993" s="74"/>
    </row>
  </sheetData>
  <sheetProtection algorithmName="SHA-512" hashValue="0UBrc/piyuc6hYVKsQYA4vl98+eTyob8xEP8pMLLMVgTcCBWSoPrjWN2i+oM7oO92M1FTQqsr3bNYhkBJ7CSzQ==" saltValue="/MPSNv84LznCsk5hf1yHUg==" spinCount="100000" sheet="1" objects="1" scenarios="1"/>
  <mergeCells count="23">
    <mergeCell ref="E161:E172"/>
    <mergeCell ref="F26:G26"/>
    <mergeCell ref="F35:G35"/>
    <mergeCell ref="E94:E111"/>
    <mergeCell ref="E120:E123"/>
    <mergeCell ref="E128:E136"/>
    <mergeCell ref="F48:G48"/>
    <mergeCell ref="F55:G55"/>
    <mergeCell ref="F62:G62"/>
    <mergeCell ref="F80:G80"/>
    <mergeCell ref="E90:F90"/>
    <mergeCell ref="E112:E119"/>
    <mergeCell ref="E124:E127"/>
    <mergeCell ref="E91:E93"/>
    <mergeCell ref="F69:H69"/>
    <mergeCell ref="E139:F139"/>
    <mergeCell ref="E7:H7"/>
    <mergeCell ref="E14:F14"/>
    <mergeCell ref="F21:G21"/>
    <mergeCell ref="D4:G4"/>
    <mergeCell ref="E160:F160"/>
    <mergeCell ref="E140:E153"/>
    <mergeCell ref="E156:F156"/>
  </mergeCells>
  <dataValidations count="12">
    <dataValidation type="list" allowBlank="1" showErrorMessage="1" sqref="G131 G161 G140 G142 G144 G146 G148" xr:uid="{00000000-0002-0000-0400-000000000000}">
      <formula1>"Yes,No"</formula1>
    </dataValidation>
    <dataValidation type="list" allowBlank="1" showErrorMessage="1" sqref="G136" xr:uid="{00000000-0002-0000-0400-000001000000}">
      <formula1>"1-10,11-20,21-40,41-60,61-80,&gt;80"</formula1>
    </dataValidation>
    <dataValidation type="list" allowBlank="1" showErrorMessage="1" sqref="G110" xr:uid="{00000000-0002-0000-0400-000002000000}">
      <formula1>"Monthly,Quaterly,Annually,Only at onboarding"</formula1>
    </dataValidation>
    <dataValidation type="list" allowBlank="1" showErrorMessage="1" sqref="G132" xr:uid="{00000000-0002-0000-0400-000003000000}">
      <formula1>"&lt; 5%,5-10%,10-15%,15-20%,&gt;20%"</formula1>
    </dataValidation>
    <dataValidation type="list" allowBlank="1" showErrorMessage="1" sqref="G19" xr:uid="{00000000-0002-0000-0400-000004000000}">
      <formula1>"&lt; 1'000 compounds,1'000 - 5'000 compounds,5'000 - 10'000 compounds,&gt; 10'000 compounds"</formula1>
    </dataValidation>
    <dataValidation type="list" allowBlank="1" showErrorMessage="1" sqref="G130" xr:uid="{00000000-0002-0000-0400-000005000000}">
      <formula1>"&lt; 5 ,5-10,11-15,15-30,&gt;30"</formula1>
    </dataValidation>
    <dataValidation type="list" allowBlank="1" showErrorMessage="1" sqref="G18" xr:uid="{00000000-0002-0000-0400-000006000000}">
      <formula1>"&lt; 5,5-10,11-20,&gt; 20"</formula1>
    </dataValidation>
    <dataValidation type="list" allowBlank="1" showErrorMessage="1" sqref="G111" xr:uid="{00000000-0002-0000-0400-000007000000}">
      <formula1>"Monthly,Quarterly,Bi-annually,Annually"</formula1>
    </dataValidation>
    <dataValidation type="list" allowBlank="1" showErrorMessage="1" sqref="G134" xr:uid="{00000000-0002-0000-0400-000008000000}">
      <formula1>"&lt;0.5,0.5-1.0,1.1-1.5,1.6-2.0,&gt;2.0"</formula1>
    </dataValidation>
    <dataValidation type="list" allowBlank="1" showErrorMessage="1" sqref="G109" xr:uid="{00000000-0002-0000-0400-000009000000}">
      <formula1>"BSL-1,BSL-2,BSL-3,BSL-4"</formula1>
    </dataValidation>
    <dataValidation type="list" allowBlank="1" showErrorMessage="1" sqref="G17" xr:uid="{00000000-0002-0000-0400-00000A000000}">
      <formula1>"&lt; 24h,2-3 days,4-6 days,7-10 days,11-15 days,&gt;15 days"</formula1>
    </dataValidation>
    <dataValidation type="list" allowBlank="1" showErrorMessage="1" sqref="G135" xr:uid="{00000000-0002-0000-0400-00000B000000}">
      <formula1>"1-5,6-10,11-20,21-50,&gt;50"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0">
        <x14:dataValidation type="list" allowBlank="1" showErrorMessage="1" xr:uid="{00000000-0002-0000-0400-00000C000000}">
          <x14:formula1>
            <xm:f>'Dropdown lists'!$EJ$2:$EJ$5</xm:f>
          </x14:formula1>
          <xm:sqref>G153</xm:sqref>
        </x14:dataValidation>
        <x14:dataValidation type="list" allowBlank="1" showErrorMessage="1" xr:uid="{00000000-0002-0000-0400-00000D000000}">
          <x14:formula1>
            <xm:f>'Dropdown lists'!$DZ$2:$DZ$6</xm:f>
          </x14:formula1>
          <xm:sqref>G141 G143 G145 G147 G149</xm:sqref>
        </x14:dataValidation>
        <x14:dataValidation type="list" allowBlank="1" showErrorMessage="1" xr:uid="{00000000-0002-0000-0400-00000E000000}">
          <x14:formula1>
            <xm:f>'Dropdown lists'!$DP$2:$DP$7</xm:f>
          </x14:formula1>
          <xm:sqref>G124:G125</xm:sqref>
        </x14:dataValidation>
        <x14:dataValidation type="list" allowBlank="1" showErrorMessage="1" xr:uid="{00000000-0002-0000-0400-00000F000000}">
          <x14:formula1>
            <xm:f>'Dropdown lists'!$C$2:$C$3</xm:f>
          </x14:formula1>
          <xm:sqref>G16 G20 G22:G25 G27:G34 G36:G47 G56:G61 G63:G68 G78:G79 G81:G84 G86:G87 G91:G96 G98:G108 G113:G123 G127:G129 G49:G54 G70:G76</xm:sqref>
        </x14:dataValidation>
        <x14:dataValidation type="list" allowBlank="1" showErrorMessage="1" xr:uid="{00000000-0002-0000-0400-000010000000}">
          <x14:formula1>
            <xm:f>'Dropdown lists'!$CK$2:$CK$6</xm:f>
          </x14:formula1>
          <xm:sqref>G77</xm:sqref>
        </x14:dataValidation>
        <x14:dataValidation type="list" allowBlank="1" showErrorMessage="1" xr:uid="{00000000-0002-0000-0400-000011000000}">
          <x14:formula1>
            <xm:f>'Dropdown lists'!$CT$2:$CT$5</xm:f>
          </x14:formula1>
          <xm:sqref>G85</xm:sqref>
        </x14:dataValidation>
        <x14:dataValidation type="list" allowBlank="1" showErrorMessage="1" xr:uid="{00000000-0002-0000-0400-000012000000}">
          <x14:formula1>
            <xm:f>'Dropdown lists'!$EK$2:$EK$9</xm:f>
          </x14:formula1>
          <xm:sqref>G150:G151</xm:sqref>
        </x14:dataValidation>
        <x14:dataValidation type="list" allowBlank="1" showErrorMessage="1" xr:uid="{00000000-0002-0000-0400-000013000000}">
          <x14:formula1>
            <xm:f>'Dropdown lists'!$EI$2:$EI$7</xm:f>
          </x14:formula1>
          <xm:sqref>G152</xm:sqref>
        </x14:dataValidation>
        <x14:dataValidation type="list" allowBlank="1" showErrorMessage="1" xr:uid="{00000000-0002-0000-0400-000014000000}">
          <x14:formula1>
            <xm:f>'Dropdown lists'!$DR$2:$DR$6</xm:f>
          </x14:formula1>
          <xm:sqref>G126</xm:sqref>
        </x14:dataValidation>
        <x14:dataValidation type="list" allowBlank="1" showErrorMessage="1" xr:uid="{00000000-0002-0000-0400-000015000000}">
          <x14:formula1>
            <xm:f>'Dropdown lists'!$B$2:$B$5</xm:f>
          </x14:formula1>
          <xm:sqref>G15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K81"/>
  <sheetViews>
    <sheetView showGridLines="0" topLeftCell="C50" zoomScale="85" zoomScaleNormal="85" workbookViewId="0">
      <selection activeCell="G65" sqref="G65:L69"/>
    </sheetView>
  </sheetViews>
  <sheetFormatPr defaultColWidth="12.54296875" defaultRowHeight="15.75" customHeight="1" x14ac:dyDescent="0.25"/>
  <cols>
    <col min="1" max="2" width="0" hidden="1" customWidth="1"/>
    <col min="3" max="3" width="2.7265625" customWidth="1"/>
    <col min="4" max="6" width="34.453125" customWidth="1"/>
    <col min="7" max="9" width="21.26953125" customWidth="1"/>
    <col min="10" max="12" width="15.54296875" style="46" customWidth="1"/>
    <col min="13" max="13" width="2.7265625" style="46" customWidth="1"/>
    <col min="14" max="20" width="12.54296875" style="46" customWidth="1"/>
    <col min="21" max="26" width="12.54296875" style="46"/>
    <col min="27" max="27" width="63.54296875" style="46" customWidth="1"/>
    <col min="28" max="36" width="12.54296875" style="46"/>
  </cols>
  <sheetData>
    <row r="1" spans="1:37" ht="13" thickBot="1" x14ac:dyDescent="0.3">
      <c r="A1" s="45"/>
      <c r="B1" s="45"/>
      <c r="D1" s="272"/>
      <c r="E1" s="272"/>
      <c r="F1" s="272"/>
      <c r="G1" s="272"/>
      <c r="H1" s="272"/>
      <c r="I1" s="272"/>
      <c r="J1" s="278"/>
      <c r="K1" s="278"/>
      <c r="L1" s="278"/>
      <c r="M1" s="278"/>
      <c r="N1" s="278"/>
    </row>
    <row r="2" spans="1:37" s="49" customFormat="1" ht="22.5" customHeight="1" thickBot="1" x14ac:dyDescent="0.3">
      <c r="A2" s="291"/>
      <c r="B2" s="274"/>
      <c r="C2"/>
      <c r="D2" s="47" t="s">
        <v>515</v>
      </c>
      <c r="E2" s="48"/>
      <c r="F2" s="48"/>
      <c r="G2" s="48"/>
      <c r="H2" s="48"/>
      <c r="I2" s="48"/>
      <c r="J2" s="48"/>
      <c r="K2" s="48"/>
      <c r="L2" s="131"/>
    </row>
    <row r="3" spans="1:37" ht="12.5" x14ac:dyDescent="0.25">
      <c r="A3" s="45"/>
      <c r="B3" s="45"/>
      <c r="D3" s="272"/>
      <c r="E3" s="272"/>
      <c r="F3" s="272"/>
      <c r="G3" s="272"/>
      <c r="H3" s="272"/>
      <c r="I3" s="272"/>
      <c r="J3" s="278"/>
      <c r="K3" s="278"/>
      <c r="L3" s="278"/>
      <c r="M3" s="278"/>
      <c r="N3" s="278"/>
    </row>
    <row r="4" spans="1:37" s="52" customFormat="1" ht="20.149999999999999" customHeight="1" x14ac:dyDescent="0.25">
      <c r="A4" s="50"/>
      <c r="B4" s="50" t="s">
        <v>35</v>
      </c>
      <c r="C4" s="51"/>
      <c r="D4" s="433" t="s">
        <v>516</v>
      </c>
      <c r="E4" s="434"/>
      <c r="F4" s="434"/>
      <c r="G4" s="434"/>
      <c r="H4" s="292"/>
      <c r="I4" s="292"/>
      <c r="J4" s="292"/>
      <c r="K4" s="292"/>
      <c r="L4" s="292"/>
      <c r="M4" s="325"/>
      <c r="N4" s="325"/>
      <c r="O4" s="325"/>
      <c r="P4" s="325"/>
      <c r="Q4" s="325"/>
      <c r="R4" s="325"/>
      <c r="S4" s="325"/>
      <c r="T4" s="325"/>
      <c r="U4" s="325"/>
      <c r="V4" s="325"/>
      <c r="W4" s="325"/>
      <c r="X4" s="325"/>
      <c r="Y4" s="325"/>
      <c r="Z4" s="325"/>
      <c r="AA4" s="325"/>
      <c r="AB4" s="325"/>
      <c r="AC4" s="325"/>
      <c r="AD4" s="325"/>
    </row>
    <row r="5" spans="1:37" ht="45.75" customHeight="1" x14ac:dyDescent="0.3">
      <c r="A5" s="326"/>
      <c r="B5" s="187"/>
      <c r="C5" s="133"/>
      <c r="D5" s="493" t="s">
        <v>517</v>
      </c>
      <c r="E5" s="493"/>
      <c r="F5" s="493"/>
      <c r="G5" s="494"/>
      <c r="H5" s="272"/>
      <c r="I5" s="272"/>
      <c r="J5" s="278"/>
      <c r="K5" s="278"/>
      <c r="L5" s="278"/>
      <c r="M5" s="278"/>
      <c r="N5" s="278"/>
      <c r="O5" s="278"/>
      <c r="P5" s="278"/>
      <c r="Q5" s="278"/>
      <c r="R5" s="278"/>
      <c r="S5" s="278"/>
      <c r="T5" s="278"/>
      <c r="U5" s="278"/>
      <c r="V5" s="278"/>
      <c r="W5" s="278"/>
      <c r="X5" s="278"/>
      <c r="Y5" s="278"/>
      <c r="Z5" s="278"/>
      <c r="AA5" s="278"/>
      <c r="AB5" s="278"/>
      <c r="AC5" s="278"/>
      <c r="AD5" s="278"/>
      <c r="AE5" s="278"/>
      <c r="AF5" s="278"/>
      <c r="AG5" s="278"/>
      <c r="AH5" s="278"/>
      <c r="AI5" s="278"/>
      <c r="AJ5" s="278"/>
      <c r="AK5" s="272"/>
    </row>
    <row r="6" spans="1:37" ht="12.5" x14ac:dyDescent="0.25">
      <c r="A6" s="45">
        <v>1</v>
      </c>
      <c r="B6" s="45">
        <v>1</v>
      </c>
      <c r="D6" s="272"/>
      <c r="E6" s="272"/>
      <c r="F6" s="272"/>
      <c r="G6" s="272"/>
      <c r="H6" s="272"/>
      <c r="I6" s="272"/>
      <c r="J6" s="278"/>
      <c r="K6" s="278"/>
      <c r="L6" s="278"/>
      <c r="M6" s="278"/>
      <c r="N6" s="278"/>
    </row>
    <row r="7" spans="1:37" s="54" customFormat="1" ht="20.149999999999999" customHeight="1" x14ac:dyDescent="0.25">
      <c r="A7" s="50"/>
      <c r="B7" s="50"/>
      <c r="C7" s="51"/>
      <c r="D7" s="435" t="s">
        <v>518</v>
      </c>
      <c r="E7" s="436"/>
      <c r="F7" s="436"/>
      <c r="G7" s="436"/>
      <c r="H7" s="294"/>
      <c r="I7" s="294"/>
      <c r="J7" s="294"/>
      <c r="K7" s="294"/>
      <c r="L7" s="294"/>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row>
    <row r="8" spans="1:37" ht="12.5" x14ac:dyDescent="0.25">
      <c r="A8" s="45"/>
      <c r="D8" s="272"/>
      <c r="E8" s="272"/>
      <c r="F8" s="272"/>
      <c r="G8" s="272"/>
      <c r="H8" s="272"/>
      <c r="I8" s="272"/>
      <c r="J8" s="278"/>
      <c r="K8" s="278"/>
      <c r="L8" s="278"/>
      <c r="M8" s="278"/>
      <c r="N8" s="278"/>
    </row>
    <row r="9" spans="1:37" ht="13" x14ac:dyDescent="0.3">
      <c r="A9" s="45">
        <v>1</v>
      </c>
      <c r="B9" s="45">
        <f>B6+1</f>
        <v>2</v>
      </c>
      <c r="D9" s="134" t="s">
        <v>519</v>
      </c>
      <c r="E9" s="272"/>
      <c r="F9" s="272"/>
      <c r="G9" s="272"/>
      <c r="H9" s="272"/>
      <c r="I9" s="272"/>
      <c r="J9" s="278"/>
      <c r="K9" s="278"/>
      <c r="L9" s="278"/>
      <c r="M9" s="278"/>
      <c r="N9" s="278"/>
    </row>
    <row r="10" spans="1:37" ht="13" thickBot="1" x14ac:dyDescent="0.3">
      <c r="A10" s="45">
        <v>1</v>
      </c>
      <c r="B10" s="45" t="e">
        <f>#REF!+1</f>
        <v>#REF!</v>
      </c>
    </row>
    <row r="11" spans="1:37" ht="51" customHeight="1" thickBot="1" x14ac:dyDescent="0.3">
      <c r="A11" s="45">
        <v>1</v>
      </c>
      <c r="B11" s="45" t="e">
        <f t="shared" ref="B11:B81" si="0">B10+1</f>
        <v>#REF!</v>
      </c>
      <c r="D11" s="327" t="s">
        <v>161</v>
      </c>
      <c r="E11" s="328" t="s">
        <v>520</v>
      </c>
      <c r="F11" s="329" t="s">
        <v>521</v>
      </c>
    </row>
    <row r="12" spans="1:37" ht="12.5" x14ac:dyDescent="0.25">
      <c r="A12" s="45">
        <v>1</v>
      </c>
      <c r="B12" s="45" t="e">
        <f t="shared" si="0"/>
        <v>#REF!</v>
      </c>
      <c r="D12" s="330" t="s">
        <v>165</v>
      </c>
      <c r="E12" s="306">
        <v>0</v>
      </c>
      <c r="F12" s="331" t="s">
        <v>522</v>
      </c>
    </row>
    <row r="13" spans="1:37" ht="12.5" x14ac:dyDescent="0.25">
      <c r="A13" s="45">
        <v>1</v>
      </c>
      <c r="B13" s="45" t="e">
        <f t="shared" si="0"/>
        <v>#REF!</v>
      </c>
      <c r="D13" s="332" t="s">
        <v>166</v>
      </c>
      <c r="E13" s="309">
        <v>0</v>
      </c>
      <c r="F13" s="333" t="s">
        <v>522</v>
      </c>
    </row>
    <row r="14" spans="1:37" ht="12.5" x14ac:dyDescent="0.25">
      <c r="A14" s="45">
        <v>1</v>
      </c>
      <c r="B14" s="45" t="e">
        <f t="shared" si="0"/>
        <v>#REF!</v>
      </c>
      <c r="D14" s="332" t="s">
        <v>167</v>
      </c>
      <c r="E14" s="360">
        <v>0.01</v>
      </c>
      <c r="F14" s="333"/>
    </row>
    <row r="15" spans="1:37" ht="12.5" x14ac:dyDescent="0.25">
      <c r="A15" s="45">
        <v>1</v>
      </c>
      <c r="B15" s="45" t="e">
        <f t="shared" si="0"/>
        <v>#REF!</v>
      </c>
      <c r="D15" s="332" t="s">
        <v>168</v>
      </c>
      <c r="E15" s="360">
        <v>0.02</v>
      </c>
      <c r="F15" s="333"/>
    </row>
    <row r="16" spans="1:37" ht="13" thickBot="1" x14ac:dyDescent="0.3">
      <c r="A16" s="45">
        <v>1</v>
      </c>
      <c r="B16" s="45" t="e">
        <f t="shared" si="0"/>
        <v>#REF!</v>
      </c>
      <c r="D16" s="334" t="s">
        <v>169</v>
      </c>
      <c r="E16" s="363">
        <v>0.03</v>
      </c>
      <c r="F16" s="335"/>
    </row>
    <row r="17" spans="1:37" ht="13" thickBot="1" x14ac:dyDescent="0.3">
      <c r="A17" s="45"/>
      <c r="B17" s="45" t="e">
        <f t="shared" si="0"/>
        <v>#REF!</v>
      </c>
      <c r="D17" s="272"/>
      <c r="E17" s="272"/>
      <c r="F17" s="272"/>
    </row>
    <row r="18" spans="1:37" ht="39.5" thickBot="1" x14ac:dyDescent="0.3">
      <c r="A18" s="45">
        <v>1</v>
      </c>
      <c r="B18" s="45" t="e">
        <f t="shared" si="0"/>
        <v>#REF!</v>
      </c>
      <c r="D18" s="302" t="s">
        <v>523</v>
      </c>
      <c r="E18" s="303" t="s">
        <v>524</v>
      </c>
      <c r="F18" s="304" t="s">
        <v>521</v>
      </c>
    </row>
    <row r="19" spans="1:37" ht="12.5" x14ac:dyDescent="0.25">
      <c r="A19" s="45">
        <v>1</v>
      </c>
      <c r="B19" s="45" t="e">
        <f t="shared" si="0"/>
        <v>#REF!</v>
      </c>
      <c r="D19" s="305" t="s">
        <v>525</v>
      </c>
      <c r="E19" s="306">
        <v>0</v>
      </c>
      <c r="F19" s="307" t="s">
        <v>522</v>
      </c>
    </row>
    <row r="20" spans="1:37" ht="12.5" x14ac:dyDescent="0.25">
      <c r="A20" s="45">
        <v>1</v>
      </c>
      <c r="B20" s="45" t="e">
        <f t="shared" si="0"/>
        <v>#REF!</v>
      </c>
      <c r="D20" s="308" t="s">
        <v>526</v>
      </c>
      <c r="E20" s="309">
        <v>0</v>
      </c>
      <c r="F20" s="310" t="s">
        <v>522</v>
      </c>
    </row>
    <row r="21" spans="1:37" ht="12.5" x14ac:dyDescent="0.25">
      <c r="A21" s="45">
        <v>1</v>
      </c>
      <c r="B21" s="45" t="e">
        <f t="shared" si="0"/>
        <v>#REF!</v>
      </c>
      <c r="D21" s="308" t="s">
        <v>527</v>
      </c>
      <c r="E21" s="309">
        <v>0</v>
      </c>
      <c r="F21" s="310" t="s">
        <v>522</v>
      </c>
    </row>
    <row r="22" spans="1:37" ht="12.5" x14ac:dyDescent="0.25">
      <c r="A22" s="45">
        <v>1</v>
      </c>
      <c r="B22" s="45" t="e">
        <f t="shared" si="0"/>
        <v>#REF!</v>
      </c>
      <c r="D22" s="308" t="s">
        <v>528</v>
      </c>
      <c r="E22" s="360">
        <v>0.01</v>
      </c>
      <c r="F22" s="310"/>
    </row>
    <row r="23" spans="1:37" ht="12.5" x14ac:dyDescent="0.25">
      <c r="A23" s="45">
        <v>1</v>
      </c>
      <c r="B23" s="45" t="e">
        <f t="shared" si="0"/>
        <v>#REF!</v>
      </c>
      <c r="D23" s="308" t="s">
        <v>529</v>
      </c>
      <c r="E23" s="361">
        <v>0.02</v>
      </c>
      <c r="F23" s="310"/>
    </row>
    <row r="24" spans="1:37" ht="13" thickBot="1" x14ac:dyDescent="0.3">
      <c r="A24" s="45">
        <v>1</v>
      </c>
      <c r="B24" s="45" t="e">
        <f t="shared" si="0"/>
        <v>#REF!</v>
      </c>
      <c r="D24" s="311" t="s">
        <v>530</v>
      </c>
      <c r="E24" s="362">
        <v>0.03</v>
      </c>
      <c r="F24" s="313"/>
    </row>
    <row r="25" spans="1:37" ht="13" thickBot="1" x14ac:dyDescent="0.3">
      <c r="A25" s="45">
        <v>1</v>
      </c>
      <c r="B25" s="45" t="e">
        <f t="shared" si="0"/>
        <v>#REF!</v>
      </c>
      <c r="D25" s="272"/>
      <c r="E25" s="272"/>
      <c r="F25" s="272"/>
    </row>
    <row r="26" spans="1:37" s="189" customFormat="1" ht="37.5" customHeight="1" x14ac:dyDescent="0.25">
      <c r="A26" s="188"/>
      <c r="B26" s="188" t="e">
        <f t="shared" si="0"/>
        <v>#REF!</v>
      </c>
      <c r="D26" s="487" t="s">
        <v>531</v>
      </c>
      <c r="E26" s="488"/>
      <c r="F26" s="489"/>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0"/>
    </row>
    <row r="27" spans="1:37" ht="18" customHeight="1" thickBot="1" x14ac:dyDescent="0.3">
      <c r="A27" s="45"/>
      <c r="B27" s="45" t="e">
        <f t="shared" si="0"/>
        <v>#REF!</v>
      </c>
      <c r="D27" s="490" t="s">
        <v>532</v>
      </c>
      <c r="E27" s="491"/>
      <c r="F27" s="492"/>
    </row>
    <row r="28" spans="1:37" ht="13" thickBot="1" x14ac:dyDescent="0.3">
      <c r="A28" s="45"/>
      <c r="B28" s="45" t="e">
        <f t="shared" si="0"/>
        <v>#REF!</v>
      </c>
      <c r="D28" s="272"/>
      <c r="E28" s="272"/>
      <c r="F28" s="272"/>
    </row>
    <row r="29" spans="1:37" s="189" customFormat="1" ht="45" customHeight="1" x14ac:dyDescent="0.25">
      <c r="A29" s="188"/>
      <c r="B29" s="188" t="e">
        <f t="shared" si="0"/>
        <v>#REF!</v>
      </c>
      <c r="D29" s="487" t="s">
        <v>533</v>
      </c>
      <c r="E29" s="488"/>
      <c r="F29" s="489"/>
      <c r="J29" s="190"/>
      <c r="K29" s="190"/>
      <c r="L29" s="190"/>
      <c r="M29" s="190"/>
      <c r="N29" s="190"/>
      <c r="O29" s="190"/>
      <c r="P29" s="190"/>
      <c r="Q29" s="190"/>
      <c r="R29" s="190"/>
      <c r="S29" s="190"/>
      <c r="T29" s="190"/>
      <c r="U29" s="190"/>
      <c r="V29" s="190"/>
      <c r="W29" s="190"/>
      <c r="X29" s="190"/>
      <c r="Y29" s="190"/>
      <c r="Z29" s="190"/>
      <c r="AA29" s="190"/>
      <c r="AB29" s="190"/>
      <c r="AC29" s="190"/>
      <c r="AD29" s="190"/>
      <c r="AE29" s="190"/>
      <c r="AF29" s="190"/>
      <c r="AG29" s="190"/>
      <c r="AH29" s="190"/>
      <c r="AI29" s="190"/>
      <c r="AJ29" s="190"/>
    </row>
    <row r="30" spans="1:37" ht="18" customHeight="1" thickBot="1" x14ac:dyDescent="0.3">
      <c r="A30" s="45"/>
      <c r="B30" s="45" t="e">
        <f t="shared" si="0"/>
        <v>#REF!</v>
      </c>
      <c r="D30" s="490" t="s">
        <v>532</v>
      </c>
      <c r="E30" s="491"/>
      <c r="F30" s="492"/>
      <c r="G30" s="272"/>
      <c r="I30" s="272"/>
      <c r="J30" s="278"/>
      <c r="K30" s="278"/>
      <c r="L30" s="278"/>
      <c r="M30" s="278"/>
      <c r="N30" s="278"/>
      <c r="O30" s="278"/>
      <c r="P30" s="278"/>
      <c r="Q30" s="278"/>
      <c r="R30" s="278"/>
      <c r="S30" s="278"/>
      <c r="T30" s="278"/>
      <c r="U30" s="278"/>
      <c r="V30" s="278"/>
      <c r="W30" s="278"/>
      <c r="X30" s="278"/>
      <c r="Y30" s="278"/>
      <c r="Z30" s="278"/>
      <c r="AA30" s="278"/>
      <c r="AB30" s="278"/>
      <c r="AC30" s="278"/>
      <c r="AD30" s="278"/>
      <c r="AE30" s="278"/>
      <c r="AF30" s="278"/>
      <c r="AG30" s="278"/>
      <c r="AH30" s="278"/>
      <c r="AI30" s="278"/>
      <c r="AJ30" s="278"/>
      <c r="AK30" s="272"/>
    </row>
    <row r="31" spans="1:37" ht="13" thickBot="1" x14ac:dyDescent="0.3">
      <c r="A31" s="140">
        <v>1</v>
      </c>
      <c r="B31" s="45" t="e">
        <f t="shared" si="0"/>
        <v>#REF!</v>
      </c>
      <c r="C31" s="140"/>
      <c r="D31" s="295"/>
      <c r="E31" s="295"/>
      <c r="F31" s="295"/>
      <c r="G31" s="140"/>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40"/>
    </row>
    <row r="32" spans="1:37" ht="29.25" customHeight="1" thickBot="1" x14ac:dyDescent="0.3">
      <c r="A32" s="140"/>
      <c r="B32" s="45" t="e">
        <f t="shared" si="0"/>
        <v>#REF!</v>
      </c>
      <c r="C32" s="140"/>
      <c r="D32" s="501" t="s">
        <v>534</v>
      </c>
      <c r="E32" s="502"/>
      <c r="F32" s="502"/>
      <c r="G32" s="503"/>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40"/>
    </row>
    <row r="33" spans="1:37" ht="26.5" thickBot="1" x14ac:dyDescent="0.3">
      <c r="A33" s="140"/>
      <c r="B33" s="45" t="e">
        <f t="shared" si="0"/>
        <v>#REF!</v>
      </c>
      <c r="C33" s="140"/>
      <c r="D33" s="243" t="s">
        <v>523</v>
      </c>
      <c r="E33" s="244" t="s">
        <v>520</v>
      </c>
      <c r="F33" s="244" t="s">
        <v>535</v>
      </c>
      <c r="G33" s="245" t="s">
        <v>521</v>
      </c>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40"/>
    </row>
    <row r="34" spans="1:37" ht="12.5" x14ac:dyDescent="0.25">
      <c r="A34" s="140"/>
      <c r="B34" s="45" t="e">
        <f t="shared" si="0"/>
        <v>#REF!</v>
      </c>
      <c r="C34" s="140"/>
      <c r="D34" s="336" t="s">
        <v>525</v>
      </c>
      <c r="E34" s="337"/>
      <c r="F34" s="337"/>
      <c r="G34" s="338"/>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c r="AH34" s="191"/>
      <c r="AI34" s="191"/>
      <c r="AJ34" s="191"/>
      <c r="AK34" s="140"/>
    </row>
    <row r="35" spans="1:37" ht="12.5" x14ac:dyDescent="0.25">
      <c r="A35" s="140"/>
      <c r="B35" s="45" t="e">
        <f t="shared" si="0"/>
        <v>#REF!</v>
      </c>
      <c r="C35" s="140"/>
      <c r="D35" s="339" t="s">
        <v>526</v>
      </c>
      <c r="E35" s="340"/>
      <c r="F35" s="340"/>
      <c r="G35" s="34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c r="AH35" s="191"/>
      <c r="AI35" s="191"/>
      <c r="AJ35" s="191"/>
      <c r="AK35" s="140"/>
    </row>
    <row r="36" spans="1:37" ht="12.5" x14ac:dyDescent="0.25">
      <c r="A36" s="140"/>
      <c r="B36" s="45" t="e">
        <f t="shared" si="0"/>
        <v>#REF!</v>
      </c>
      <c r="C36" s="140"/>
      <c r="D36" s="339" t="s">
        <v>527</v>
      </c>
      <c r="E36" s="340"/>
      <c r="F36" s="340"/>
      <c r="G36" s="34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1"/>
      <c r="AH36" s="191"/>
      <c r="AI36" s="191"/>
      <c r="AJ36" s="191"/>
      <c r="AK36" s="140"/>
    </row>
    <row r="37" spans="1:37" ht="12.5" x14ac:dyDescent="0.25">
      <c r="A37" s="140"/>
      <c r="B37" s="45" t="e">
        <f t="shared" si="0"/>
        <v>#REF!</v>
      </c>
      <c r="C37" s="140"/>
      <c r="D37" s="339" t="s">
        <v>528</v>
      </c>
      <c r="E37" s="340"/>
      <c r="F37" s="340"/>
      <c r="G37" s="34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40"/>
    </row>
    <row r="38" spans="1:37" ht="12.5" x14ac:dyDescent="0.25">
      <c r="A38" s="140"/>
      <c r="B38" s="45" t="e">
        <f t="shared" si="0"/>
        <v>#REF!</v>
      </c>
      <c r="C38" s="140"/>
      <c r="D38" s="339" t="s">
        <v>529</v>
      </c>
      <c r="E38" s="340"/>
      <c r="F38" s="340"/>
      <c r="G38" s="34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1"/>
      <c r="AH38" s="191"/>
      <c r="AI38" s="191"/>
      <c r="AJ38" s="191"/>
      <c r="AK38" s="140"/>
    </row>
    <row r="39" spans="1:37" ht="12.5" x14ac:dyDescent="0.25">
      <c r="A39" s="140"/>
      <c r="B39" s="45" t="e">
        <f t="shared" si="0"/>
        <v>#REF!</v>
      </c>
      <c r="C39" s="140"/>
      <c r="D39" s="339" t="s">
        <v>536</v>
      </c>
      <c r="E39" s="340"/>
      <c r="F39" s="340"/>
      <c r="G39" s="34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91"/>
      <c r="AI39" s="191"/>
      <c r="AJ39" s="191"/>
      <c r="AK39" s="140"/>
    </row>
    <row r="40" spans="1:37" ht="12.5" x14ac:dyDescent="0.25">
      <c r="A40" s="140"/>
      <c r="B40" s="45" t="e">
        <f t="shared" si="0"/>
        <v>#REF!</v>
      </c>
      <c r="C40" s="140"/>
      <c r="D40" s="339" t="s">
        <v>537</v>
      </c>
      <c r="E40" s="340"/>
      <c r="F40" s="340"/>
      <c r="G40" s="341"/>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1"/>
      <c r="AH40" s="191"/>
      <c r="AI40" s="191"/>
      <c r="AJ40" s="191"/>
      <c r="AK40" s="140"/>
    </row>
    <row r="41" spans="1:37" ht="12.5" x14ac:dyDescent="0.25">
      <c r="A41" s="140"/>
      <c r="B41" s="45" t="e">
        <f t="shared" si="0"/>
        <v>#REF!</v>
      </c>
      <c r="C41" s="140"/>
      <c r="D41" s="339" t="s">
        <v>538</v>
      </c>
      <c r="E41" s="340"/>
      <c r="F41" s="340"/>
      <c r="G41" s="341"/>
      <c r="K41" s="191"/>
      <c r="L41" s="191"/>
      <c r="M41" s="191"/>
      <c r="N41" s="191"/>
      <c r="O41" s="191"/>
      <c r="P41" s="191"/>
      <c r="Q41" s="191"/>
      <c r="R41" s="191"/>
      <c r="S41" s="191"/>
      <c r="T41" s="191"/>
      <c r="U41" s="191"/>
      <c r="V41" s="191"/>
      <c r="W41" s="191"/>
      <c r="X41" s="191"/>
      <c r="Y41" s="191"/>
      <c r="Z41" s="191"/>
      <c r="AA41" s="191"/>
      <c r="AB41" s="191"/>
      <c r="AC41" s="191"/>
      <c r="AD41" s="191"/>
      <c r="AE41" s="191"/>
      <c r="AF41" s="191"/>
      <c r="AG41" s="191"/>
      <c r="AH41" s="191"/>
      <c r="AI41" s="191"/>
      <c r="AJ41" s="191"/>
      <c r="AK41" s="140"/>
    </row>
    <row r="42" spans="1:37" ht="12.5" x14ac:dyDescent="0.25">
      <c r="A42" s="140"/>
      <c r="B42" s="45" t="e">
        <f t="shared" si="0"/>
        <v>#REF!</v>
      </c>
      <c r="C42" s="140"/>
      <c r="D42" s="339" t="s">
        <v>539</v>
      </c>
      <c r="E42" s="340"/>
      <c r="F42" s="340"/>
      <c r="G42" s="34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1"/>
      <c r="AH42" s="191"/>
      <c r="AI42" s="191"/>
      <c r="AJ42" s="191"/>
      <c r="AK42" s="140"/>
    </row>
    <row r="43" spans="1:37" ht="14" x14ac:dyDescent="0.3">
      <c r="A43" s="140"/>
      <c r="B43" s="45" t="e">
        <f t="shared" si="0"/>
        <v>#REF!</v>
      </c>
      <c r="C43" s="140"/>
      <c r="D43" s="339" t="s">
        <v>540</v>
      </c>
      <c r="E43" s="340"/>
      <c r="F43" s="340"/>
      <c r="G43" s="341"/>
      <c r="H43" s="192"/>
      <c r="K43" s="191"/>
      <c r="L43" s="191"/>
      <c r="M43" s="191"/>
      <c r="N43" s="191"/>
      <c r="O43" s="191"/>
      <c r="P43" s="191"/>
      <c r="Q43" s="191"/>
      <c r="R43" s="191"/>
      <c r="S43" s="191"/>
      <c r="T43" s="191"/>
      <c r="U43" s="191"/>
      <c r="V43" s="191"/>
      <c r="W43" s="191"/>
      <c r="X43" s="191"/>
      <c r="Y43" s="191"/>
      <c r="Z43" s="191"/>
      <c r="AA43" s="191"/>
      <c r="AB43" s="191"/>
      <c r="AC43" s="191"/>
      <c r="AD43" s="191"/>
      <c r="AE43" s="191"/>
      <c r="AF43" s="191"/>
      <c r="AG43" s="191"/>
      <c r="AH43" s="191"/>
      <c r="AI43" s="191"/>
      <c r="AJ43" s="191"/>
      <c r="AK43" s="140"/>
    </row>
    <row r="44" spans="1:37" ht="14" x14ac:dyDescent="0.3">
      <c r="A44" s="140"/>
      <c r="B44" s="45" t="e">
        <f t="shared" si="0"/>
        <v>#REF!</v>
      </c>
      <c r="C44" s="140"/>
      <c r="D44" s="339" t="s">
        <v>541</v>
      </c>
      <c r="E44" s="342"/>
      <c r="F44" s="342"/>
      <c r="G44" s="341"/>
      <c r="H44" s="192"/>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c r="AI44" s="191"/>
      <c r="AJ44" s="191"/>
      <c r="AK44" s="140"/>
    </row>
    <row r="45" spans="1:37" ht="14.5" thickBot="1" x14ac:dyDescent="0.35">
      <c r="A45" s="140"/>
      <c r="B45" s="45" t="e">
        <f t="shared" si="0"/>
        <v>#REF!</v>
      </c>
      <c r="C45" s="140"/>
      <c r="D45" s="343" t="s">
        <v>542</v>
      </c>
      <c r="E45" s="344"/>
      <c r="F45" s="344"/>
      <c r="G45" s="345"/>
      <c r="H45" s="192"/>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c r="AI45" s="191"/>
      <c r="AJ45" s="191"/>
      <c r="AK45" s="140"/>
    </row>
    <row r="46" spans="1:37" ht="14.5" thickBot="1" x14ac:dyDescent="0.35">
      <c r="A46" s="140"/>
      <c r="B46" s="45"/>
      <c r="C46" s="140"/>
      <c r="D46" s="278"/>
      <c r="E46" s="295"/>
      <c r="F46" s="295"/>
      <c r="G46" s="140"/>
      <c r="H46" s="192"/>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c r="AH46" s="191"/>
      <c r="AI46" s="191"/>
      <c r="AJ46" s="191"/>
      <c r="AK46" s="140"/>
    </row>
    <row r="47" spans="1:37" s="189" customFormat="1" ht="18" customHeight="1" x14ac:dyDescent="0.25">
      <c r="A47" s="188"/>
      <c r="B47" s="188" t="e">
        <f>#REF!+1</f>
        <v>#REF!</v>
      </c>
      <c r="D47" s="495" t="s">
        <v>543</v>
      </c>
      <c r="E47" s="496"/>
      <c r="F47" s="497"/>
      <c r="J47" s="190"/>
      <c r="K47" s="190"/>
      <c r="L47" s="190"/>
      <c r="M47" s="190"/>
      <c r="N47" s="190"/>
      <c r="O47" s="190"/>
      <c r="P47" s="190"/>
      <c r="Q47" s="190"/>
      <c r="R47" s="190"/>
      <c r="S47" s="190"/>
      <c r="T47" s="190"/>
      <c r="U47" s="190"/>
      <c r="V47" s="190"/>
      <c r="W47" s="190"/>
      <c r="X47" s="190"/>
      <c r="Y47" s="190"/>
      <c r="Z47" s="190"/>
      <c r="AA47" s="190"/>
      <c r="AB47" s="190"/>
      <c r="AC47" s="190"/>
      <c r="AD47" s="190"/>
      <c r="AE47" s="190"/>
      <c r="AF47" s="190"/>
      <c r="AG47" s="190"/>
      <c r="AH47" s="190"/>
      <c r="AI47" s="190"/>
      <c r="AJ47" s="190"/>
    </row>
    <row r="48" spans="1:37" s="189" customFormat="1" ht="18" customHeight="1" thickBot="1" x14ac:dyDescent="0.3">
      <c r="A48" s="188"/>
      <c r="B48" s="188" t="e">
        <f t="shared" si="0"/>
        <v>#REF!</v>
      </c>
      <c r="D48" s="504" t="s">
        <v>544</v>
      </c>
      <c r="E48" s="505"/>
      <c r="F48" s="506"/>
      <c r="J48" s="19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row>
    <row r="49" spans="1:12" ht="12.5" x14ac:dyDescent="0.25">
      <c r="A49" s="45">
        <v>1</v>
      </c>
      <c r="B49" s="45" t="e">
        <f t="shared" si="0"/>
        <v>#REF!</v>
      </c>
    </row>
    <row r="50" spans="1:12" s="54" customFormat="1" ht="20.149999999999999" customHeight="1" x14ac:dyDescent="0.25">
      <c r="A50" s="50">
        <v>1</v>
      </c>
      <c r="B50" s="50" t="e">
        <f t="shared" si="0"/>
        <v>#REF!</v>
      </c>
      <c r="C50" s="51"/>
      <c r="D50" s="435" t="s">
        <v>545</v>
      </c>
      <c r="E50" s="436"/>
      <c r="F50" s="436"/>
      <c r="G50" s="436"/>
      <c r="H50" s="294"/>
      <c r="I50" s="294"/>
      <c r="J50" s="294"/>
      <c r="K50" s="294"/>
      <c r="L50" s="294"/>
    </row>
    <row r="51" spans="1:12" ht="13" thickBot="1" x14ac:dyDescent="0.3">
      <c r="A51" s="45">
        <v>1</v>
      </c>
      <c r="B51" s="45" t="e">
        <f t="shared" si="0"/>
        <v>#REF!</v>
      </c>
    </row>
    <row r="52" spans="1:12" ht="15" customHeight="1" thickBot="1" x14ac:dyDescent="0.4">
      <c r="A52" s="45">
        <v>1</v>
      </c>
      <c r="B52" s="45" t="e">
        <f t="shared" si="0"/>
        <v>#REF!</v>
      </c>
      <c r="D52" s="507" t="s">
        <v>546</v>
      </c>
      <c r="E52" s="507"/>
      <c r="F52" s="507"/>
      <c r="G52" s="195" t="s">
        <v>547</v>
      </c>
      <c r="J52" s="278"/>
      <c r="K52" s="278"/>
      <c r="L52" s="278"/>
    </row>
    <row r="53" spans="1:12" ht="12.5" x14ac:dyDescent="0.25">
      <c r="A53" s="45">
        <v>1</v>
      </c>
      <c r="B53" s="45" t="e">
        <f t="shared" si="0"/>
        <v>#REF!</v>
      </c>
      <c r="D53" s="193"/>
      <c r="E53" s="193"/>
      <c r="F53" s="193"/>
    </row>
    <row r="54" spans="1:12" ht="13" thickBot="1" x14ac:dyDescent="0.3">
      <c r="A54" s="45">
        <v>1</v>
      </c>
      <c r="B54" s="45" t="e">
        <f t="shared" si="0"/>
        <v>#REF!</v>
      </c>
      <c r="D54" s="193"/>
      <c r="E54" s="193"/>
      <c r="F54" s="193"/>
    </row>
    <row r="55" spans="1:12" ht="12.75" customHeight="1" x14ac:dyDescent="0.25">
      <c r="A55" s="45">
        <v>1</v>
      </c>
      <c r="B55" s="45" t="e">
        <f t="shared" si="0"/>
        <v>#REF!</v>
      </c>
      <c r="D55" s="515" t="s">
        <v>548</v>
      </c>
      <c r="E55" s="515"/>
      <c r="F55" s="515"/>
      <c r="G55" s="508"/>
      <c r="H55" s="509"/>
      <c r="I55" s="509"/>
      <c r="J55" s="509"/>
      <c r="K55" s="509"/>
      <c r="L55" s="510"/>
    </row>
    <row r="56" spans="1:12" ht="12.5" x14ac:dyDescent="0.25">
      <c r="A56" s="45">
        <v>1</v>
      </c>
      <c r="B56" s="45" t="e">
        <f t="shared" si="0"/>
        <v>#REF!</v>
      </c>
      <c r="D56" s="515"/>
      <c r="E56" s="515"/>
      <c r="F56" s="515"/>
      <c r="G56" s="455"/>
      <c r="H56" s="456"/>
      <c r="I56" s="456"/>
      <c r="J56" s="456"/>
      <c r="K56" s="456"/>
      <c r="L56" s="454"/>
    </row>
    <row r="57" spans="1:12" ht="12.5" x14ac:dyDescent="0.25">
      <c r="A57" s="45">
        <v>1</v>
      </c>
      <c r="B57" s="45" t="e">
        <f t="shared" si="0"/>
        <v>#REF!</v>
      </c>
      <c r="D57" s="515"/>
      <c r="E57" s="515"/>
      <c r="F57" s="515"/>
      <c r="G57" s="455"/>
      <c r="H57" s="456"/>
      <c r="I57" s="456"/>
      <c r="J57" s="456"/>
      <c r="K57" s="456"/>
      <c r="L57" s="454"/>
    </row>
    <row r="58" spans="1:12" ht="12.5" x14ac:dyDescent="0.25">
      <c r="A58" s="45">
        <v>1</v>
      </c>
      <c r="B58" s="45" t="e">
        <f t="shared" si="0"/>
        <v>#REF!</v>
      </c>
      <c r="D58" s="515"/>
      <c r="E58" s="515"/>
      <c r="F58" s="515"/>
      <c r="G58" s="455"/>
      <c r="H58" s="456"/>
      <c r="I58" s="456"/>
      <c r="J58" s="456"/>
      <c r="K58" s="456"/>
      <c r="L58" s="454"/>
    </row>
    <row r="59" spans="1:12" ht="13" thickBot="1" x14ac:dyDescent="0.3">
      <c r="A59" s="45">
        <v>1</v>
      </c>
      <c r="B59" s="45" t="e">
        <f t="shared" si="0"/>
        <v>#REF!</v>
      </c>
      <c r="D59" s="515"/>
      <c r="E59" s="515"/>
      <c r="F59" s="515"/>
      <c r="G59" s="457"/>
      <c r="H59" s="458"/>
      <c r="I59" s="458"/>
      <c r="J59" s="458"/>
      <c r="K59" s="458"/>
      <c r="L59" s="459"/>
    </row>
    <row r="60" spans="1:12" ht="12.5" x14ac:dyDescent="0.25">
      <c r="A60" s="45">
        <v>1</v>
      </c>
      <c r="B60" s="45" t="e">
        <f t="shared" si="0"/>
        <v>#REF!</v>
      </c>
      <c r="D60" s="193"/>
      <c r="E60" s="193"/>
      <c r="F60" s="193"/>
    </row>
    <row r="61" spans="1:12" ht="13" thickBot="1" x14ac:dyDescent="0.3">
      <c r="A61" s="45">
        <v>1</v>
      </c>
      <c r="B61" s="45" t="e">
        <f t="shared" si="0"/>
        <v>#REF!</v>
      </c>
      <c r="D61" s="193"/>
      <c r="E61" s="193"/>
      <c r="F61" s="193"/>
    </row>
    <row r="62" spans="1:12" ht="15" customHeight="1" thickBot="1" x14ac:dyDescent="0.4">
      <c r="A62" s="45">
        <v>1</v>
      </c>
      <c r="B62" s="45" t="e">
        <f t="shared" si="0"/>
        <v>#REF!</v>
      </c>
      <c r="D62" s="511" t="s">
        <v>549</v>
      </c>
      <c r="E62" s="511"/>
      <c r="F62" s="511"/>
      <c r="G62" s="195" t="s">
        <v>155</v>
      </c>
      <c r="H62" s="25"/>
      <c r="I62" s="25"/>
    </row>
    <row r="63" spans="1:12" ht="14.5" x14ac:dyDescent="0.35">
      <c r="A63" s="45">
        <v>1</v>
      </c>
      <c r="B63" s="45" t="e">
        <f t="shared" si="0"/>
        <v>#REF!</v>
      </c>
      <c r="D63" s="193"/>
      <c r="E63" s="194"/>
      <c r="F63" s="194"/>
      <c r="G63" s="25"/>
      <c r="H63" s="25"/>
      <c r="I63" s="25"/>
    </row>
    <row r="64" spans="1:12" ht="15" thickBot="1" x14ac:dyDescent="0.4">
      <c r="A64" s="45">
        <v>1</v>
      </c>
      <c r="B64" s="45" t="e">
        <f t="shared" si="0"/>
        <v>#REF!</v>
      </c>
      <c r="D64" s="194"/>
      <c r="E64" s="194"/>
      <c r="F64" s="194"/>
      <c r="G64" s="25"/>
      <c r="H64" s="25"/>
      <c r="I64" s="25"/>
    </row>
    <row r="65" spans="1:12" ht="12.75" customHeight="1" x14ac:dyDescent="0.25">
      <c r="A65" s="45">
        <v>1</v>
      </c>
      <c r="B65" s="45" t="e">
        <f t="shared" si="0"/>
        <v>#REF!</v>
      </c>
      <c r="D65" s="515" t="s">
        <v>550</v>
      </c>
      <c r="E65" s="515"/>
      <c r="F65" s="515"/>
      <c r="G65" s="512" t="s">
        <v>795</v>
      </c>
      <c r="H65" s="509"/>
      <c r="I65" s="509"/>
      <c r="J65" s="509"/>
      <c r="K65" s="509"/>
      <c r="L65" s="510"/>
    </row>
    <row r="66" spans="1:12" ht="12.5" x14ac:dyDescent="0.25">
      <c r="A66" s="45">
        <v>1</v>
      </c>
      <c r="B66" s="45" t="e">
        <f t="shared" si="0"/>
        <v>#REF!</v>
      </c>
      <c r="D66" s="515"/>
      <c r="E66" s="515"/>
      <c r="F66" s="515"/>
      <c r="G66" s="455"/>
      <c r="H66" s="456"/>
      <c r="I66" s="456"/>
      <c r="J66" s="456"/>
      <c r="K66" s="456"/>
      <c r="L66" s="454"/>
    </row>
    <row r="67" spans="1:12" ht="12.5" x14ac:dyDescent="0.25">
      <c r="A67" s="45">
        <v>1</v>
      </c>
      <c r="B67" s="45" t="e">
        <f t="shared" si="0"/>
        <v>#REF!</v>
      </c>
      <c r="D67" s="515"/>
      <c r="E67" s="515"/>
      <c r="F67" s="515"/>
      <c r="G67" s="455"/>
      <c r="H67" s="456"/>
      <c r="I67" s="456"/>
      <c r="J67" s="456"/>
      <c r="K67" s="456"/>
      <c r="L67" s="454"/>
    </row>
    <row r="68" spans="1:12" ht="12.5" x14ac:dyDescent="0.25">
      <c r="A68" s="45">
        <v>1</v>
      </c>
      <c r="B68" s="45" t="e">
        <f t="shared" si="0"/>
        <v>#REF!</v>
      </c>
      <c r="D68" s="515"/>
      <c r="E68" s="515"/>
      <c r="F68" s="515"/>
      <c r="G68" s="455"/>
      <c r="H68" s="456"/>
      <c r="I68" s="456"/>
      <c r="J68" s="456"/>
      <c r="K68" s="456"/>
      <c r="L68" s="454"/>
    </row>
    <row r="69" spans="1:12" ht="13" thickBot="1" x14ac:dyDescent="0.3">
      <c r="A69" s="45">
        <v>1</v>
      </c>
      <c r="B69" s="45" t="e">
        <f t="shared" si="0"/>
        <v>#REF!</v>
      </c>
      <c r="D69" s="515"/>
      <c r="E69" s="515"/>
      <c r="F69" s="515"/>
      <c r="G69" s="457"/>
      <c r="H69" s="458"/>
      <c r="I69" s="458"/>
      <c r="J69" s="458"/>
      <c r="K69" s="458"/>
      <c r="L69" s="459"/>
    </row>
    <row r="70" spans="1:12" ht="12.5" x14ac:dyDescent="0.25">
      <c r="A70" s="45">
        <v>1</v>
      </c>
      <c r="B70" s="45" t="e">
        <f t="shared" si="0"/>
        <v>#REF!</v>
      </c>
    </row>
    <row r="71" spans="1:12" ht="13" thickBot="1" x14ac:dyDescent="0.3">
      <c r="A71" s="45">
        <v>1</v>
      </c>
      <c r="B71" s="45" t="e">
        <f t="shared" si="0"/>
        <v>#REF!</v>
      </c>
    </row>
    <row r="72" spans="1:12" ht="15" thickBot="1" x14ac:dyDescent="0.35">
      <c r="A72" s="45">
        <v>1</v>
      </c>
      <c r="B72" s="45" t="e">
        <f t="shared" si="0"/>
        <v>#REF!</v>
      </c>
      <c r="D72" s="513" t="s">
        <v>551</v>
      </c>
      <c r="E72" s="513"/>
      <c r="F72" s="513"/>
      <c r="G72" s="498" t="s">
        <v>791</v>
      </c>
      <c r="H72" s="499"/>
      <c r="I72" s="499"/>
      <c r="J72" s="499"/>
      <c r="K72" s="499"/>
      <c r="L72" s="500"/>
    </row>
    <row r="73" spans="1:12" ht="12.5" x14ac:dyDescent="0.25">
      <c r="A73" s="45">
        <v>1</v>
      </c>
      <c r="B73" s="45" t="e">
        <f t="shared" si="0"/>
        <v>#REF!</v>
      </c>
    </row>
    <row r="74" spans="1:12" ht="13" thickBot="1" x14ac:dyDescent="0.3">
      <c r="A74" s="45">
        <v>1</v>
      </c>
      <c r="B74" s="45" t="e">
        <f t="shared" si="0"/>
        <v>#REF!</v>
      </c>
    </row>
    <row r="75" spans="1:12" ht="33" customHeight="1" thickBot="1" x14ac:dyDescent="0.3">
      <c r="A75" s="45">
        <v>1</v>
      </c>
      <c r="B75" s="45" t="e">
        <f t="shared" si="0"/>
        <v>#REF!</v>
      </c>
      <c r="D75" s="514" t="s">
        <v>552</v>
      </c>
      <c r="E75" s="514"/>
      <c r="F75" s="514"/>
      <c r="G75" s="498" t="s">
        <v>553</v>
      </c>
      <c r="H75" s="499"/>
      <c r="I75" s="499"/>
      <c r="J75" s="499"/>
      <c r="K75" s="499"/>
      <c r="L75" s="500"/>
    </row>
    <row r="76" spans="1:12" ht="12.5" x14ac:dyDescent="0.25">
      <c r="A76" s="45">
        <v>1</v>
      </c>
      <c r="B76" s="45" t="e">
        <f t="shared" si="0"/>
        <v>#REF!</v>
      </c>
    </row>
    <row r="77" spans="1:12" ht="13" thickBot="1" x14ac:dyDescent="0.3">
      <c r="A77" s="45">
        <v>1</v>
      </c>
      <c r="B77" s="45" t="e">
        <f t="shared" si="0"/>
        <v>#REF!</v>
      </c>
    </row>
    <row r="78" spans="1:12" ht="15" thickBot="1" x14ac:dyDescent="0.35">
      <c r="A78" s="45">
        <v>1</v>
      </c>
      <c r="B78" s="45" t="e">
        <f t="shared" si="0"/>
        <v>#REF!</v>
      </c>
      <c r="D78" s="513" t="s">
        <v>554</v>
      </c>
      <c r="E78" s="513"/>
      <c r="F78" s="513"/>
      <c r="G78" s="498" t="s">
        <v>553</v>
      </c>
      <c r="H78" s="499"/>
      <c r="I78" s="499"/>
      <c r="J78" s="499"/>
      <c r="K78" s="499"/>
      <c r="L78" s="500"/>
    </row>
    <row r="79" spans="1:12" ht="12.5" x14ac:dyDescent="0.25">
      <c r="A79" s="45">
        <v>1</v>
      </c>
      <c r="B79" s="45" t="e">
        <f t="shared" si="0"/>
        <v>#REF!</v>
      </c>
    </row>
    <row r="80" spans="1:12" ht="13" thickBot="1" x14ac:dyDescent="0.3">
      <c r="A80" s="45">
        <v>1</v>
      </c>
      <c r="B80" s="45" t="e">
        <f t="shared" si="0"/>
        <v>#REF!</v>
      </c>
    </row>
    <row r="81" spans="1:12" ht="15" thickBot="1" x14ac:dyDescent="0.35">
      <c r="A81" s="45">
        <v>1</v>
      </c>
      <c r="B81" s="45" t="e">
        <f t="shared" si="0"/>
        <v>#REF!</v>
      </c>
      <c r="D81" s="513" t="s">
        <v>555</v>
      </c>
      <c r="E81" s="513"/>
      <c r="F81" s="513"/>
      <c r="G81" s="498" t="s">
        <v>553</v>
      </c>
      <c r="H81" s="499"/>
      <c r="I81" s="499"/>
      <c r="J81" s="499"/>
      <c r="K81" s="499"/>
      <c r="L81" s="500"/>
    </row>
  </sheetData>
  <sheetProtection algorithmName="SHA-512" hashValue="71Yg7YcaSILpZE/JOYFMVehom4dDuoME0l9cLFRlKtEOKcHCM536vKkFLjpggJYZs/MjaupMLq8EpX8iPIbLkw==" saltValue="HYHwfjRBf8JU2/PPNHHe1A==" spinCount="100000" sheet="1" objects="1" scenarios="1"/>
  <mergeCells count="25">
    <mergeCell ref="G81:L81"/>
    <mergeCell ref="D48:F48"/>
    <mergeCell ref="D52:F52"/>
    <mergeCell ref="G55:L59"/>
    <mergeCell ref="D62:F62"/>
    <mergeCell ref="G65:L69"/>
    <mergeCell ref="D50:G50"/>
    <mergeCell ref="D81:F81"/>
    <mergeCell ref="D78:F78"/>
    <mergeCell ref="D75:F75"/>
    <mergeCell ref="D72:F72"/>
    <mergeCell ref="D65:F69"/>
    <mergeCell ref="D55:F59"/>
    <mergeCell ref="D47:F47"/>
    <mergeCell ref="G72:L72"/>
    <mergeCell ref="G75:L75"/>
    <mergeCell ref="G78:L78"/>
    <mergeCell ref="D32:G32"/>
    <mergeCell ref="D26:F26"/>
    <mergeCell ref="D27:F27"/>
    <mergeCell ref="D29:F29"/>
    <mergeCell ref="D30:F30"/>
    <mergeCell ref="D4:G4"/>
    <mergeCell ref="D7:G7"/>
    <mergeCell ref="D5:G5"/>
  </mergeCells>
  <dataValidations disablePrompts="1" count="2">
    <dataValidation type="list" allowBlank="1" showErrorMessage="1" sqref="G62" xr:uid="{00000000-0002-0000-0500-000000000000}">
      <formula1>"Yes,No"</formula1>
    </dataValidation>
    <dataValidation type="list" allowBlank="1" showErrorMessage="1" sqref="G52" xr:uid="{00000000-0002-0000-0500-000001000000}">
      <formula1>"Every year,Every 2 years,Every 3 years,Every 4 years,Every 5 years"</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25"/>
  <sheetViews>
    <sheetView showGridLines="0" topLeftCell="E1" zoomScale="70" zoomScaleNormal="70" workbookViewId="0">
      <selection activeCell="J12" sqref="J12"/>
    </sheetView>
  </sheetViews>
  <sheetFormatPr defaultColWidth="12.54296875" defaultRowHeight="15.75" customHeight="1" x14ac:dyDescent="0.25"/>
  <cols>
    <col min="1" max="2" width="12.54296875" hidden="1"/>
    <col min="3" max="3" width="2.7265625" customWidth="1"/>
    <col min="4" max="4" width="82.54296875" bestFit="1" customWidth="1"/>
    <col min="5" max="6" width="26.453125" customWidth="1"/>
    <col min="7" max="8" width="56.1796875" customWidth="1"/>
    <col min="9" max="9" width="4.26953125" style="46" customWidth="1"/>
    <col min="10" max="16384" width="12.54296875" style="46"/>
  </cols>
  <sheetData>
    <row r="1" spans="1:9" ht="13" thickBot="1" x14ac:dyDescent="0.3">
      <c r="A1" s="45">
        <v>1</v>
      </c>
      <c r="B1" s="45">
        <v>1</v>
      </c>
    </row>
    <row r="2" spans="1:9" s="49" customFormat="1" ht="22.5" customHeight="1" thickBot="1" x14ac:dyDescent="0.3">
      <c r="A2" s="291">
        <v>1</v>
      </c>
      <c r="B2" s="274">
        <f t="shared" ref="B2:B4" si="0">B1+1</f>
        <v>2</v>
      </c>
      <c r="C2"/>
      <c r="D2" s="47" t="s">
        <v>556</v>
      </c>
      <c r="E2" s="48"/>
      <c r="F2" s="48"/>
      <c r="G2" s="48"/>
      <c r="H2" s="323"/>
      <c r="I2" s="324"/>
    </row>
    <row r="3" spans="1:9" ht="12.5" x14ac:dyDescent="0.25">
      <c r="A3" s="45">
        <v>1</v>
      </c>
      <c r="B3" s="45">
        <f t="shared" si="0"/>
        <v>3</v>
      </c>
    </row>
    <row r="4" spans="1:9" s="52" customFormat="1" ht="20.149999999999999" customHeight="1" x14ac:dyDescent="0.25">
      <c r="A4" s="50">
        <v>1</v>
      </c>
      <c r="B4" s="50">
        <f t="shared" si="0"/>
        <v>4</v>
      </c>
      <c r="C4" s="51"/>
      <c r="D4" s="433" t="s">
        <v>35</v>
      </c>
      <c r="E4" s="434"/>
      <c r="F4" s="434"/>
      <c r="G4" s="434"/>
      <c r="H4" s="292"/>
      <c r="I4" s="325"/>
    </row>
    <row r="5" spans="1:9" ht="14" x14ac:dyDescent="0.3">
      <c r="A5" s="45"/>
      <c r="D5" s="53" t="s">
        <v>557</v>
      </c>
      <c r="F5" s="326"/>
      <c r="G5" s="326"/>
      <c r="H5" s="326"/>
      <c r="I5" s="278"/>
    </row>
    <row r="6" spans="1:9" ht="14" x14ac:dyDescent="0.3">
      <c r="A6" s="45"/>
      <c r="D6" s="53" t="s">
        <v>558</v>
      </c>
      <c r="F6" s="326"/>
      <c r="G6" s="326"/>
      <c r="H6" s="326"/>
      <c r="I6" s="278"/>
    </row>
    <row r="7" spans="1:9" ht="12.5" x14ac:dyDescent="0.25">
      <c r="A7" s="45"/>
    </row>
    <row r="8" spans="1:9" s="52" customFormat="1" ht="20.149999999999999" customHeight="1" x14ac:dyDescent="0.25">
      <c r="A8" s="292"/>
      <c r="B8" s="55" t="s">
        <v>559</v>
      </c>
      <c r="C8" s="51"/>
      <c r="D8" s="433" t="s">
        <v>560</v>
      </c>
      <c r="E8" s="434"/>
      <c r="F8" s="434"/>
      <c r="G8" s="434"/>
      <c r="H8" s="292"/>
      <c r="I8" s="325"/>
    </row>
    <row r="9" spans="1:9" ht="13" thickBot="1" x14ac:dyDescent="0.3">
      <c r="A9" s="45"/>
    </row>
    <row r="10" spans="1:9" ht="25" customHeight="1" thickBot="1" x14ac:dyDescent="0.3">
      <c r="A10" s="45">
        <v>1</v>
      </c>
      <c r="B10" s="45">
        <f>B4+1</f>
        <v>5</v>
      </c>
      <c r="D10" s="56" t="s">
        <v>561</v>
      </c>
      <c r="E10" s="57" t="s">
        <v>562</v>
      </c>
      <c r="F10" s="57" t="s">
        <v>124</v>
      </c>
      <c r="G10" s="57" t="s">
        <v>563</v>
      </c>
      <c r="H10" s="58" t="s">
        <v>564</v>
      </c>
    </row>
    <row r="11" spans="1:9" ht="62.5" x14ac:dyDescent="0.25">
      <c r="A11" s="45">
        <v>1</v>
      </c>
      <c r="B11" s="45">
        <f t="shared" ref="B11:B17" si="1">B10+1</f>
        <v>6</v>
      </c>
      <c r="D11" s="59" t="s">
        <v>565</v>
      </c>
      <c r="E11" s="60" t="s">
        <v>142</v>
      </c>
      <c r="F11" s="60" t="s">
        <v>143</v>
      </c>
      <c r="G11" s="60" t="s">
        <v>566</v>
      </c>
      <c r="H11" s="61" t="s">
        <v>567</v>
      </c>
    </row>
    <row r="12" spans="1:9" ht="150" x14ac:dyDescent="0.25">
      <c r="A12" s="45">
        <v>1</v>
      </c>
      <c r="B12" s="45">
        <f t="shared" si="1"/>
        <v>7</v>
      </c>
      <c r="D12" s="62" t="s">
        <v>565</v>
      </c>
      <c r="E12" s="63" t="s">
        <v>142</v>
      </c>
      <c r="F12" s="63" t="s">
        <v>144</v>
      </c>
      <c r="G12" s="63" t="s">
        <v>568</v>
      </c>
      <c r="H12" s="64" t="s">
        <v>569</v>
      </c>
    </row>
    <row r="13" spans="1:9" ht="187.5" x14ac:dyDescent="0.25">
      <c r="A13" s="45">
        <v>1</v>
      </c>
      <c r="B13" s="45">
        <f t="shared" si="1"/>
        <v>8</v>
      </c>
      <c r="D13" s="62" t="s">
        <v>565</v>
      </c>
      <c r="E13" s="63" t="s">
        <v>145</v>
      </c>
      <c r="F13" s="63" t="s">
        <v>146</v>
      </c>
      <c r="G13" s="63" t="s">
        <v>570</v>
      </c>
      <c r="H13" s="64" t="s">
        <v>571</v>
      </c>
    </row>
    <row r="14" spans="1:9" ht="231" customHeight="1" x14ac:dyDescent="0.25">
      <c r="A14" s="45">
        <v>1</v>
      </c>
      <c r="B14" s="45">
        <f t="shared" si="1"/>
        <v>9</v>
      </c>
      <c r="D14" s="62" t="s">
        <v>565</v>
      </c>
      <c r="E14" s="63" t="s">
        <v>145</v>
      </c>
      <c r="F14" s="63" t="s">
        <v>147</v>
      </c>
      <c r="G14" s="63" t="s">
        <v>572</v>
      </c>
      <c r="H14" s="64" t="s">
        <v>573</v>
      </c>
    </row>
    <row r="15" spans="1:9" ht="187.5" x14ac:dyDescent="0.25">
      <c r="A15" s="45">
        <v>1</v>
      </c>
      <c r="B15" s="45">
        <f t="shared" si="1"/>
        <v>10</v>
      </c>
      <c r="D15" s="62" t="s">
        <v>565</v>
      </c>
      <c r="E15" s="63" t="s">
        <v>238</v>
      </c>
      <c r="F15" s="63" t="s">
        <v>149</v>
      </c>
      <c r="G15" s="63" t="s">
        <v>574</v>
      </c>
      <c r="H15" s="64" t="s">
        <v>571</v>
      </c>
    </row>
    <row r="16" spans="1:9" ht="232.9" customHeight="1" x14ac:dyDescent="0.25">
      <c r="A16" s="45">
        <v>1</v>
      </c>
      <c r="B16" s="45">
        <f t="shared" si="1"/>
        <v>11</v>
      </c>
      <c r="D16" s="62" t="s">
        <v>565</v>
      </c>
      <c r="E16" s="63" t="s">
        <v>238</v>
      </c>
      <c r="F16" s="63" t="s">
        <v>144</v>
      </c>
      <c r="G16" s="63" t="s">
        <v>575</v>
      </c>
      <c r="H16" s="64" t="s">
        <v>573</v>
      </c>
    </row>
    <row r="17" spans="1:9" ht="90" customHeight="1" thickBot="1" x14ac:dyDescent="0.3">
      <c r="A17" s="45">
        <v>1</v>
      </c>
      <c r="B17" s="45">
        <f t="shared" si="1"/>
        <v>12</v>
      </c>
      <c r="D17" s="65" t="s">
        <v>565</v>
      </c>
      <c r="E17" s="66" t="s">
        <v>150</v>
      </c>
      <c r="F17" s="66" t="s">
        <v>151</v>
      </c>
      <c r="G17" s="66" t="s">
        <v>576</v>
      </c>
      <c r="H17" s="67"/>
    </row>
    <row r="18" spans="1:9" ht="12.5" x14ac:dyDescent="0.25"/>
    <row r="19" spans="1:9" s="52" customFormat="1" ht="20.149999999999999" customHeight="1" x14ac:dyDescent="0.25">
      <c r="A19" s="50"/>
      <c r="B19" s="50"/>
      <c r="C19" s="51"/>
      <c r="D19" s="433" t="s">
        <v>577</v>
      </c>
      <c r="E19" s="434"/>
      <c r="F19" s="434"/>
      <c r="G19" s="434"/>
      <c r="H19" s="292"/>
      <c r="I19" s="325"/>
    </row>
    <row r="20" spans="1:9" ht="13" thickBot="1" x14ac:dyDescent="0.3">
      <c r="D20" s="272"/>
      <c r="E20" s="272"/>
      <c r="F20" s="272"/>
      <c r="G20" s="272"/>
    </row>
    <row r="21" spans="1:9" ht="25" customHeight="1" thickBot="1" x14ac:dyDescent="0.3">
      <c r="D21" s="68" t="s">
        <v>578</v>
      </c>
      <c r="E21" s="69" t="s">
        <v>579</v>
      </c>
      <c r="F21" s="346"/>
      <c r="G21" s="346"/>
      <c r="H21" s="70"/>
    </row>
    <row r="22" spans="1:9" ht="12.5" x14ac:dyDescent="0.25">
      <c r="D22" s="347" t="s">
        <v>580</v>
      </c>
      <c r="E22" s="348" t="s">
        <v>581</v>
      </c>
      <c r="F22" s="349"/>
      <c r="G22" s="349"/>
      <c r="H22" s="71"/>
    </row>
    <row r="23" spans="1:9" ht="12.5" x14ac:dyDescent="0.25">
      <c r="D23" s="350" t="s">
        <v>582</v>
      </c>
      <c r="E23" s="351" t="s">
        <v>583</v>
      </c>
      <c r="F23" s="352"/>
      <c r="G23" s="352"/>
      <c r="H23" s="72"/>
    </row>
    <row r="24" spans="1:9" ht="13" thickBot="1" x14ac:dyDescent="0.3">
      <c r="D24" s="353" t="s">
        <v>584</v>
      </c>
      <c r="E24" s="354" t="s">
        <v>585</v>
      </c>
      <c r="F24" s="355"/>
      <c r="G24" s="355"/>
      <c r="H24" s="73"/>
    </row>
    <row r="25" spans="1:9" ht="12.5" x14ac:dyDescent="0.25">
      <c r="D25" s="272"/>
      <c r="E25" s="272"/>
      <c r="F25" s="272"/>
      <c r="G25" s="272"/>
    </row>
  </sheetData>
  <sheetProtection algorithmName="SHA-512" hashValue="XOVkjUvZpLHwhpwB7ZJ+Uam45wDpX+3Fnh54iGHu5Hd4e+h4/0VK1W/sLEdvoEJhbefDOctfOJQoMnsDbUoHCA==" saltValue="PMCbqEPIt3YN2Jv0h9MtDw==" spinCount="100000" sheet="1" objects="1" scenarios="1"/>
  <mergeCells count="3">
    <mergeCell ref="D4:G4"/>
    <mergeCell ref="D8:G8"/>
    <mergeCell ref="D19:G1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L1000"/>
  <sheetViews>
    <sheetView showGridLines="0" zoomScale="85" zoomScaleNormal="85" workbookViewId="0"/>
  </sheetViews>
  <sheetFormatPr defaultColWidth="0" defaultRowHeight="15.75" customHeight="1" x14ac:dyDescent="0.25"/>
  <cols>
    <col min="1" max="1" width="2.7265625" customWidth="1"/>
    <col min="2" max="2" width="22.81640625" customWidth="1"/>
    <col min="3" max="10" width="13.453125" customWidth="1"/>
    <col min="11" max="11" width="22.81640625" customWidth="1"/>
    <col min="12" max="88" width="13.453125" customWidth="1"/>
    <col min="89" max="89" width="20.81640625" customWidth="1"/>
    <col min="90" max="97" width="13.453125" customWidth="1"/>
    <col min="98" max="98" width="19.54296875" customWidth="1"/>
    <col min="99" max="138" width="13.453125" customWidth="1"/>
    <col min="139" max="141" width="11.54296875" customWidth="1"/>
    <col min="142" max="142" width="2.7265625" customWidth="1"/>
    <col min="143" max="16384" width="12.54296875" hidden="1"/>
  </cols>
  <sheetData>
    <row r="1" spans="1:141" ht="14.25" customHeight="1" thickBot="1" x14ac:dyDescent="0.4">
      <c r="A1" s="203"/>
      <c r="B1" s="196" t="s">
        <v>586</v>
      </c>
      <c r="C1" s="197" t="s">
        <v>587</v>
      </c>
      <c r="D1" s="197" t="s">
        <v>588</v>
      </c>
      <c r="E1" s="197" t="s">
        <v>589</v>
      </c>
      <c r="F1" s="197" t="s">
        <v>590</v>
      </c>
      <c r="G1" s="197" t="s">
        <v>591</v>
      </c>
      <c r="H1" s="197" t="s">
        <v>592</v>
      </c>
      <c r="I1" s="197" t="s">
        <v>593</v>
      </c>
      <c r="J1" s="197" t="s">
        <v>594</v>
      </c>
      <c r="K1" s="197" t="s">
        <v>595</v>
      </c>
      <c r="L1" s="197" t="s">
        <v>596</v>
      </c>
      <c r="M1" s="197" t="s">
        <v>597</v>
      </c>
      <c r="N1" s="197" t="s">
        <v>598</v>
      </c>
      <c r="O1" s="197" t="s">
        <v>599</v>
      </c>
      <c r="P1" s="197" t="s">
        <v>600</v>
      </c>
      <c r="Q1" s="197" t="s">
        <v>601</v>
      </c>
      <c r="R1" s="197" t="s">
        <v>602</v>
      </c>
      <c r="S1" s="197" t="s">
        <v>603</v>
      </c>
      <c r="T1" s="197" t="s">
        <v>604</v>
      </c>
      <c r="U1" s="197" t="s">
        <v>605</v>
      </c>
      <c r="V1" s="197" t="s">
        <v>606</v>
      </c>
      <c r="W1" s="197" t="s">
        <v>607</v>
      </c>
      <c r="X1" s="197" t="s">
        <v>608</v>
      </c>
      <c r="Y1" s="197" t="s">
        <v>609</v>
      </c>
      <c r="Z1" s="197" t="s">
        <v>610</v>
      </c>
      <c r="AA1" s="197" t="s">
        <v>611</v>
      </c>
      <c r="AB1" s="197" t="s">
        <v>612</v>
      </c>
      <c r="AC1" s="197" t="s">
        <v>613</v>
      </c>
      <c r="AD1" s="197" t="s">
        <v>614</v>
      </c>
      <c r="AE1" s="197" t="s">
        <v>615</v>
      </c>
      <c r="AF1" s="197" t="s">
        <v>616</v>
      </c>
      <c r="AG1" s="197" t="s">
        <v>617</v>
      </c>
      <c r="AH1" s="197" t="s">
        <v>618</v>
      </c>
      <c r="AI1" s="197" t="s">
        <v>619</v>
      </c>
      <c r="AJ1" s="197" t="s">
        <v>620</v>
      </c>
      <c r="AK1" s="197" t="s">
        <v>621</v>
      </c>
      <c r="AL1" s="197" t="s">
        <v>622</v>
      </c>
      <c r="AM1" s="197" t="s">
        <v>623</v>
      </c>
      <c r="AN1" s="197" t="s">
        <v>624</v>
      </c>
      <c r="AO1" s="197" t="s">
        <v>625</v>
      </c>
      <c r="AP1" s="197" t="s">
        <v>626</v>
      </c>
      <c r="AQ1" s="197" t="s">
        <v>627</v>
      </c>
      <c r="AR1" s="197" t="s">
        <v>628</v>
      </c>
      <c r="AS1" s="197" t="s">
        <v>629</v>
      </c>
      <c r="AT1" s="197" t="s">
        <v>630</v>
      </c>
      <c r="AU1" s="197" t="s">
        <v>631</v>
      </c>
      <c r="AV1" s="197" t="s">
        <v>632</v>
      </c>
      <c r="AW1" s="197" t="s">
        <v>633</v>
      </c>
      <c r="AX1" s="197" t="s">
        <v>634</v>
      </c>
      <c r="AY1" s="197" t="s">
        <v>635</v>
      </c>
      <c r="AZ1" s="197" t="s">
        <v>636</v>
      </c>
      <c r="BA1" s="197" t="s">
        <v>637</v>
      </c>
      <c r="BB1" s="197" t="s">
        <v>638</v>
      </c>
      <c r="BC1" s="197" t="s">
        <v>639</v>
      </c>
      <c r="BD1" s="197" t="s">
        <v>640</v>
      </c>
      <c r="BE1" s="197" t="s">
        <v>641</v>
      </c>
      <c r="BF1" s="197" t="s">
        <v>642</v>
      </c>
      <c r="BG1" s="197" t="s">
        <v>643</v>
      </c>
      <c r="BH1" s="197" t="s">
        <v>644</v>
      </c>
      <c r="BI1" s="197" t="s">
        <v>645</v>
      </c>
      <c r="BJ1" s="197" t="s">
        <v>646</v>
      </c>
      <c r="BK1" s="197" t="s">
        <v>647</v>
      </c>
      <c r="BL1" s="197" t="s">
        <v>648</v>
      </c>
      <c r="BM1" s="197" t="s">
        <v>649</v>
      </c>
      <c r="BN1" s="197" t="s">
        <v>650</v>
      </c>
      <c r="BO1" s="197" t="s">
        <v>651</v>
      </c>
      <c r="BP1" s="197" t="s">
        <v>652</v>
      </c>
      <c r="BQ1" s="197" t="s">
        <v>653</v>
      </c>
      <c r="BR1" s="197" t="s">
        <v>654</v>
      </c>
      <c r="BS1" s="197" t="s">
        <v>655</v>
      </c>
      <c r="BT1" s="197" t="s">
        <v>656</v>
      </c>
      <c r="BU1" s="197" t="s">
        <v>657</v>
      </c>
      <c r="BV1" s="197" t="s">
        <v>658</v>
      </c>
      <c r="BW1" s="197" t="s">
        <v>659</v>
      </c>
      <c r="BX1" s="197" t="s">
        <v>660</v>
      </c>
      <c r="BY1" s="197" t="s">
        <v>661</v>
      </c>
      <c r="BZ1" s="197" t="s">
        <v>662</v>
      </c>
      <c r="CA1" s="197" t="s">
        <v>663</v>
      </c>
      <c r="CB1" s="197" t="s">
        <v>664</v>
      </c>
      <c r="CC1" s="197" t="s">
        <v>665</v>
      </c>
      <c r="CD1" s="197" t="s">
        <v>666</v>
      </c>
      <c r="CE1" s="197" t="s">
        <v>667</v>
      </c>
      <c r="CF1" s="197" t="s">
        <v>668</v>
      </c>
      <c r="CG1" s="197" t="s">
        <v>669</v>
      </c>
      <c r="CH1" s="197" t="s">
        <v>670</v>
      </c>
      <c r="CI1" s="197" t="s">
        <v>671</v>
      </c>
      <c r="CJ1" s="197" t="s">
        <v>672</v>
      </c>
      <c r="CK1" s="197" t="s">
        <v>673</v>
      </c>
      <c r="CL1" s="197" t="s">
        <v>674</v>
      </c>
      <c r="CM1" s="197" t="s">
        <v>675</v>
      </c>
      <c r="CN1" s="197" t="s">
        <v>676</v>
      </c>
      <c r="CO1" s="197" t="s">
        <v>677</v>
      </c>
      <c r="CP1" s="197" t="s">
        <v>678</v>
      </c>
      <c r="CQ1" s="197" t="s">
        <v>679</v>
      </c>
      <c r="CR1" s="197" t="s">
        <v>680</v>
      </c>
      <c r="CS1" s="197" t="s">
        <v>681</v>
      </c>
      <c r="CT1" s="197" t="s">
        <v>682</v>
      </c>
      <c r="CU1" s="197" t="s">
        <v>683</v>
      </c>
      <c r="CV1" s="197" t="s">
        <v>684</v>
      </c>
      <c r="CW1" s="197" t="s">
        <v>685</v>
      </c>
      <c r="CX1" s="197" t="s">
        <v>686</v>
      </c>
      <c r="CY1" s="197" t="s">
        <v>687</v>
      </c>
      <c r="CZ1" s="197" t="s">
        <v>688</v>
      </c>
      <c r="DA1" s="197" t="s">
        <v>689</v>
      </c>
      <c r="DB1" s="197" t="s">
        <v>690</v>
      </c>
      <c r="DC1" s="197" t="s">
        <v>691</v>
      </c>
      <c r="DD1" s="197" t="s">
        <v>692</v>
      </c>
      <c r="DE1" s="197" t="s">
        <v>693</v>
      </c>
      <c r="DF1" s="197" t="s">
        <v>694</v>
      </c>
      <c r="DG1" s="197" t="s">
        <v>695</v>
      </c>
      <c r="DH1" s="197" t="s">
        <v>696</v>
      </c>
      <c r="DI1" s="197" t="s">
        <v>697</v>
      </c>
      <c r="DJ1" s="197" t="s">
        <v>698</v>
      </c>
      <c r="DK1" s="197" t="s">
        <v>699</v>
      </c>
      <c r="DL1" s="197" t="s">
        <v>700</v>
      </c>
      <c r="DM1" s="197" t="s">
        <v>701</v>
      </c>
      <c r="DN1" s="197" t="s">
        <v>702</v>
      </c>
      <c r="DO1" s="197" t="s">
        <v>703</v>
      </c>
      <c r="DP1" s="197" t="s">
        <v>704</v>
      </c>
      <c r="DQ1" s="197" t="s">
        <v>705</v>
      </c>
      <c r="DR1" s="197" t="s">
        <v>706</v>
      </c>
      <c r="DS1" s="197" t="s">
        <v>707</v>
      </c>
      <c r="DT1" s="197" t="s">
        <v>708</v>
      </c>
      <c r="DU1" s="197" t="s">
        <v>709</v>
      </c>
      <c r="DV1" s="197" t="s">
        <v>710</v>
      </c>
      <c r="DW1" s="197" t="s">
        <v>711</v>
      </c>
      <c r="DX1" s="197" t="s">
        <v>712</v>
      </c>
      <c r="DY1" s="197" t="s">
        <v>713</v>
      </c>
      <c r="DZ1" s="197" t="s">
        <v>714</v>
      </c>
      <c r="EA1" s="197" t="s">
        <v>715</v>
      </c>
      <c r="EB1" s="197" t="s">
        <v>716</v>
      </c>
      <c r="EC1" s="197" t="s">
        <v>717</v>
      </c>
      <c r="ED1" s="197" t="s">
        <v>718</v>
      </c>
      <c r="EE1" s="197" t="s">
        <v>719</v>
      </c>
      <c r="EF1" s="197" t="s">
        <v>720</v>
      </c>
      <c r="EG1" s="197" t="s">
        <v>721</v>
      </c>
      <c r="EH1" s="198" t="s">
        <v>722</v>
      </c>
      <c r="EI1" s="203"/>
      <c r="EJ1" s="203"/>
      <c r="EK1" s="203"/>
    </row>
    <row r="2" spans="1:141" ht="14.25" customHeight="1" x14ac:dyDescent="0.25">
      <c r="B2" s="204" t="s">
        <v>253</v>
      </c>
      <c r="C2" s="205" t="s">
        <v>67</v>
      </c>
      <c r="D2" s="205" t="s">
        <v>67</v>
      </c>
      <c r="E2" s="205" t="s">
        <v>67</v>
      </c>
      <c r="F2" s="205" t="s">
        <v>67</v>
      </c>
      <c r="G2" s="205" t="s">
        <v>67</v>
      </c>
      <c r="H2" s="205" t="s">
        <v>67</v>
      </c>
      <c r="I2" s="205" t="s">
        <v>67</v>
      </c>
      <c r="J2" s="205" t="s">
        <v>67</v>
      </c>
      <c r="K2" s="205" t="s">
        <v>723</v>
      </c>
      <c r="L2" s="205" t="s">
        <v>67</v>
      </c>
      <c r="M2" s="205" t="s">
        <v>67</v>
      </c>
      <c r="N2" s="205" t="s">
        <v>67</v>
      </c>
      <c r="O2" s="205" t="s">
        <v>67</v>
      </c>
      <c r="P2" s="205" t="s">
        <v>67</v>
      </c>
      <c r="Q2" s="205" t="s">
        <v>67</v>
      </c>
      <c r="R2" s="205" t="s">
        <v>67</v>
      </c>
      <c r="S2" s="205" t="s">
        <v>67</v>
      </c>
      <c r="T2" s="205" t="s">
        <v>67</v>
      </c>
      <c r="U2" s="205" t="s">
        <v>67</v>
      </c>
      <c r="V2" s="205" t="s">
        <v>67</v>
      </c>
      <c r="W2" s="205" t="s">
        <v>67</v>
      </c>
      <c r="X2" s="205" t="s">
        <v>67</v>
      </c>
      <c r="Y2" s="205" t="s">
        <v>67</v>
      </c>
      <c r="Z2" s="205" t="s">
        <v>67</v>
      </c>
      <c r="AA2" s="205" t="s">
        <v>67</v>
      </c>
      <c r="AB2" s="205" t="s">
        <v>67</v>
      </c>
      <c r="AC2" s="205" t="s">
        <v>67</v>
      </c>
      <c r="AD2" s="205" t="s">
        <v>67</v>
      </c>
      <c r="AE2" s="205" t="s">
        <v>67</v>
      </c>
      <c r="AF2" s="205" t="s">
        <v>67</v>
      </c>
      <c r="AG2" s="205" t="s">
        <v>67</v>
      </c>
      <c r="AH2" s="205" t="s">
        <v>67</v>
      </c>
      <c r="AI2" s="205" t="s">
        <v>67</v>
      </c>
      <c r="AJ2" s="205" t="s">
        <v>67</v>
      </c>
      <c r="AK2" s="205" t="s">
        <v>67</v>
      </c>
      <c r="AL2" s="205" t="s">
        <v>67</v>
      </c>
      <c r="AM2" s="205" t="s">
        <v>67</v>
      </c>
      <c r="AN2" s="205" t="s">
        <v>67</v>
      </c>
      <c r="AO2" s="205" t="s">
        <v>67</v>
      </c>
      <c r="AP2" s="205" t="s">
        <v>67</v>
      </c>
      <c r="AQ2" s="205" t="s">
        <v>67</v>
      </c>
      <c r="AR2" s="205" t="s">
        <v>67</v>
      </c>
      <c r="AS2" s="205" t="s">
        <v>67</v>
      </c>
      <c r="AT2" s="205" t="s">
        <v>67</v>
      </c>
      <c r="AU2" s="205" t="s">
        <v>67</v>
      </c>
      <c r="AV2" s="205" t="s">
        <v>67</v>
      </c>
      <c r="AW2" s="205" t="s">
        <v>67</v>
      </c>
      <c r="AX2" s="205" t="s">
        <v>67</v>
      </c>
      <c r="AY2" s="205" t="s">
        <v>67</v>
      </c>
      <c r="AZ2" s="205" t="s">
        <v>67</v>
      </c>
      <c r="BA2" s="205" t="s">
        <v>67</v>
      </c>
      <c r="BB2" s="205" t="s">
        <v>67</v>
      </c>
      <c r="BC2" s="205" t="s">
        <v>67</v>
      </c>
      <c r="BD2" s="205" t="s">
        <v>67</v>
      </c>
      <c r="BE2" s="205" t="s">
        <v>67</v>
      </c>
      <c r="BF2" s="205" t="s">
        <v>67</v>
      </c>
      <c r="BG2" s="205" t="s">
        <v>67</v>
      </c>
      <c r="BH2" s="205" t="s">
        <v>67</v>
      </c>
      <c r="BI2" s="205" t="s">
        <v>67</v>
      </c>
      <c r="BJ2" s="205" t="s">
        <v>67</v>
      </c>
      <c r="BK2" s="205" t="s">
        <v>67</v>
      </c>
      <c r="BL2" s="205" t="s">
        <v>67</v>
      </c>
      <c r="BM2" s="205" t="s">
        <v>67</v>
      </c>
      <c r="BN2" s="205" t="s">
        <v>67</v>
      </c>
      <c r="BO2" s="205" t="s">
        <v>67</v>
      </c>
      <c r="BP2" s="205" t="s">
        <v>67</v>
      </c>
      <c r="BQ2" s="205" t="s">
        <v>67</v>
      </c>
      <c r="BR2" s="205" t="s">
        <v>67</v>
      </c>
      <c r="BS2" s="205" t="s">
        <v>67</v>
      </c>
      <c r="BT2" s="205" t="s">
        <v>67</v>
      </c>
      <c r="BU2" s="205" t="s">
        <v>67</v>
      </c>
      <c r="BV2" s="205" t="s">
        <v>67</v>
      </c>
      <c r="BW2" s="205" t="s">
        <v>67</v>
      </c>
      <c r="BX2" s="205" t="s">
        <v>67</v>
      </c>
      <c r="BY2" s="205" t="s">
        <v>67</v>
      </c>
      <c r="BZ2" s="205" t="s">
        <v>67</v>
      </c>
      <c r="CA2" s="205" t="s">
        <v>67</v>
      </c>
      <c r="CB2" s="205" t="s">
        <v>67</v>
      </c>
      <c r="CC2" s="205" t="s">
        <v>67</v>
      </c>
      <c r="CD2" s="205" t="s">
        <v>67</v>
      </c>
      <c r="CE2" s="205" t="s">
        <v>67</v>
      </c>
      <c r="CF2" s="205" t="s">
        <v>67</v>
      </c>
      <c r="CG2" s="205" t="s">
        <v>67</v>
      </c>
      <c r="CH2" s="205" t="s">
        <v>67</v>
      </c>
      <c r="CI2" s="205" t="s">
        <v>67</v>
      </c>
      <c r="CJ2" s="205" t="s">
        <v>67</v>
      </c>
      <c r="CK2" s="205" t="s">
        <v>344</v>
      </c>
      <c r="CL2" s="205" t="s">
        <v>67</v>
      </c>
      <c r="CM2" s="205" t="s">
        <v>67</v>
      </c>
      <c r="CN2" s="205" t="s">
        <v>67</v>
      </c>
      <c r="CO2" s="205" t="s">
        <v>67</v>
      </c>
      <c r="CP2" s="205" t="s">
        <v>67</v>
      </c>
      <c r="CQ2" s="205" t="s">
        <v>67</v>
      </c>
      <c r="CR2" s="205" t="s">
        <v>67</v>
      </c>
      <c r="CS2" s="205" t="s">
        <v>67</v>
      </c>
      <c r="CT2" s="205" t="s">
        <v>724</v>
      </c>
      <c r="CU2" s="205" t="s">
        <v>67</v>
      </c>
      <c r="CV2" s="205" t="s">
        <v>67</v>
      </c>
      <c r="CW2" s="205" t="s">
        <v>67</v>
      </c>
      <c r="CX2" s="205" t="s">
        <v>67</v>
      </c>
      <c r="CY2" s="205" t="s">
        <v>67</v>
      </c>
      <c r="CZ2" s="205" t="s">
        <v>67</v>
      </c>
      <c r="DA2" s="205" t="s">
        <v>67</v>
      </c>
      <c r="DB2" s="205" t="s">
        <v>67</v>
      </c>
      <c r="DC2" s="205" t="s">
        <v>67</v>
      </c>
      <c r="DD2" s="205" t="s">
        <v>67</v>
      </c>
      <c r="DE2" s="206"/>
      <c r="DF2" s="205" t="s">
        <v>67</v>
      </c>
      <c r="DG2" s="205" t="s">
        <v>67</v>
      </c>
      <c r="DH2" s="205" t="s">
        <v>67</v>
      </c>
      <c r="DI2" s="205" t="s">
        <v>67</v>
      </c>
      <c r="DJ2" s="205" t="s">
        <v>67</v>
      </c>
      <c r="DK2" s="205" t="s">
        <v>67</v>
      </c>
      <c r="DL2" s="205" t="s">
        <v>67</v>
      </c>
      <c r="DM2" s="205" t="s">
        <v>67</v>
      </c>
      <c r="DN2" s="206"/>
      <c r="DO2" s="206"/>
      <c r="DP2" s="205" t="s">
        <v>725</v>
      </c>
      <c r="DQ2" s="205" t="s">
        <v>725</v>
      </c>
      <c r="DR2" s="205" t="s">
        <v>726</v>
      </c>
      <c r="DS2" s="205" t="s">
        <v>67</v>
      </c>
      <c r="DT2" s="205" t="s">
        <v>727</v>
      </c>
      <c r="DU2" s="205" t="s">
        <v>67</v>
      </c>
      <c r="DV2" s="205" t="s">
        <v>728</v>
      </c>
      <c r="DW2" s="205" t="s">
        <v>728</v>
      </c>
      <c r="DX2" s="205" t="s">
        <v>729</v>
      </c>
      <c r="DY2" s="206"/>
      <c r="DZ2" s="205" t="s">
        <v>728</v>
      </c>
      <c r="EA2" s="206"/>
      <c r="EB2" s="205" t="s">
        <v>728</v>
      </c>
      <c r="EC2" s="206"/>
      <c r="ED2" s="205" t="s">
        <v>728</v>
      </c>
      <c r="EE2" s="206"/>
      <c r="EF2" s="205" t="s">
        <v>728</v>
      </c>
      <c r="EG2" s="206"/>
      <c r="EH2" s="207" t="s">
        <v>728</v>
      </c>
      <c r="EI2" s="208" t="s">
        <v>485</v>
      </c>
      <c r="EJ2" s="209" t="s">
        <v>730</v>
      </c>
      <c r="EK2" s="210" t="s">
        <v>731</v>
      </c>
    </row>
    <row r="3" spans="1:141" ht="14.25" customHeight="1" x14ac:dyDescent="0.25">
      <c r="B3" s="211" t="s">
        <v>732</v>
      </c>
      <c r="C3" s="212" t="s">
        <v>155</v>
      </c>
      <c r="D3" s="212" t="s">
        <v>155</v>
      </c>
      <c r="E3" s="212" t="s">
        <v>155</v>
      </c>
      <c r="F3" s="212" t="s">
        <v>155</v>
      </c>
      <c r="G3" s="212" t="s">
        <v>155</v>
      </c>
      <c r="H3" s="212" t="s">
        <v>155</v>
      </c>
      <c r="I3" s="212" t="s">
        <v>155</v>
      </c>
      <c r="J3" s="212" t="s">
        <v>155</v>
      </c>
      <c r="K3" s="212" t="s">
        <v>733</v>
      </c>
      <c r="L3" s="212" t="s">
        <v>155</v>
      </c>
      <c r="M3" s="212" t="s">
        <v>155</v>
      </c>
      <c r="N3" s="212" t="s">
        <v>155</v>
      </c>
      <c r="O3" s="212" t="s">
        <v>155</v>
      </c>
      <c r="P3" s="212" t="s">
        <v>155</v>
      </c>
      <c r="Q3" s="212" t="s">
        <v>155</v>
      </c>
      <c r="R3" s="212" t="s">
        <v>155</v>
      </c>
      <c r="S3" s="212" t="s">
        <v>155</v>
      </c>
      <c r="T3" s="212" t="s">
        <v>155</v>
      </c>
      <c r="U3" s="212" t="s">
        <v>155</v>
      </c>
      <c r="V3" s="212" t="s">
        <v>155</v>
      </c>
      <c r="W3" s="212" t="s">
        <v>155</v>
      </c>
      <c r="X3" s="212" t="s">
        <v>155</v>
      </c>
      <c r="Y3" s="212" t="s">
        <v>155</v>
      </c>
      <c r="Z3" s="212" t="s">
        <v>155</v>
      </c>
      <c r="AA3" s="212" t="s">
        <v>155</v>
      </c>
      <c r="AB3" s="212" t="s">
        <v>155</v>
      </c>
      <c r="AC3" s="212" t="s">
        <v>155</v>
      </c>
      <c r="AD3" s="212" t="s">
        <v>155</v>
      </c>
      <c r="AE3" s="212" t="s">
        <v>155</v>
      </c>
      <c r="AF3" s="212" t="s">
        <v>155</v>
      </c>
      <c r="AG3" s="212" t="s">
        <v>155</v>
      </c>
      <c r="AH3" s="212" t="s">
        <v>155</v>
      </c>
      <c r="AI3" s="212" t="s">
        <v>155</v>
      </c>
      <c r="AJ3" s="212" t="s">
        <v>155</v>
      </c>
      <c r="AK3" s="212" t="s">
        <v>155</v>
      </c>
      <c r="AL3" s="212" t="s">
        <v>155</v>
      </c>
      <c r="AM3" s="212" t="s">
        <v>155</v>
      </c>
      <c r="AN3" s="212" t="s">
        <v>155</v>
      </c>
      <c r="AO3" s="212" t="s">
        <v>155</v>
      </c>
      <c r="AP3" s="212" t="s">
        <v>155</v>
      </c>
      <c r="AQ3" s="212" t="s">
        <v>155</v>
      </c>
      <c r="AR3" s="212" t="s">
        <v>155</v>
      </c>
      <c r="AS3" s="212" t="s">
        <v>155</v>
      </c>
      <c r="AT3" s="212" t="s">
        <v>155</v>
      </c>
      <c r="AU3" s="212" t="s">
        <v>155</v>
      </c>
      <c r="AV3" s="212" t="s">
        <v>155</v>
      </c>
      <c r="AW3" s="212" t="s">
        <v>155</v>
      </c>
      <c r="AX3" s="212" t="s">
        <v>155</v>
      </c>
      <c r="AY3" s="212" t="s">
        <v>155</v>
      </c>
      <c r="AZ3" s="212" t="s">
        <v>155</v>
      </c>
      <c r="BA3" s="212" t="s">
        <v>155</v>
      </c>
      <c r="BB3" s="212" t="s">
        <v>155</v>
      </c>
      <c r="BC3" s="212" t="s">
        <v>155</v>
      </c>
      <c r="BD3" s="212" t="s">
        <v>155</v>
      </c>
      <c r="BE3" s="212" t="s">
        <v>155</v>
      </c>
      <c r="BF3" s="212" t="s">
        <v>155</v>
      </c>
      <c r="BG3" s="212" t="s">
        <v>155</v>
      </c>
      <c r="BH3" s="212" t="s">
        <v>155</v>
      </c>
      <c r="BI3" s="212" t="s">
        <v>155</v>
      </c>
      <c r="BJ3" s="212" t="s">
        <v>155</v>
      </c>
      <c r="BK3" s="212" t="s">
        <v>155</v>
      </c>
      <c r="BL3" s="212" t="s">
        <v>155</v>
      </c>
      <c r="BM3" s="212" t="s">
        <v>155</v>
      </c>
      <c r="BN3" s="212" t="s">
        <v>155</v>
      </c>
      <c r="BO3" s="212" t="s">
        <v>155</v>
      </c>
      <c r="BP3" s="212" t="s">
        <v>155</v>
      </c>
      <c r="BQ3" s="212" t="s">
        <v>155</v>
      </c>
      <c r="BR3" s="212" t="s">
        <v>155</v>
      </c>
      <c r="BS3" s="212" t="s">
        <v>155</v>
      </c>
      <c r="BT3" s="212" t="s">
        <v>155</v>
      </c>
      <c r="BU3" s="212" t="s">
        <v>155</v>
      </c>
      <c r="BV3" s="212" t="s">
        <v>155</v>
      </c>
      <c r="BW3" s="212" t="s">
        <v>155</v>
      </c>
      <c r="BX3" s="212" t="s">
        <v>155</v>
      </c>
      <c r="BY3" s="212" t="s">
        <v>155</v>
      </c>
      <c r="BZ3" s="212" t="s">
        <v>155</v>
      </c>
      <c r="CA3" s="212" t="s">
        <v>155</v>
      </c>
      <c r="CB3" s="212" t="s">
        <v>155</v>
      </c>
      <c r="CC3" s="212" t="s">
        <v>155</v>
      </c>
      <c r="CD3" s="212" t="s">
        <v>155</v>
      </c>
      <c r="CE3" s="212" t="s">
        <v>155</v>
      </c>
      <c r="CF3" s="212" t="s">
        <v>155</v>
      </c>
      <c r="CG3" s="212" t="s">
        <v>155</v>
      </c>
      <c r="CH3" s="212" t="s">
        <v>155</v>
      </c>
      <c r="CI3" s="212" t="s">
        <v>155</v>
      </c>
      <c r="CJ3" s="212" t="s">
        <v>155</v>
      </c>
      <c r="CK3" s="212" t="s">
        <v>734</v>
      </c>
      <c r="CL3" s="212" t="s">
        <v>155</v>
      </c>
      <c r="CM3" s="212" t="s">
        <v>155</v>
      </c>
      <c r="CN3" s="212" t="s">
        <v>155</v>
      </c>
      <c r="CO3" s="212" t="s">
        <v>155</v>
      </c>
      <c r="CP3" s="212" t="s">
        <v>155</v>
      </c>
      <c r="CQ3" s="212" t="s">
        <v>155</v>
      </c>
      <c r="CR3" s="212" t="s">
        <v>155</v>
      </c>
      <c r="CS3" s="212" t="s">
        <v>155</v>
      </c>
      <c r="CT3" s="212" t="s">
        <v>735</v>
      </c>
      <c r="CU3" s="212" t="s">
        <v>155</v>
      </c>
      <c r="CV3" s="212" t="s">
        <v>155</v>
      </c>
      <c r="CW3" s="212" t="s">
        <v>155</v>
      </c>
      <c r="CX3" s="212" t="s">
        <v>155</v>
      </c>
      <c r="CY3" s="212" t="s">
        <v>155</v>
      </c>
      <c r="CZ3" s="212" t="s">
        <v>155</v>
      </c>
      <c r="DA3" s="212" t="s">
        <v>155</v>
      </c>
      <c r="DB3" s="212" t="s">
        <v>155</v>
      </c>
      <c r="DC3" s="212" t="s">
        <v>155</v>
      </c>
      <c r="DD3" s="212" t="s">
        <v>155</v>
      </c>
      <c r="DE3" s="213"/>
      <c r="DF3" s="212" t="s">
        <v>155</v>
      </c>
      <c r="DG3" s="212" t="s">
        <v>155</v>
      </c>
      <c r="DH3" s="212" t="s">
        <v>155</v>
      </c>
      <c r="DI3" s="212" t="s">
        <v>155</v>
      </c>
      <c r="DJ3" s="212" t="s">
        <v>155</v>
      </c>
      <c r="DK3" s="212" t="s">
        <v>155</v>
      </c>
      <c r="DL3" s="212" t="s">
        <v>155</v>
      </c>
      <c r="DM3" s="212" t="s">
        <v>155</v>
      </c>
      <c r="DN3" s="213"/>
      <c r="DO3" s="213"/>
      <c r="DP3" s="212" t="s">
        <v>428</v>
      </c>
      <c r="DQ3" s="212" t="s">
        <v>428</v>
      </c>
      <c r="DR3" s="212" t="s">
        <v>433</v>
      </c>
      <c r="DS3" s="212" t="s">
        <v>155</v>
      </c>
      <c r="DT3" s="212" t="s">
        <v>736</v>
      </c>
      <c r="DU3" s="212" t="s">
        <v>155</v>
      </c>
      <c r="DV3" s="212" t="s">
        <v>737</v>
      </c>
      <c r="DW3" s="212" t="s">
        <v>737</v>
      </c>
      <c r="DX3" s="212" t="s">
        <v>738</v>
      </c>
      <c r="DY3" s="213"/>
      <c r="DZ3" s="212" t="s">
        <v>737</v>
      </c>
      <c r="EA3" s="213"/>
      <c r="EB3" s="212" t="s">
        <v>737</v>
      </c>
      <c r="EC3" s="213"/>
      <c r="ED3" s="212" t="s">
        <v>737</v>
      </c>
      <c r="EE3" s="213"/>
      <c r="EF3" s="212" t="s">
        <v>737</v>
      </c>
      <c r="EG3" s="213"/>
      <c r="EH3" s="214" t="s">
        <v>737</v>
      </c>
      <c r="EI3" s="199" t="s">
        <v>739</v>
      </c>
      <c r="EJ3" s="200" t="s">
        <v>740</v>
      </c>
      <c r="EK3" s="201" t="s">
        <v>741</v>
      </c>
    </row>
    <row r="4" spans="1:141" ht="14.25" customHeight="1" x14ac:dyDescent="0.25">
      <c r="B4" s="211" t="s">
        <v>742</v>
      </c>
      <c r="C4" s="213"/>
      <c r="D4" s="213"/>
      <c r="E4" s="213"/>
      <c r="F4" s="213"/>
      <c r="G4" s="213"/>
      <c r="H4" s="213"/>
      <c r="I4" s="213"/>
      <c r="J4" s="213"/>
      <c r="K4" s="212" t="s">
        <v>743</v>
      </c>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2" t="s">
        <v>744</v>
      </c>
      <c r="CL4" s="213"/>
      <c r="CM4" s="213"/>
      <c r="CN4" s="213"/>
      <c r="CO4" s="213"/>
      <c r="CP4" s="213"/>
      <c r="CQ4" s="213"/>
      <c r="CR4" s="213"/>
      <c r="CS4" s="213"/>
      <c r="CT4" s="212" t="s">
        <v>745</v>
      </c>
      <c r="CU4" s="213"/>
      <c r="CV4" s="213"/>
      <c r="CW4" s="213"/>
      <c r="CX4" s="213"/>
      <c r="CY4" s="213"/>
      <c r="CZ4" s="213"/>
      <c r="DA4" s="213"/>
      <c r="DB4" s="213"/>
      <c r="DC4" s="213"/>
      <c r="DD4" s="213"/>
      <c r="DE4" s="213"/>
      <c r="DF4" s="213"/>
      <c r="DG4" s="213"/>
      <c r="DH4" s="213"/>
      <c r="DI4" s="213"/>
      <c r="DJ4" s="213"/>
      <c r="DK4" s="213"/>
      <c r="DL4" s="213"/>
      <c r="DM4" s="213"/>
      <c r="DN4" s="213"/>
      <c r="DO4" s="213"/>
      <c r="DP4" s="212" t="s">
        <v>746</v>
      </c>
      <c r="DQ4" s="212" t="s">
        <v>746</v>
      </c>
      <c r="DR4" s="212" t="s">
        <v>747</v>
      </c>
      <c r="DS4" s="213"/>
      <c r="DT4" s="212" t="s">
        <v>748</v>
      </c>
      <c r="DU4" s="213"/>
      <c r="DV4" s="212" t="s">
        <v>473</v>
      </c>
      <c r="DW4" s="212" t="s">
        <v>473</v>
      </c>
      <c r="DX4" s="212" t="s">
        <v>749</v>
      </c>
      <c r="DY4" s="213"/>
      <c r="DZ4" s="212" t="s">
        <v>473</v>
      </c>
      <c r="EA4" s="213"/>
      <c r="EB4" s="212" t="s">
        <v>473</v>
      </c>
      <c r="EC4" s="213"/>
      <c r="ED4" s="212" t="s">
        <v>473</v>
      </c>
      <c r="EE4" s="213"/>
      <c r="EF4" s="212" t="s">
        <v>473</v>
      </c>
      <c r="EG4" s="213"/>
      <c r="EH4" s="214" t="s">
        <v>473</v>
      </c>
      <c r="EI4" s="199" t="s">
        <v>750</v>
      </c>
      <c r="EJ4" s="200" t="s">
        <v>487</v>
      </c>
      <c r="EK4" s="201" t="s">
        <v>751</v>
      </c>
    </row>
    <row r="5" spans="1:141" ht="14.25" customHeight="1" x14ac:dyDescent="0.25">
      <c r="B5" s="211" t="s">
        <v>752</v>
      </c>
      <c r="C5" s="213"/>
      <c r="D5" s="213"/>
      <c r="E5" s="213"/>
      <c r="F5" s="213"/>
      <c r="G5" s="213"/>
      <c r="H5" s="213"/>
      <c r="I5" s="213"/>
      <c r="J5" s="213"/>
      <c r="K5" s="212" t="s">
        <v>753</v>
      </c>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2" t="s">
        <v>754</v>
      </c>
      <c r="CL5" s="213"/>
      <c r="CM5" s="213"/>
      <c r="CN5" s="213"/>
      <c r="CO5" s="213"/>
      <c r="CP5" s="213"/>
      <c r="CQ5" s="213"/>
      <c r="CR5" s="213"/>
      <c r="CS5" s="213"/>
      <c r="CT5" s="212" t="s">
        <v>359</v>
      </c>
      <c r="CU5" s="213"/>
      <c r="CV5" s="213"/>
      <c r="CW5" s="213"/>
      <c r="CX5" s="213"/>
      <c r="CY5" s="213"/>
      <c r="CZ5" s="213"/>
      <c r="DA5" s="213"/>
      <c r="DB5" s="213"/>
      <c r="DC5" s="213"/>
      <c r="DD5" s="213"/>
      <c r="DE5" s="213"/>
      <c r="DF5" s="213"/>
      <c r="DG5" s="213"/>
      <c r="DH5" s="213"/>
      <c r="DI5" s="213"/>
      <c r="DJ5" s="213"/>
      <c r="DK5" s="213"/>
      <c r="DL5" s="213"/>
      <c r="DM5" s="213"/>
      <c r="DN5" s="213"/>
      <c r="DO5" s="213"/>
      <c r="DP5" s="212" t="s">
        <v>755</v>
      </c>
      <c r="DQ5" s="212" t="s">
        <v>755</v>
      </c>
      <c r="DR5" s="212" t="s">
        <v>749</v>
      </c>
      <c r="DS5" s="213"/>
      <c r="DT5" s="212" t="s">
        <v>756</v>
      </c>
      <c r="DU5" s="213"/>
      <c r="DV5" s="212" t="s">
        <v>466</v>
      </c>
      <c r="DW5" s="212" t="s">
        <v>466</v>
      </c>
      <c r="DX5" s="212" t="s">
        <v>757</v>
      </c>
      <c r="DY5" s="213"/>
      <c r="DZ5" s="212" t="s">
        <v>466</v>
      </c>
      <c r="EA5" s="213"/>
      <c r="EB5" s="212" t="s">
        <v>466</v>
      </c>
      <c r="EC5" s="213"/>
      <c r="ED5" s="212" t="s">
        <v>466</v>
      </c>
      <c r="EE5" s="213"/>
      <c r="EF5" s="212" t="s">
        <v>466</v>
      </c>
      <c r="EG5" s="213"/>
      <c r="EH5" s="214" t="s">
        <v>466</v>
      </c>
      <c r="EI5" s="199" t="s">
        <v>758</v>
      </c>
      <c r="EJ5" s="200" t="s">
        <v>759</v>
      </c>
      <c r="EK5" s="201" t="s">
        <v>480</v>
      </c>
    </row>
    <row r="6" spans="1:141" ht="14.25" customHeight="1" thickBot="1" x14ac:dyDescent="0.3">
      <c r="B6" s="215"/>
      <c r="C6" s="216"/>
      <c r="D6" s="216"/>
      <c r="E6" s="216"/>
      <c r="F6" s="216"/>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7" t="s">
        <v>760</v>
      </c>
      <c r="CL6" s="216"/>
      <c r="CM6" s="216"/>
      <c r="CN6" s="216"/>
      <c r="CO6" s="216"/>
      <c r="CP6" s="216"/>
      <c r="CQ6" s="216"/>
      <c r="CR6" s="216"/>
      <c r="CS6" s="216"/>
      <c r="CT6" s="216"/>
      <c r="CU6" s="216"/>
      <c r="CV6" s="216"/>
      <c r="CW6" s="216"/>
      <c r="CX6" s="216"/>
      <c r="CY6" s="216"/>
      <c r="CZ6" s="216"/>
      <c r="DA6" s="216"/>
      <c r="DB6" s="216"/>
      <c r="DC6" s="216"/>
      <c r="DD6" s="216"/>
      <c r="DE6" s="216"/>
      <c r="DF6" s="216"/>
      <c r="DG6" s="216"/>
      <c r="DH6" s="216"/>
      <c r="DI6" s="216"/>
      <c r="DJ6" s="216"/>
      <c r="DK6" s="216"/>
      <c r="DL6" s="216"/>
      <c r="DM6" s="216"/>
      <c r="DN6" s="216"/>
      <c r="DO6" s="216"/>
      <c r="DP6" s="217" t="s">
        <v>761</v>
      </c>
      <c r="DQ6" s="217" t="s">
        <v>761</v>
      </c>
      <c r="DR6" s="217" t="s">
        <v>762</v>
      </c>
      <c r="DS6" s="216"/>
      <c r="DT6" s="216"/>
      <c r="DU6" s="216"/>
      <c r="DV6" s="217" t="s">
        <v>763</v>
      </c>
      <c r="DW6" s="217" t="s">
        <v>763</v>
      </c>
      <c r="DX6" s="217" t="s">
        <v>764</v>
      </c>
      <c r="DY6" s="216"/>
      <c r="DZ6" s="217" t="s">
        <v>763</v>
      </c>
      <c r="EA6" s="216"/>
      <c r="EB6" s="217" t="s">
        <v>763</v>
      </c>
      <c r="EC6" s="216"/>
      <c r="ED6" s="217" t="s">
        <v>763</v>
      </c>
      <c r="EE6" s="216"/>
      <c r="EF6" s="217" t="s">
        <v>763</v>
      </c>
      <c r="EG6" s="216"/>
      <c r="EH6" s="218" t="s">
        <v>763</v>
      </c>
      <c r="EI6" s="199" t="s">
        <v>765</v>
      </c>
      <c r="EJ6" s="219"/>
      <c r="EK6" s="201" t="s">
        <v>766</v>
      </c>
    </row>
    <row r="7" spans="1:141" ht="14.25" customHeight="1" x14ac:dyDescent="0.25">
      <c r="DP7" s="45" t="s">
        <v>767</v>
      </c>
      <c r="DQ7" s="45" t="s">
        <v>767</v>
      </c>
      <c r="DX7" s="45" t="s">
        <v>768</v>
      </c>
      <c r="EH7" s="46"/>
      <c r="EI7" s="199" t="s">
        <v>769</v>
      </c>
      <c r="EJ7" s="219"/>
      <c r="EK7" s="201" t="s">
        <v>770</v>
      </c>
    </row>
    <row r="8" spans="1:141" ht="14.25" customHeight="1" x14ac:dyDescent="0.25">
      <c r="EH8" s="46"/>
      <c r="EI8" s="220"/>
      <c r="EJ8" s="219"/>
      <c r="EK8" s="201" t="s">
        <v>771</v>
      </c>
    </row>
    <row r="9" spans="1:141" ht="14.25" customHeight="1" thickBot="1" x14ac:dyDescent="0.3">
      <c r="EH9" s="46"/>
      <c r="EI9" s="221"/>
      <c r="EJ9" s="222"/>
      <c r="EK9" s="202" t="s">
        <v>772</v>
      </c>
    </row>
    <row r="10" spans="1:141" ht="14.25" customHeight="1" x14ac:dyDescent="0.25"/>
    <row r="11" spans="1:141" ht="14.25" customHeight="1" x14ac:dyDescent="0.25"/>
    <row r="12" spans="1:141" ht="14.25" customHeight="1" x14ac:dyDescent="0.25"/>
    <row r="13" spans="1:141" ht="14.25" customHeight="1" x14ac:dyDescent="0.25"/>
    <row r="14" spans="1:141" ht="14.25" customHeight="1" x14ac:dyDescent="0.25"/>
    <row r="15" spans="1:141" ht="14.25" customHeight="1" x14ac:dyDescent="0.25"/>
    <row r="16" spans="1:141"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sheetProtection algorithmName="SHA-512" hashValue="Gj7jXWwPRmLKsIi3llVN/6rcZg160LONg8F1Dpq4xgGX4vXBoBBbuyjVqcWnO+3x3GWOep/iIf2oPXvhFUpI9Q==" saltValue="Z4VpPMdJStXaVlx3n67ZCg==" spinCount="100000" sheet="1" objects="1" scenarios="1"/>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1709D9-1C1A-4BFF-A95E-3F6C7686BEA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81B4990-F54B-4089-BAAE-2EF2D178B198}">
  <ds:schemaRefs>
    <ds:schemaRef ds:uri="http://schemas.microsoft.com/sharepoint/v3/contenttype/forms"/>
  </ds:schemaRefs>
</ds:datastoreItem>
</file>

<file path=customXml/itemProps3.xml><?xml version="1.0" encoding="utf-8"?>
<ds:datastoreItem xmlns:ds="http://schemas.openxmlformats.org/officeDocument/2006/customXml" ds:itemID="{5B182C7A-900D-4E83-BB2F-CF0E492E95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Instructions</vt:lpstr>
      <vt:lpstr>1. General company information</vt:lpstr>
      <vt:lpstr>2. FTE rates</vt:lpstr>
      <vt:lpstr>3. Capabilities</vt:lpstr>
      <vt:lpstr>4. Discount and inflation</vt:lpstr>
      <vt:lpstr>5. Definitions</vt:lpstr>
      <vt:lpstr>Dropdown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2024-11-21T09:50:47Z</dcterms:created>
  <dcterms:modified xsi:type="dcterms:W3CDTF">2024-12-14T05:59:09Z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0x0101005203151AFA249B409411D2EE7B6D3581</vt:lpwstr>
  </property>
  <property fmtid="{D5CDD505-2E9C-101B-9397-08002B2CF9AE}" pid="3" name="Order">
    <vt:r8>4100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