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https://apslglobal-my.sharepoint.com/personal/varaprasadk_aurigeneservices_com/Documents/Pfizer FTE RFP/"/>
    </mc:Choice>
  </mc:AlternateContent>
  <xr:revisionPtr revIDLastSave="173" documentId="8_{C097D15E-4237-4C4F-A139-294B8EDF17E1}" xr6:coauthVersionLast="47" xr6:coauthVersionMax="47" xr10:uidLastSave="{C5281063-3BAD-48E5-8222-ECEA18E2730A}"/>
  <bookViews>
    <workbookView xWindow="-110" yWindow="-110" windowWidth="19420" windowHeight="10300" tabRatio="831" firstSheet="6" activeTab="10" xr2:uid="{3160D9F7-77D1-439E-897D-210E776F55D3}"/>
  </bookViews>
  <sheets>
    <sheet name="RFP Instructions" sheetId="8" r:id="rId1"/>
    <sheet name="1. Site Details" sheetId="3" r:id="rId2"/>
    <sheet name="2A. Task List Process Chemistry" sheetId="14" r:id="rId3"/>
    <sheet name="2B. Analytical Chemistry" sheetId="15" r:id="rId4"/>
    <sheet name="2C. Process Engineering" sheetId="16" r:id="rId5"/>
    <sheet name="2D. Process Safety" sheetId="17" r:id="rId6"/>
    <sheet name="2E. Crystallisation Science" sheetId="18" r:id="rId7"/>
    <sheet name="2F. High Potency" sheetId="19" r:id="rId8"/>
    <sheet name="2G. Continuous Process R&amp;D" sheetId="20" r:id="rId9"/>
    <sheet name="2H. Library Synthesis" sheetId="22" r:id="rId10"/>
    <sheet name="2I. Drug Linker" sheetId="25" r:id="rId11"/>
    <sheet name="3. FTE Fees" sheetId="5" r:id="rId12"/>
    <sheet name="4. FTE Discounts &amp; Instructions" sheetId="13" r:id="rId13"/>
    <sheet name="4A. CPI &amp; Instructions" sheetId="23" r:id="rId14"/>
    <sheet name="5. General Qs" sheetId="9" r:id="rId15"/>
  </sheets>
  <definedNames>
    <definedName name="_Hlk105598126" localSheetId="13">'4A. CPI &amp; Instructions'!$C$10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0" i="23" l="1"/>
  <c r="D30" i="23"/>
  <c r="G29" i="23"/>
  <c r="G28" i="23"/>
  <c r="G27" i="23"/>
  <c r="G26" i="23"/>
  <c r="G25" i="23"/>
  <c r="G24" i="23"/>
  <c r="G23" i="23"/>
  <c r="G22" i="23"/>
  <c r="G21" i="23"/>
  <c r="G20" i="23"/>
  <c r="G19" i="23"/>
  <c r="G18" i="23"/>
  <c r="E29" i="5"/>
  <c r="D29" i="5"/>
  <c r="C29" i="5"/>
  <c r="E23" i="5"/>
  <c r="D23" i="5"/>
  <c r="C23" i="5"/>
  <c r="G30" i="23" l="1"/>
  <c r="D31" i="23" s="1"/>
  <c r="E33" i="5"/>
  <c r="D33" i="5"/>
  <c r="C33" i="5"/>
  <c r="E27" i="5"/>
  <c r="D27" i="5"/>
  <c r="C27" i="5"/>
</calcChain>
</file>

<file path=xl/sharedStrings.xml><?xml version="1.0" encoding="utf-8"?>
<sst xmlns="http://schemas.openxmlformats.org/spreadsheetml/2006/main" count="1637" uniqueCount="663">
  <si>
    <t>Pfizer Worldwide Research and Development/PSSM API Development Request for Strategic Proposal</t>
  </si>
  <si>
    <t>RFP Instructions</t>
  </si>
  <si>
    <t>PFIZER INC - CONFIDENTIAL</t>
  </si>
  <si>
    <t>Instructions</t>
  </si>
  <si>
    <t>Please complete the requested information in each WORKSHEET in this Excel file</t>
  </si>
  <si>
    <t>The relevant sections to complete are shaded in yellow</t>
  </si>
  <si>
    <t>Example: Select or type in the appropriate response; please put N/A in the field if you do not offer that service or the question is otherwise not applicable</t>
  </si>
  <si>
    <t xml:space="preserve">Please do not modify the spreadsheet construct.  Only add data to the yellow-shade cells as requested.  Do not sort or re-arrange etc.  </t>
  </si>
  <si>
    <t>Overview of Worksheets</t>
  </si>
  <si>
    <t>Please note that Pfizer may also work with Supplier for other API Development Services on a Fee-for-Service (FFS) basis.  This FTE model is not intending to generally replace FFS work and such FFS work will continue outside the scope of this FTE model.</t>
  </si>
  <si>
    <t>Pfizer Worldwide Research &amp; Development / PSSM API Development FTE Request for Strategic Proposal</t>
  </si>
  <si>
    <t>Site Information</t>
  </si>
  <si>
    <t>Complete all fields in yellow</t>
  </si>
  <si>
    <t>Table 1</t>
  </si>
  <si>
    <t>API Development Services Site A Chemistry</t>
  </si>
  <si>
    <t>API Development Services Site B Chemistry</t>
  </si>
  <si>
    <t>API Development Services Site C Chemistry</t>
  </si>
  <si>
    <t>API Development Services Site A Analytical</t>
  </si>
  <si>
    <t>API Development Services Site B Analytical</t>
  </si>
  <si>
    <t>API Development Services Site C Analytical</t>
  </si>
  <si>
    <t>Name of Site</t>
  </si>
  <si>
    <t>Site Location-Country</t>
  </si>
  <si>
    <t>Site Address</t>
  </si>
  <si>
    <t>Key Contact person at this Site:</t>
  </si>
  <si>
    <t>Title:</t>
  </si>
  <si>
    <t>E-Mail:</t>
  </si>
  <si>
    <t>Telephone #:</t>
  </si>
  <si>
    <t>Clinical Only</t>
  </si>
  <si>
    <t>Clinical &amp; Commercial</t>
  </si>
  <si>
    <t>USA</t>
  </si>
  <si>
    <t>Don't offer</t>
  </si>
  <si>
    <t>YES</t>
  </si>
  <si>
    <t>EU</t>
  </si>
  <si>
    <t>NO</t>
  </si>
  <si>
    <t>Asia</t>
  </si>
  <si>
    <t>Other</t>
  </si>
  <si>
    <t>USD</t>
  </si>
  <si>
    <t>EURO</t>
  </si>
  <si>
    <t>GBP</t>
  </si>
  <si>
    <t>Swiss Franc</t>
  </si>
  <si>
    <t>JPY</t>
  </si>
  <si>
    <t>Task List</t>
  </si>
  <si>
    <t>Pfizer WorkFlow(s)</t>
  </si>
  <si>
    <t>Work Area</t>
  </si>
  <si>
    <t>Sub-type</t>
  </si>
  <si>
    <t>Frequency</t>
  </si>
  <si>
    <t>Notes</t>
  </si>
  <si>
    <t>Example Doc for RFP</t>
  </si>
  <si>
    <t>Do you have experience performing this type of work?</t>
  </si>
  <si>
    <t>What input / support from Pfizer would you need (if anything) to execute this Services Type?</t>
  </si>
  <si>
    <t>2, 5</t>
  </si>
  <si>
    <t>Process Chemistry</t>
  </si>
  <si>
    <t>Synthesis ideation, prioritization and triage</t>
  </si>
  <si>
    <t>Med</t>
  </si>
  <si>
    <t>Pfizer will supply chemical structure of targeted molecule, as well as a priortized list of potential routes to explore; Vendor is invited to add new ideas to this list at project start and throughout route scouting phase, including opportunities to utilize flow conditions.</t>
  </si>
  <si>
    <t>Example WF2 Plan available upon request.</t>
  </si>
  <si>
    <t>2,5</t>
  </si>
  <si>
    <t>Route Scouting (i.e., execute laboratory scale chemical reactions)</t>
  </si>
  <si>
    <t>High</t>
  </si>
  <si>
    <t>Rapidly assess bond forming viability of prioritized route ideas through kill-step focused, small scale, laboratory experimentation and literature study. Document the experiments executed, their outcomes and conclusions in clear, concise Technical Reports. Reliable experimental outcomes are a must, so executing each with laboratory equipment that accurately controls key parameters such as agitation, temperature and reagent addition mode/rate is key. An ideal laboratory reactor for small to medium scale route scouting is the Mettler Toledo EasyMax. Note this phase of WF2 is intended to assess all viable routes to the target molecule, and will likely last several months.</t>
  </si>
  <si>
    <t>2,3,5</t>
  </si>
  <si>
    <t>Process Chemistry / HTE Lab</t>
  </si>
  <si>
    <t>High Throughput Reaction Screening</t>
  </si>
  <si>
    <t>High-Throughput Experimentation aimed at identifying the "best disconnection sequence" in support of Commercial Route Design. Ideally, experiments are carried out at small scale, on parallel reaction screening platforms offered by Unchained labs, Amigochem, Tecan or Chemspeed. Large data sets resulting from HTE need to be accurately documented.</t>
  </si>
  <si>
    <t>Material preparation for Route Scouting</t>
  </si>
  <si>
    <t xml:space="preserve">Work with Pfizer to identify the best source of materials to utilize in Route Scouting phase. Prepare materials using literature precedented routes, or obtain from another source identified by Pfizer. </t>
  </si>
  <si>
    <t>2,3,4,5</t>
  </si>
  <si>
    <t>Documentation &amp; technical report/summary authorship</t>
  </si>
  <si>
    <t>Document each laboratory experiment in an approved laboratory notebook and provide clear, concise summaries and technical development reports describing technical details leading to key conclusions/outcomes. Route Design is very dynamic, so frequent technical discussions with the Pfizer project team are expected.</t>
  </si>
  <si>
    <t>Commercial Route Nomination (CRN) support</t>
  </si>
  <si>
    <t>Low</t>
  </si>
  <si>
    <t>Pfizer Project Lead will author a CRN document at the conclusion of API Development Workflow 2; Vendor will be asked to contribute data and review the document.</t>
  </si>
  <si>
    <t>Sample CRN will be provided to selected vendor.</t>
  </si>
  <si>
    <t>Synthesis of materials - Impurities</t>
  </si>
  <si>
    <t>Synthesize key impurities to support analytical method development.</t>
  </si>
  <si>
    <t>Synthesize key impurities to support Starting Material specification setting.</t>
  </si>
  <si>
    <t>Synthesis of materials - Standards</t>
  </si>
  <si>
    <t>Synthesize 5g of each starting material and intermediate to support fundamental data gathering.</t>
  </si>
  <si>
    <t>Synthesize 25-50 g of key intermediates to support the subsequent workflow.</t>
  </si>
  <si>
    <t>Process Chemistry /  Process Engineering</t>
  </si>
  <si>
    <t>Continuous processing feasibility assessment (i.e., execute laboratory scale chemical reactions)</t>
  </si>
  <si>
    <t>Assess whether the emerging synthetic design has potential for continuous manufacture (one or more steps in the sequence) by conducting laboratory studies (solubility generation and data review, kinetic studies in suitable screening equipment such as microwave reactors) to determine potential to utilize flow. Execute illustrative reactions in appropriate flow equipment (plug flow reactors, continuous stirred tank reactors, packed bed reactors).</t>
  </si>
  <si>
    <t>Process Safety assessment</t>
  </si>
  <si>
    <t>Proactively identify material and reaction hazards (e.g. HEFG presence, potential for gas liberation or significant heat generation) that may impact scale viability and mitigate these early.</t>
  </si>
  <si>
    <t>Process performance assessment</t>
  </si>
  <si>
    <t>Proactively identify reactions with the potential to be scale and equipment dependent (e.g. very fast or mixing sensitive reactions, reactions where unexplained variability has been observed). Vendor is invited to provide suggested mitigation strategies (e.g. utilize flow equipment for fast or mixing sensitive reactions).</t>
  </si>
  <si>
    <t>Solid form assessment &amp; Crystallization process development</t>
  </si>
  <si>
    <t>Identify potential need for starting material and intermediate salt, form and/or crystallization screening on promising routes. Conduct screening agreed with Pfizer lead.</t>
  </si>
  <si>
    <t>Process Chemistry / Analytical Chemistry</t>
  </si>
  <si>
    <t>Routine sample analysis</t>
  </si>
  <si>
    <t>Assess reaction outcomes from route scouting experiments using appropriate chromatography methods (e.g LC, GC, SFC) using conventional/contemporary detector types (e.g. UV, FID, CAD (for non-chromophoric compounds) at a high thoughput.</t>
  </si>
  <si>
    <t>Method development</t>
  </si>
  <si>
    <t>Develop fit-for-purpose qualitative/quantitaive analytical methods (LC, GC, etc.) that enable crisp decision making on feasibility for each potential retrosynthesis idea. Deliverable: Method development reports available upon request.</t>
  </si>
  <si>
    <t>Impurity Identification</t>
  </si>
  <si>
    <t>With guidance from project lead, for chemistries with positive outcomes, isolate and conduct structure elucidation of persistent impurities. Would typically require high resolution mass spectrometry and NMR equipment.</t>
  </si>
  <si>
    <t>3,4</t>
  </si>
  <si>
    <t>Process variable definition</t>
  </si>
  <si>
    <t>Pfizer project lead will provide guidance on a range of potential process variables (e.g., reagents, catalysts, solvents) that may be assessed as part of process design; Vendor is expected to contribute to this ideation process throughout the project.</t>
  </si>
  <si>
    <t>Material preparation for Reaction parameter screening</t>
  </si>
  <si>
    <t>Work with Pfizer to identify the best source of materials to utilize in parameter screening phase (25-50 g scale typical). Prepare materials using literature precedented routes, or obtain from another source identified by Pfizer.</t>
  </si>
  <si>
    <t>Solubility screening/measurement</t>
  </si>
  <si>
    <t>Determine solubility of each intermediate utilized in the emerging commercial process in a range of relevant solvents to aid design of optimal reaction and isolation strategies.</t>
  </si>
  <si>
    <t>High Throughput Liquid/Liquid Extraction Screening</t>
  </si>
  <si>
    <t>Determine best liquid/liquid combinations to improve isolation, impurity rejection, and process robustness.</t>
  </si>
  <si>
    <t>High-Throughput Experimentation across multiple (4-6) chemical steps aimed at identifying the "best process conditions" in support of Commercial Process Definition. Document experiments executed and the decision making process for each outcome. Ideally, experiments are carried out at small scale, on parallel reaction screening platforms offered by Unchained labs, Amigochem, Tecan or Chemspeed.</t>
  </si>
  <si>
    <t>Hit Verification/Confirmation</t>
  </si>
  <si>
    <t>Review experimental data from HTE and carry out confirmatory experiments to verify hits. These experiments are ideally run in reaction vessels that attempt to mimic the large scale manufacturing plant targeted for scale-up, and have overhead stirring, conical shape, good temperature control and reagent dosing/sampling capability. Representative examples of suitable semi-automated laboratory reactors for this activity include EasyMax and FlexyCUBE.</t>
  </si>
  <si>
    <t>2,3,4</t>
  </si>
  <si>
    <t>Material preparation - Impurities</t>
  </si>
  <si>
    <t>Synthesize key impurities to support early fate/purge understanding in support of Starting Material specification setting. This should be conducted in late WF2 or early WF3.</t>
  </si>
  <si>
    <t>Document each laboratory experiment in an approved laboratory notebook and provide clear, concise technical development reports describing all routes assessed, including corresponding outcomes.</t>
  </si>
  <si>
    <t>3,4,5</t>
  </si>
  <si>
    <t>Design the commercial process from data set review.</t>
  </si>
  <si>
    <t>Assess lead “reaction-workup-isolation” options for each step in the lab using the SELECT criteria to help guide identification of the optimal processes. This activity should be conducted in close collaboration with the Pfizer Project Lead.</t>
  </si>
  <si>
    <t>Recap of the SELECT Criteria – ACS GCI Pharmaceutical Roundtable (acsgcipr.org)</t>
  </si>
  <si>
    <t xml:space="preserve">Demonstrate the commercial process </t>
  </si>
  <si>
    <t>Demonstrate Proof of Concept for the optimal process for each step through laboratory scale experimentation in laboratory scale in equipment representative of the targeted manufacturing facility. This activity should be conducted in close collaboration with the Pfizer Project Lead.</t>
  </si>
  <si>
    <t>Commercial Process Nomination (CPN) support</t>
  </si>
  <si>
    <t>Pfizer Project Lead will author a CPN document at the conclusion of Workflow 3; Vendor will be asked to contribute to the drafting and technical review the CPN.</t>
  </si>
  <si>
    <t>Impurity Mapping</t>
  </si>
  <si>
    <t>Generate and maintain an impurity tracking map that illustrates and tracks all impurities introduced by starting materials, as well as origin and fate of all process-related impurities. Regularly discuss evolving landscape with Pfizer project lead to ensure appropriate mitigation strategies are employed for clinical advancement of the program.</t>
  </si>
  <si>
    <t>Process Chemistry / Process Engineering</t>
  </si>
  <si>
    <t>Technical Transfer Package, Vendor Synthesis Information Package</t>
  </si>
  <si>
    <t>Utilizing templates provided, and with support from the Pfizer project lead, generate TTP and/or VSIP documents to enable preparation of API in the manufacturing facility Pfizer selects. Review manufacturing batch records ahead of each campaign to ensure they accurately represent the process designed and developed.</t>
  </si>
  <si>
    <t>Knowledge transfer</t>
  </si>
  <si>
    <t>Maintain active, transparent communication of experimental results and process performance knowledge to ensure complete alignment with Pfizer project lead.</t>
  </si>
  <si>
    <t>Process Chemistry / Solid Form Science</t>
  </si>
  <si>
    <t>Conduct salt form screening for starting material and intermediate salt forms as agreed with the Pfizer Project Lead.</t>
  </si>
  <si>
    <t>Monitor the process chemistry being executed during route scouting and ensure all potentially hazardous materials and reactions are properly mitigated.</t>
  </si>
  <si>
    <t>Optimize workup and isolation strategy across the commercial process.</t>
  </si>
  <si>
    <t>Monitor the emerging synthetic process and utilize a combination of experimental and predictive modeling tools to identify best process options for reaction workup, compound isolation and/or intermediate progression into the next chemical transformation (Pfizer Project Lead to advise).</t>
  </si>
  <si>
    <t xml:space="preserve">Engineering risk assessment </t>
  </si>
  <si>
    <t>Scale Risk: Proactively identify reactions and workups with the potential to be scale and equipment dependent (e.g., very rapid or mixing sensitive reactions, performance variability, missing mass balance have been observed). Take appropriate actions to mitigate risks and communicate to the Pfizer project lead.</t>
  </si>
  <si>
    <t>Assess relative reaction outcomes from high throughput experimentation and laboratory POC phases to support selection of "best process" conditions.</t>
  </si>
  <si>
    <t>Reaction condition ideation</t>
  </si>
  <si>
    <t>Pfizer will provide guidance on a range of process variables that may be assessed as part of process understanding &amp; optimization; Vendor is invited to influence this list at project start and throughout workflow.</t>
  </si>
  <si>
    <t>Process parameter evaluation via experimental design (DoE)</t>
  </si>
  <si>
    <t>Pfizer project team statistician will provide DoE guidance that will be executed by vendor. Experimental outcomes need to be analyzed and documented by vendor. Reliable, rapid generation of DoE data to identify parameter sensitivity and define experimental ranges requires careful, consistent control of reaction inputs and all parameters. A thoughtful sampling plan and exquisuite analytical assesment in required.</t>
  </si>
  <si>
    <t xml:space="preserve"> One Factor at a Time (OFAT) experimentation</t>
  </si>
  <si>
    <t>Carry out select experiments on medium laboratory scale to validate DoE data set and provide crude reaction solutions for studying transition stages of the process (e.g., solvent exchanges, extractions, distillations, isolations). These experiments are carried out in laboratory vessels that approximate the manufacturing plant. Ideal rection platforms include those from Mettler-Toledo and SYSTAG.</t>
  </si>
  <si>
    <t>Impurity Fate &amp; Purge experimentation</t>
  </si>
  <si>
    <t>Carry out medium-scale laboratory  reaction sequences to measure fate and purge factors for process-related impurities. Guidance to be provided by Pfizer project lead.</t>
  </si>
  <si>
    <t>Material preparation for DoEs</t>
  </si>
  <si>
    <t>Work with Pfizer to identify the best source of materials to utilize in DoE execution. Prepare materials using developed routes, or obtain from another source identified by Pfizer.</t>
  </si>
  <si>
    <t>Document each laboratory experiment in an approved laboratory notebook and provide clear, concise technical development reports describing all routes assessed, including corresponding outcomes. Results from DoE experimentation needs to be provided in a timely manner, and in a format communicated by the Pfizer project lead.</t>
  </si>
  <si>
    <t>Technical Transfer Package (TTP) preparation</t>
  </si>
  <si>
    <t>Pfizer Project Lead will author a TTP document to support API manufracture with the developed process at our manufacturing location of choice. This manufacturing location may be sited with the Workflow 4 vendor, within Pfizer's internal manufacturing facilities, or at a third party CDMO. Vendor will be asked to contribute data and review the document.</t>
  </si>
  <si>
    <t>Solid Form Science</t>
  </si>
  <si>
    <t>Crystallization process optimization</t>
  </si>
  <si>
    <t>Develop and optimize crystallization process conditions for desired isolated intermediates and the API, as directed by Pfizer project lead.</t>
  </si>
  <si>
    <t>Utilize a combination of experimental and predictive modeling tools to optimize conditions for reaction workup, compound isolation and/or intermediate progression into the next chemical transformation (Pfizer Project Lead to advise).</t>
  </si>
  <si>
    <t xml:space="preserve">Do you intend to subcontract any of the required Services at any of your Sites?  If so please explain which parts of the required Services would be subcontracted (at each Site) and how quality and delivery performance for the required Services will be maintained.  </t>
  </si>
  <si>
    <t>Comments:  (if there is any additional information applicable to the questions on this worksheet (to clarify items asked above or to address anything Pfizer has not asked above) then please add that here)</t>
  </si>
  <si>
    <t>Analytical Chemistry</t>
  </si>
  <si>
    <t>Documentation</t>
  </si>
  <si>
    <t>Document all analytical data in an approved laboratory notebook.</t>
  </si>
  <si>
    <t>Trace Analysis</t>
  </si>
  <si>
    <t>Method Development</t>
  </si>
  <si>
    <t>Low/Med</t>
  </si>
  <si>
    <t>Develop fit-for-purpose quantitative chiral method (if needed) using chromatographic techniques (e.g., SFC).</t>
  </si>
  <si>
    <t>Form characterization</t>
  </si>
  <si>
    <t>Particle Size method development</t>
  </si>
  <si>
    <t>Standard Characterization</t>
  </si>
  <si>
    <t xml:space="preserve">With guidance from the Pfizer Project Lead, carry out identification and potency determination of key standards by mass balance (if needed). Orthogonal evaluation of potency by qNMR requested. Deliverable: Reference standard certificates for all synthesized standards. </t>
  </si>
  <si>
    <t>Conduct analyses of samples from screening experiments using fit for purpose analytical methods.</t>
  </si>
  <si>
    <t>Low level impurity analysis</t>
  </si>
  <si>
    <t>Elemental Impurities control</t>
  </si>
  <si>
    <t>Reaction analysis &amp; characterization</t>
  </si>
  <si>
    <t>Qualitative and quantitative analysis of reaction performance (i.e., yield) and process related impurities at each stage of the emerging process.</t>
  </si>
  <si>
    <t>Method development - API</t>
  </si>
  <si>
    <t>Method validation</t>
  </si>
  <si>
    <t>Document all analytical data in an approved laboratory notebook. Share data summaries with Pfizer.</t>
  </si>
  <si>
    <t>Analytical Methods - Author</t>
  </si>
  <si>
    <t>Author analytical methods using provided Pfizer template</t>
  </si>
  <si>
    <t>AMTE</t>
  </si>
  <si>
    <t>Utilize high resolution mass spectrometry and NMR to identify impurities generated in process development work.</t>
  </si>
  <si>
    <t>Collect knowledge on form landscape of drug substance. XRD and microscopy</t>
  </si>
  <si>
    <t>Validate particle size methodology for commercial process - understand agglomeration risks via stability studies.</t>
  </si>
  <si>
    <t xml:space="preserve">Identification and potency determination of all standards by mass balance. Orthogonal evaluation of potency by qNMR requested. Deliverable: Reference standard certificates for all synthesized standards. </t>
  </si>
  <si>
    <t>Routine sample analysis - DoE + OFATs</t>
  </si>
  <si>
    <t>Assess reaction outcomes from DoE and OFAT experimentation phase to support definition of optimal process conditions and identify critical attributes of the regulatory process.</t>
  </si>
  <si>
    <t>Quantitative analysis of reaction performance (e.g., yield, purity) and process related impurities (PRIs) at each stage of the process. Measure fate and purge of PRIs. Assess purity and potency of isolated materials.</t>
  </si>
  <si>
    <t>Standards and Retention time Markers</t>
  </si>
  <si>
    <t>Characterize and maintain, recertify and distribute major and minor/authentic standards</t>
  </si>
  <si>
    <t>With guidance from project lead, conduct long term stability for RSMs and Intermediates using stability indicating developed methods.</t>
  </si>
  <si>
    <t>Collect knowledge on form landscape of drug substance during OFAT/DOE studies. XRD and microscopy</t>
  </si>
  <si>
    <t>Process Engineering</t>
  </si>
  <si>
    <t>Assess whether the emerging synthetic design has potential for continuous manufacture (one or more steps in the sequence) by conducting laboratory studies (solubility generation and data review, kinetic studies in suitable screening equipment such as microwave reactors) to determine capability for using flow. Execute POC studies in appropriate flow equipment (plug flow reactors, continuous stirred tank reactors, packed bed reactors) depending on the chemistry requirements.</t>
  </si>
  <si>
    <t>Conduct DSC and ARC testing of all starting materials and intermediates. Identify any potentially explosive or shock sensitive materials.</t>
  </si>
  <si>
    <t>Fundamental capture of kinetics and thermodynamic data</t>
  </si>
  <si>
    <t>Utilize experimental techniques to collect fundamental data of the Pfizer process, as advised by Pfizer lead, including reaction monitoring during a predetermined time frequency, collecting extraction phase samples for mass balance determination, and monitoring distillation progress (with distillate and bulk sampling).</t>
  </si>
  <si>
    <t>Process Chemistry/Process Engineering</t>
  </si>
  <si>
    <t>Process safety assessment</t>
  </si>
  <si>
    <t>Assess the materials and process safety of the emerging commercial process options to help guide commercial process identification. This activity should be conducted in close collaboration with the Pfizer Project Lead. Conduct DSC and ARC testing of all starting materials and intermediates. Identify any potentially explosive or shock sensitive materials.</t>
  </si>
  <si>
    <t>With guidance from the Pfizer Project Lead, ensure a suitable process safety package is available to allow GMP manufacture at the manufacturing facility of choice, including within Pfizer Global Supply's commercial facilities.</t>
  </si>
  <si>
    <t>Work Flow</t>
  </si>
  <si>
    <t>Q1: Can you perform this  type of work?</t>
  </si>
  <si>
    <t>Q2: Are you able to work with and run testing on High Potency compounds (OSHA OEB 5 or above)? If so, describe limitations</t>
  </si>
  <si>
    <t>Process Safety</t>
  </si>
  <si>
    <t xml:space="preserve">Conduct DSC and ARC testing of all starting materials and intermediates. Identify any potentially explosive or shock sensitive materials. Use reaction Calorimetry to assess hazards in proposed proceses. </t>
  </si>
  <si>
    <t>Testing Hardware</t>
  </si>
  <si>
    <t>What are your preferred methods to screen thermal hazards of : (1) pure materials, (2) mixtures of solids, (3) solutions or process streams?</t>
  </si>
  <si>
    <t>What are your preferred methods to study Explosion and Shock sensitivity of : (1) pure materials, (2) mixtures of solids, (3) solutions or process streams?</t>
  </si>
  <si>
    <t>What are your preferred methods for Dust Testing of : (1) pure materials, (2) mixtures of solids?</t>
  </si>
  <si>
    <t>What are your preferred methods to study thermal run away and vent sizing : (1) pure materials, (2) mixtures of solids, (3) solutions or process streams?</t>
  </si>
  <si>
    <t>What are your preferred methods to study and characterize gas generating chemistry : (1) pure materials, (2) mixtures of solids, (3) solutions or process streams?</t>
  </si>
  <si>
    <t xml:space="preserve"> Do the labs and/or personell have any certifications (ISO17025, etc.)? If so please list.</t>
  </si>
  <si>
    <t>Crystallization Science</t>
  </si>
  <si>
    <t>Liquid/Liquid Extraction Screening</t>
  </si>
  <si>
    <t>Demonstrate Proof of Concept for the relevant step(s) through laboratory scale experimentation in laboratory scale in equipment representative of the targeted manufacturing facility. This activity should be conducted in close collaboration with the Pfizer Project Lead.</t>
  </si>
  <si>
    <t xml:space="preserve">Solubility screening/measurement </t>
  </si>
  <si>
    <t>Conduct low energy polymorph/hydrate form screening (slurry studies) for starting materials and intermediates as agreed with the Pfizer Project Lead.</t>
  </si>
  <si>
    <t>Crystallization Science / Analytical Chemistry</t>
  </si>
  <si>
    <t>Document each laboratory experiment in an approved laboratory notebook and provide clear, concise technical development reports describing all experiments and corresponding outcomes. Results need to be provided in a timely manner, and in a format communicated by the Pfizer project lead.</t>
  </si>
  <si>
    <t xml:space="preserve">Crystallization Science </t>
  </si>
  <si>
    <t>DOE work</t>
  </si>
  <si>
    <t>Fixed number of experiments with potential replicates and various analyses to be completed (tbd by Pfizer project lead)</t>
  </si>
  <si>
    <t>Dry milling studies</t>
  </si>
  <si>
    <t xml:space="preserve">Any type of DOE work conducted in order to support filings for dry milling. </t>
  </si>
  <si>
    <t>NA</t>
  </si>
  <si>
    <t>Sufficient training, experience, safety and engineering controls for high potency substrates</t>
  </si>
  <si>
    <r>
      <t>Pfizer defines highly potent compounds by Occupational Exposre Band 5 (OEB 5, &lt; 1</t>
    </r>
    <r>
      <rPr>
        <sz val="10"/>
        <rFont val="Aptos Narrow"/>
        <family val="2"/>
      </rPr>
      <t>µ</t>
    </r>
    <r>
      <rPr>
        <sz val="10"/>
        <rFont val="Arial"/>
        <family val="2"/>
      </rPr>
      <t>g/m</t>
    </r>
    <r>
      <rPr>
        <vertAlign val="superscript"/>
        <sz val="10"/>
        <rFont val="Arial"/>
        <family val="2"/>
      </rPr>
      <t>3</t>
    </r>
    <r>
      <rPr>
        <sz val="10"/>
        <rFont val="Arial"/>
        <family val="2"/>
      </rPr>
      <t>). Please comment on engineering controls (isolators, fume hoods, etc), as well as training, procedures, personal protective equipment (PPE) to ensure safety when handling these type of materials.</t>
    </r>
  </si>
  <si>
    <t>Pfizer will supply a chemical structure of the targeted compound, as well as a priortized list of potential routes/reaction conditions to evaluate; Vendor is invited to add new ideas to this list at project start and throughout development phase.</t>
  </si>
  <si>
    <t>Perform typical experimental conditions to achieve desired product. This may include screening conditions to arrive at a higher yields/selectivity of target.</t>
  </si>
  <si>
    <t xml:space="preserve">Rapidly assess bond forming viability of prioritized transformation on mg laboratory scale. Document the experiments executed, their outcomes and conclusions in Weekly Summary Reports (see example) and final Development report. </t>
  </si>
  <si>
    <t>Process/Analytical Chemistry</t>
  </si>
  <si>
    <t>Purification of desired targets</t>
  </si>
  <si>
    <t>Determine optimal purification procedure to achieve desired specifications for target. This may include normal phase column chromatography, reverse phase column chromatography, Pre-HPLC, crystallization, reslurry, or lyophilization to arrive at acceptable purity and potency.</t>
  </si>
  <si>
    <t>Accumulate material and collect data for project. Deliveries range from 100mg up to 64g.</t>
  </si>
  <si>
    <t>Confirm the structure and identify impurities &gt; 0.1%. Characterization to satisfy specifications include 2D NMR, DSC, nitrite content, LCMS, purity, QNMR, HRMS/MSMS, KF, GC (solvent residue), and ion content.</t>
  </si>
  <si>
    <t>Document each laboratory experiment in an approved laboratory notebook and provide clear, concise summaries and technical development reports describing all routes/conditions assessed, including corresponding outcomes.</t>
  </si>
  <si>
    <t>Characterize starting materials and product</t>
  </si>
  <si>
    <t>Characterization includes MS, HRMS, MS/MS, 2DNMR, etc, and could include structural elucidation of impurities in sample.</t>
  </si>
  <si>
    <t>Assess reaction outcomes from experiments using appropriate chromatography methods (e.g LC, GC, SFC) using conventional/contemporary detector types (e.g. UV, FID, CAD (for non-chromophoric compounds) at a high thoughput.</t>
  </si>
  <si>
    <t>Develop fit-for-purpose qualitative/quantitaive analytical methods (LC, GC, etc.) that enable confirmation of desired product formation.  LC systems from Waters or Agilent are considered appropriate. There may be a need for chiral methodology (e.g. SFC). Deliverable: Method development reports available upon request.</t>
  </si>
  <si>
    <t>Develop methods to support purity determination and test samples (may require LC-MS/MS technology).</t>
  </si>
  <si>
    <t>Author analytical methods using provided Pfizer template.</t>
  </si>
  <si>
    <t>Stability &amp; solubility assessment</t>
  </si>
  <si>
    <r>
      <rPr>
        <sz val="10"/>
        <color rgb="FF000000"/>
        <rFont val="Arial"/>
        <family val="2"/>
      </rPr>
      <t xml:space="preserve">Samples prepared of acceptable purity will be assessed for solid state and solution stability at 1) ambient temperature 2) 2-8  </t>
    </r>
    <r>
      <rPr>
        <sz val="10"/>
        <color rgb="FF000000"/>
        <rFont val="Calibri"/>
        <family val="2"/>
      </rPr>
      <t>ͦ</t>
    </r>
    <r>
      <rPr>
        <sz val="9"/>
        <color rgb="FF000000"/>
        <rFont val="Arial"/>
        <family val="2"/>
      </rPr>
      <t>C</t>
    </r>
    <r>
      <rPr>
        <sz val="10"/>
        <color rgb="FF000000"/>
        <rFont val="Arial"/>
        <family val="2"/>
      </rPr>
      <t xml:space="preserve"> and 3) 0 C </t>
    </r>
    <r>
      <rPr>
        <sz val="10"/>
        <color rgb="FF000000"/>
        <rFont val="Calibri"/>
        <family val="2"/>
      </rPr>
      <t xml:space="preserve">֯. </t>
    </r>
    <r>
      <rPr>
        <sz val="10"/>
        <color rgb="FF000000"/>
        <rFont val="Arial"/>
        <family val="2"/>
      </rPr>
      <t>Solubility data in pure and binary solvents will be obtained.</t>
    </r>
  </si>
  <si>
    <t>Response:</t>
  </si>
  <si>
    <r>
      <t xml:space="preserve">Pfizer will supply chemical structure of targeted API, as well as a prioritized list of potential routes to explore; Vendor is invited to add new ideas to this list at project start and throughout route scouting phase, </t>
    </r>
    <r>
      <rPr>
        <b/>
        <sz val="10"/>
        <color rgb="FF000000"/>
        <rFont val="Arial"/>
        <family val="2"/>
      </rPr>
      <t>including opportunities to utilize flow conditions and/or applications of photochemical or electrochemical options for synthesis.</t>
    </r>
  </si>
  <si>
    <t>All Areas</t>
  </si>
  <si>
    <t>Experimental Hardware</t>
  </si>
  <si>
    <t>What are your preferred methods, capabilities, and equipment to study and characterize potential flow processes: (1) reactor technologies (plug flow reactors, mixing devices, CSTRs, packed bed systems, specialized systems - e.g. photochemical, electrochemical, other), (2) flow workup techologies (continuous extraction, concentration, distillation, membrane separations, other), (3) isolation and drying technologies (continuous crystallization, filtration and drying, other).</t>
  </si>
  <si>
    <t>Focusing on identified continuous processing options and routes with continuous opportunity highlighed - Rapidly assess bond forming viability of prioritized route ideas through kill-step focused, small scale, laboratory experimentation and literature study. Document the experiments executed, their outcomes and conclusions in Unit of Work Reports (see example). Reliable experimental outcomes are a must, so executing each with similar laboratory equipment that accurately controls parameters such as mixing, temperature and reagent addition is key. Screening reaction options in microwave reactors to determine kinetic rate improvement and purity profile impacts, and/or small scale flow screening or trials using mixing chips, plate reactors, coil reactors, or small CSTRs would be in scope for this work. Note this phase of WF2 is intended to assess all viable routes to the target API, and should be expected to last several months to ensure no good ideas remain untested.</t>
  </si>
  <si>
    <r>
      <rPr>
        <sz val="10"/>
        <color rgb="FF000000"/>
        <rFont val="Arial"/>
        <family val="2"/>
      </rPr>
      <t xml:space="preserve">Assess whether the emerging synthetic design has potential for continuous manufacture (one or more steps in the sequence) by conducting laboratory studies (solubility generation and data review, kinetic studies in suitable screening equipment such as microwave reactors) to determine capability for using flow.  Execute POC studies in appropriate flow equipment (plug flow reactors, continuous stirred tank reactors, packed bed reactors) depending on the chemistry requirements. </t>
    </r>
    <r>
      <rPr>
        <b/>
        <sz val="10"/>
        <color rgb="FF000000"/>
        <rFont val="Arial"/>
        <family val="2"/>
      </rPr>
      <t>Pfizer preference is utilization of commercially available platforms or lab development on platforms that readily translate to commercial manufacturing equipment (Chemtrix, Corning plate reactors, Tubular plug flow reactors, etc. unless they are not suitable)</t>
    </r>
  </si>
  <si>
    <t xml:space="preserve">Document each laboratory experiment in an approved laboratory notebook and provide clear, concise summaries and technical development reports describing all routes assessed, engineering calculations and modeling, including corresponding outcomes. </t>
  </si>
  <si>
    <t>Process Engineering/Analytical</t>
  </si>
  <si>
    <t>Process performance assessment/Continuous process - PAT</t>
  </si>
  <si>
    <t>For processes where continuous processing is feasible, evaluate possible continuous monitoring tools e.g. IR, NIR, online- LC, UV, and other continuous monitoring sensors such as pH, conductivity, Refractive index, redox potential, etc.</t>
  </si>
  <si>
    <t>3, 4</t>
  </si>
  <si>
    <t>Stream stability</t>
  </si>
  <si>
    <t>Measure stability of all feed, intermediate, and product streams, regardless of if they are held in a surge vessel or directly telescoped. This should be studied over the range of 10 °C to the process temperature for that step and for sufficient time to cover planned manufacturing times with buffer built in.</t>
  </si>
  <si>
    <t>Process Engineering/Analytical/Modeling</t>
  </si>
  <si>
    <t>Equipment characterization assessment</t>
  </si>
  <si>
    <r>
      <t xml:space="preserve">After optimal route utilizing continuous processing has been identified, develop and select optimal equipment for scale up processing, including assessing residence time distributions and impact on process performance and heat and mass transfer capabilities required for the process as it is being develop in the laboratory compared against potential scale up equipment available. Deliver an engineering assessment on processing needs and equipment options (including appropriate engineering scale parameters, e.g. bodenstein number, reynolds number, damkohler number, dispersion characteristics, etc.). </t>
    </r>
    <r>
      <rPr>
        <b/>
        <sz val="10"/>
        <color rgb="FF000000"/>
        <rFont val="Arial"/>
        <family val="2"/>
      </rPr>
      <t>Pfizer preference is utilization of commercially available platforms or lab development on platforms that readily translate to commercial manufacturing equipment (Chemtrix, Corning plate reactors, Tubular plug flow reactors, etc.)</t>
    </r>
    <r>
      <rPr>
        <sz val="10"/>
        <color rgb="FF000000"/>
        <rFont val="Arial"/>
        <family val="2"/>
      </rPr>
      <t xml:space="preserve">  .</t>
    </r>
  </si>
  <si>
    <t>Photochemistry reaction development</t>
  </si>
  <si>
    <t>Perform laboratory screening to identify suitable reaction conditions and potential hits for photochemical transformations. Perform scale up assessments for batch and/or flow conditions, including detailed knowledge of performance envelope for reaction and equipment characterization (potentially including actinometry studies, photon flux capabilities, etc. as needed to ensure seamless scale up performance). Execute suitable demonstration experiments in concert with engineering and modeling development to provide recommendations and confidence in scale up.  Assess opportunities for reuse/recycling of photocatalysts</t>
  </si>
  <si>
    <t>Electrochemistry reaction development</t>
  </si>
  <si>
    <t>Perform laboratory screening to identify suitable reaction conditions and potential hits for electrochemical transformations. Perform scale up assessments for batch and/or flow conditions, including detailed knowledge of performance envelope for reaction and equipment characterization (including electrode suitability, stability and availability). Execute suitable demonstration experiments in concert with engineering and modeling development to provide recommendations and confidence in scale up.</t>
  </si>
  <si>
    <t>Process engineering</t>
  </si>
  <si>
    <t>Explore and develop continuous crystallization, isolation and drying</t>
  </si>
  <si>
    <t>Identify processes where continuous crystallization with or without using continuous isolation and drying can be used to provide process robustness or manufacturing cycle time improvements and evaluate continuous crystallization, isoation and drying options. Recommend manufacturing equipment options and develop process conditions for scale up.</t>
  </si>
  <si>
    <t>Designed experimental studies for process range and robustness</t>
  </si>
  <si>
    <t>Execute timely One Factor at a Time (OFAT) and multivariate experimental studies driven by earler development work, scientific knowledge, kinetic modeling, and statistically driven approaches to develop full process understanding of ranges and robustness across all unit operations for the process, supported by use of appropriately developed and assessed analytical methodologies (UPLC, GC, MS, FTIR, Raman, NIR and other methods used for supporting batch and flow process development and understanding).</t>
  </si>
  <si>
    <t>Pfizer will supply chemical structure of targeted compound, as well as a priortized list of potential routes to explore; Vendor is invited to add new ideas to this list at project start and throughout route scouting phase.</t>
  </si>
  <si>
    <t xml:space="preserve"> </t>
  </si>
  <si>
    <t xml:space="preserve">Rapidly assess bond forming viability of prioritized route ideas through kill-step focused, small scale, laboratory experimentation and literature study. Document the experiments executed, their outcomes and conclusions in Unit of Work Reports (see example). </t>
  </si>
  <si>
    <t xml:space="preserve">Document each laboratory experiment in an approved laboratory notebook and provide clear, concise summaries and technical development reports describing all routes assessed, including corresponding outcomes. </t>
  </si>
  <si>
    <t>Synthesis of materials</t>
  </si>
  <si>
    <t>Synthesize each targeted material on mg, g or 100g scale.</t>
  </si>
  <si>
    <t>Develop fit-for-purpose qualitative/quantitaive analytical methods (LC, GC, etc.) that enable crisp decision making on feasibility for each potential retrosynthesis idea to access targeted compound(s). Deliverable: Method development reports available upon request.</t>
  </si>
  <si>
    <t>If applicable, develop methods to support purity determination and test samples (may require LC-MS/MS technology).</t>
  </si>
  <si>
    <t>Method development (all steps/intermediates to target)</t>
  </si>
  <si>
    <t>Develop fit-for-purpose qualitative/quantitative analytical methods (HPLC, UPLC, GC, etc.) that enable crisp decision making on feasibility for each reaction step and isolated intermediates in the emerging route to targeted compound(s). LC systems from Waters or Agilent are considered appropriate. There may be a need for chiral methodology (e.g. SFC).</t>
  </si>
  <si>
    <t>API Development Services  FTE Fees &amp; Model</t>
  </si>
  <si>
    <t>4.1. Overview of FTE Model</t>
  </si>
  <si>
    <t>FTE Model Assumptions / Basis</t>
  </si>
  <si>
    <t xml:space="preserve">Where Pfizer has Procedures (SOPs) for given API Development Services or associated operating guidelines or instructions then Supplier shall follow those (even where Supplier may have its own alternative SOPs etc) .  </t>
  </si>
  <si>
    <t xml:space="preserve">Pfizer Payment Terms are net 90 days from date Pfizer receives the invoice into its systems and payment is made at the next scehduled payment run after the 90 days (payment cycles are every 2 weeks so 90 days on average equates to ~ 97 days). </t>
  </si>
  <si>
    <t>4.2 API Development Services Pricing:  FTE Rates</t>
  </si>
  <si>
    <t>Comment</t>
  </si>
  <si>
    <t>Please insert # of hours per year per FTE</t>
  </si>
  <si>
    <t>Blended FTE Rate (hourly)</t>
  </si>
  <si>
    <t xml:space="preserve">self-calculated yearly rate </t>
  </si>
  <si>
    <t>ANALYTICAL RATE</t>
  </si>
  <si>
    <t>4.3 Work Fluctuations (flexing FTE numbers up or down to address material changes in work demands)</t>
  </si>
  <si>
    <t>Should the number of FTE's required to cover Pfizer projects increase or decrease either for a short period due to changed project load or Pfizer requires a general increase or decrease in the  FTE pool, what would your process be to scale up or down the number of FTE's as appropriate (including notice periods)?</t>
  </si>
  <si>
    <t>4.4 Forecasting &amp; other requirements</t>
  </si>
  <si>
    <t>Please describe what forecasting information you would need from Pfizer to meet speedy work initiation requirements. How soon after provision of project information by Pfizer would you be able to commence work on a new project?</t>
  </si>
  <si>
    <t>4.5Additional Comments</t>
  </si>
  <si>
    <t>If you would like to make any comments on your answers above, please use the space provided below</t>
  </si>
  <si>
    <t>Daily</t>
  </si>
  <si>
    <t>Hourly</t>
  </si>
  <si>
    <t>Volume Based Discounts</t>
  </si>
  <si>
    <t>Discount Schedule</t>
  </si>
  <si>
    <t>Table 1:  Assessment Periods and Review Dates</t>
  </si>
  <si>
    <t>Review Date</t>
  </si>
  <si>
    <t>Total of Sales for 12 Months</t>
  </si>
  <si>
    <t>New discount rate used from</t>
  </si>
  <si>
    <t>Table 2: Discount for Pfizer Accounts</t>
  </si>
  <si>
    <t>Previous 12 Months Sales Activity</t>
  </si>
  <si>
    <t>Discount for Next 3 months</t>
  </si>
  <si>
    <t>CPI Worked Example</t>
  </si>
  <si>
    <t xml:space="preserve">If the 12-month average country CPI is 2.54%, the yearly increase would be calculated as 50% * 2.54% = 1.27 %. </t>
  </si>
  <si>
    <t>CPI-U  (Eurostat harmonised index of consumer prices (EU), Non-Seasonally Adjusted, All Items Data</t>
  </si>
  <si>
    <t>Month</t>
  </si>
  <si>
    <t>CPI</t>
  </si>
  <si>
    <t>% Change</t>
  </si>
  <si>
    <t>May, 2023</t>
  </si>
  <si>
    <t>May, 2024</t>
  </si>
  <si>
    <t>June, 2023</t>
  </si>
  <si>
    <t>June, 2024</t>
  </si>
  <si>
    <t>July, 2023</t>
  </si>
  <si>
    <t>July, 2024</t>
  </si>
  <si>
    <t>August, 2023</t>
  </si>
  <si>
    <t>August, 2024</t>
  </si>
  <si>
    <t>September, 2023</t>
  </si>
  <si>
    <t>September, 2024</t>
  </si>
  <si>
    <t>October, 2023</t>
  </si>
  <si>
    <t>October, 2024</t>
  </si>
  <si>
    <t>November, 2023</t>
  </si>
  <si>
    <t>November, 2024</t>
  </si>
  <si>
    <t>December, 2023</t>
  </si>
  <si>
    <t>December, 2024</t>
  </si>
  <si>
    <t>January, 2024</t>
  </si>
  <si>
    <t>January, 2025</t>
  </si>
  <si>
    <t>Febraury, 2024</t>
  </si>
  <si>
    <t>Febraury, 2025</t>
  </si>
  <si>
    <t>March, 2024</t>
  </si>
  <si>
    <t>March, 2025</t>
  </si>
  <si>
    <t>April, 2024</t>
  </si>
  <si>
    <t>April, 2025</t>
  </si>
  <si>
    <t>12 Month Average CPI</t>
  </si>
  <si>
    <t>Year Over Year Difference (%)</t>
  </si>
  <si>
    <t xml:space="preserve"> 1.27% increase to rate</t>
  </si>
  <si>
    <t>General Questions</t>
  </si>
  <si>
    <t>#</t>
  </si>
  <si>
    <t>Question</t>
  </si>
  <si>
    <r>
      <t xml:space="preserve">Please complete the FTE </t>
    </r>
    <r>
      <rPr>
        <b/>
        <sz val="12"/>
        <rFont val="Arial"/>
        <family val="2"/>
      </rPr>
      <t xml:space="preserve">HOURLY </t>
    </r>
    <r>
      <rPr>
        <sz val="12"/>
        <rFont val="Arial"/>
        <family val="2"/>
      </rPr>
      <t xml:space="preserve">rate and # of hours per year per FTE in the table below for each site where you provide Services.  The rate is based upon the hours per year .  </t>
    </r>
    <r>
      <rPr>
        <sz val="12"/>
        <color rgb="FFFF0000"/>
        <rFont val="Arial"/>
        <family val="2"/>
      </rPr>
      <t>Please price in USD only.</t>
    </r>
  </si>
  <si>
    <t xml:space="preserve">Vendor shall make the calculation of the Rolling 12-Month Value on the first day of each Quarter. </t>
  </si>
  <si>
    <t xml:space="preserve"> Vendor shall provide Clare Law, Jack Bristol and any other relevant Pfizer S2P colleagues in relation to open Orders or SOWs with a copy of the Quarterly Rolling 12-Months Assessment in each Quarter when they are made which shows the summation calculations This information shall be provided in a single e-mail to the Pfizer S2P colleagues (so that the distribution list is visible to all Pfizer S2P colleagues). Pfizer shall review and will discuss with Vendor if there are any questions or queries in relation to the calculation.</t>
  </si>
  <si>
    <t>Previous September 1 to August 31</t>
  </si>
  <si>
    <t>Previous December 1 to November 31</t>
  </si>
  <si>
    <t>Previous June 1 to May 31</t>
  </si>
  <si>
    <t>December 1 to November 31</t>
  </si>
  <si>
    <t>March 1 to April 30</t>
  </si>
  <si>
    <t>June 1 to May 31</t>
  </si>
  <si>
    <t>Previous March 1 to February 28</t>
  </si>
  <si>
    <t>Discount &amp; CPI Instructions</t>
  </si>
  <si>
    <t>Spend begins to be monitored from September 1 2025</t>
  </si>
  <si>
    <t>Pfizer Worldwide Research &amp; Development/PSSM API FTE Request for Strategic Proposal</t>
  </si>
  <si>
    <t>Pfizer Worldwide Research &amp; Development/PSSM API Development FTE Request for Strategic Proposal</t>
  </si>
  <si>
    <t>DATE:  July 25</t>
  </si>
  <si>
    <t>DATE:  July 2025</t>
  </si>
  <si>
    <t>DATE: July 2025</t>
  </si>
  <si>
    <t xml:space="preserve">Pfizer will only pay for FTE time (per hour) while work is occurring on Pfizer projects:  no charge will be made for holiday, Overtime, sickness, Supplier's own training activity, or any other scenario where FTE time is not spent working on Pfizer projects.  If in exceptional circumstances, additional work hours are required, the rate will be at 'flat rate'. For clarity,  any time spent on activities which Pfizer requests Supplier to do, such as undertaking Pfizer required training, attending meetings with Pfizer etc would be deemed time spent in provision of the API Development Services.  </t>
  </si>
  <si>
    <t>One of the key components of the FTE program is the consistency required from the project manger.  The project manger is responsible for maintaining a steady and predictable management style ensuring that all project timelines, goals and deliverables are met with precision and reliability.  Their consistency is vital to maintain the overall integrity and success of the projects.  While the project manager must remain consistent, the team can be flexible.  This flexibility allows the team to adapt to new challenges, innovative solutions and varying project demands without compromising the quality of the work.</t>
  </si>
  <si>
    <t xml:space="preserve">Please provide the locations of all of your sites where the API Development Services described in this RFSP are performed. </t>
  </si>
  <si>
    <t xml:space="preserve">Pfizer is interested in understanding all your site options globally where the API Development Services described in this RFSP may be provided from.  </t>
  </si>
  <si>
    <r>
      <rPr>
        <b/>
        <u/>
        <sz val="12"/>
        <rFont val="Arial"/>
        <family val="2"/>
      </rPr>
      <t>Pfizer is requesting a single "Fully-absorbed and Blended FTE rate"  per geography which means that the FTE rate is:</t>
    </r>
    <r>
      <rPr>
        <sz val="12"/>
        <rFont val="Arial"/>
        <family val="2"/>
      </rPr>
      <t xml:space="preserve">
(a)  inclusive of all FTE time to perform the API Development Services as well as project management, writing of routine reports, adding data into the Pfizer LIMS system pertianing to Development data &amp; Sharepoint for related data, attending meetings with Pfizer etc. 
(b)  encompasses the range of different actual roles required to undertake the work. e.g. actual work may need input from FTEs with different  role types, skill sets, levels of qualification and experience and Supplier should determine the mix required for the Pfizer profile of API Development Services</t>
    </r>
    <r>
      <rPr>
        <sz val="12"/>
        <color rgb="FFFF0000"/>
        <rFont val="Arial"/>
        <family val="2"/>
      </rPr>
      <t xml:space="preserve"> </t>
    </r>
    <r>
      <rPr>
        <sz val="12"/>
        <rFont val="Arial"/>
        <family val="2"/>
      </rPr>
      <t xml:space="preserve">work described in this RFSP and from this mix determine the single blended FTE rate. 
(c) inclusive of all routine laboratory consumables, reagents, solvents etc which are required to perform API Development Services covered in this RFSP, and standard shipping costs if any shipments are needed to be made to Pfizer in the performance of the API Developmental Services.   
(d)  If there are any non-standard and expensive materials or items required for the applicable services at any time then these may be billed as a separate charge outside of the FTE rate.  Such items should be identified by Supplier and purchased with Pfizer's consent.  Supplier will track the aggregated spend by project for such items reporting and invoicing purposes.  </t>
    </r>
  </si>
  <si>
    <t>From HP perspective, want vendor with DSC and TSU HP capability.</t>
  </si>
  <si>
    <t>High-Potent handling philosophy</t>
  </si>
  <si>
    <t>HP handling philosophy: what are rules with HP solid handling, HP slurry handling, HP liquid handling (what of these is required to always be handled in isolator vs not requiring to always be in isolator).</t>
  </si>
  <si>
    <t>Determine optimal purification procedure to achieve desired specifications for target. This may include normal phase column chromatography, reverse phase column chromatography, Pre-HPLC, crystallization, reslurry, or lyophilization to arrive at acceptable purity and potency.
It would be helpful to understand the types and sizes of chromatography equipment available. Also, some purifications require heating/temperature control of the column so it would be helpful to understand that capability as well.
DL Need: Prep-LC, NP, RP, analytical screening system, Medium pressure, Lyo (bottle and tray type).</t>
  </si>
  <si>
    <t>Process Characterization</t>
  </si>
  <si>
    <t>Capabilities of running DoE/ Process characterization with appropriate polyblock/overhead agitation/ easymax set-ups (need jacketed vessels).</t>
  </si>
  <si>
    <t>P</t>
  </si>
  <si>
    <t>Please describe your notebook documentation platform (electronic and/or hardcopy notebooks) and if paper is there a transition plan to electronic and timeline</t>
  </si>
  <si>
    <t>Could you please share your full analytical equipment list (equipment types and numbers)?</t>
  </si>
  <si>
    <t>Pfizer expects that there will be a mechanism for rapid direct scientist to scientist communication. Please describe how and what form the communicate could take place.</t>
  </si>
  <si>
    <t>Please describe your experimental reporting and raw data sharing options with Pfizer. Please provide recent examples consistent with the philisophy of a digital workflow/paperless lab.</t>
  </si>
  <si>
    <t>CHEMISTRY RATE</t>
  </si>
  <si>
    <t>September 1 to August 31</t>
  </si>
  <si>
    <t>Document all analytical data in an approved laboratory notebook consistent with data integrity principles.</t>
  </si>
  <si>
    <t>Accelerated non-GMP stability studies</t>
  </si>
  <si>
    <t>Assess the relative physical and chemical stability of key starting materials and intermediates for promising routes. Deliverable: stability study test results summarized and any trends highlighted.</t>
  </si>
  <si>
    <t>Provide technical guidance and support for analytical method familiarization work to enable methods to be run at Pfizer site(s).</t>
  </si>
  <si>
    <t>Method familiarization</t>
  </si>
  <si>
    <t>Build understanding of trace entities through the most promising synthetic routes (e.g., PGIs, metals).</t>
  </si>
  <si>
    <t>PAT</t>
  </si>
  <si>
    <t>Med/High</t>
  </si>
  <si>
    <t>For processes where continuous chemistry is feasible, evaluate continuous monitoring tools e.g. IR, NIR, online- LC. Embed PAT monitoring into all chemical development activities where this adds value and is complimentary to off-line sample analysis.</t>
  </si>
  <si>
    <t>Continue evaluating form landscape of drug substance (e.g. XRD and microscopy) during process development</t>
  </si>
  <si>
    <t>Particle Size</t>
  </si>
  <si>
    <t>Develop fit-for-purpose particle size methodology for the evolving commercial route with Pfizer instrument preferences (typically Sympatec) fully considered.</t>
  </si>
  <si>
    <t>Generate and maintain an impurity tracking map that captures and tracks all impurities introduced by starting materials, as well as origin and fate/purge of all process-related impurities. Regularly discuss evolving impurity landscape with Pfizer project lead to ensure appropriate mitigation strategies are employed for clinical advancement of the program. Generate key data that ultimately supports the proposed commercial API specification and justification in CMC filings.</t>
  </si>
  <si>
    <t>Process/reagent screening sample analysis</t>
  </si>
  <si>
    <t>Routine high throughput sample analysis</t>
  </si>
  <si>
    <t>Assess relative reaction outcomes from high throughput experimentation to support selection of "best process" conditions.</t>
  </si>
  <si>
    <t>Trace analysis</t>
  </si>
  <si>
    <t>Develop methods to support low level impurity analysis e.g. potential genotoxic impurities/nitrosamines and test samples to evaluate levels (will typically require LC-MS/MS technology)</t>
  </si>
  <si>
    <t>Develop fit-for-purpose qualitative/quantitative analytical methods (HPLC, UPLC, GC, etc.) that enable crisp decision making across all workflows. LC systems from Waters or Agilent are considered appropriate. There may be a need for chiral methodology (e.g. SFC). Method development reports should be available on request.</t>
  </si>
  <si>
    <t>With guidance from the Pfizer project lead, develop a range of suitable, stability-indicating, analytical test methods that enable phase appropriate assessment and release of the API. Deliverable is a documented test method written in the preferred Pfizer document template.</t>
  </si>
  <si>
    <t>Method development - Intermediates</t>
  </si>
  <si>
    <t>Validate the analytical methods (Stage 1 or 2 per project lead request) for API via the validation protocol defined by Pfizer SOP in readiness for API registration stability. Deliverable is a validation report.</t>
  </si>
  <si>
    <t>With Pfizer project lead guidance, support analytical method transfer of validated API methods to desired R&amp;D, manufacturing site(s) and 3rd parties as required.</t>
  </si>
  <si>
    <t>Validate particle size methodology for commercial process - understand agglomeration risks via stability studies as necessary.</t>
  </si>
  <si>
    <t>non-GMP Stability</t>
  </si>
  <si>
    <t xml:space="preserve">Assess via accelerated studies the stability of starting materials, isolated intermediates in the proposed commercial process and API, using stability indicating methods. </t>
  </si>
  <si>
    <t>What is your approach to supporting this type of work?  Please provide details of equipment typically utilized for any exprimentation and key software used in each activity.</t>
  </si>
  <si>
    <t>What is your approach to supporting this type of work?  Please provide details of equipment typically utilized for any experimentation and key software used in each activity.</t>
  </si>
  <si>
    <r>
      <t>The Rolling 12-Month Value in USD s</t>
    </r>
    <r>
      <rPr>
        <sz val="11"/>
        <rFont val="Aptos"/>
        <family val="2"/>
      </rPr>
      <t>hall be matched</t>
    </r>
    <r>
      <rPr>
        <sz val="11"/>
        <color theme="1"/>
        <rFont val="Aptos"/>
        <family val="2"/>
      </rPr>
      <t xml:space="preserve"> to the relevant Rolling 12-Month Value Tier in the table </t>
    </r>
    <r>
      <rPr>
        <sz val="11"/>
        <rFont val="Aptos"/>
        <family val="2"/>
      </rPr>
      <t>above and the applicable percentage Discount determined.  This Discount shall be applied to all invoices issued in the following Quarter for Vendor Services.  This discount plan will apply when all Pfizer accounts are in good standing with respect to payment of invoices.  In the quarterly calculation of spend for the previous 12-Month period Vendor reserves the right to exclude any invoices which are not in compliance with payment terms of the agreement.</t>
    </r>
  </si>
  <si>
    <t>Vendor shall advise the relevant S2P contacts and the nominated Pfizer Representatives plus any other relevant Pfizer colleagues who are the points of contact per current open Order of the Rolling 12-Month Value and the applicable discounts that shall be applied to invoices in the next Quarter.</t>
  </si>
  <si>
    <t>Discount Instructions</t>
  </si>
  <si>
    <t>CPI Instructions</t>
  </si>
  <si>
    <t>The invoiced amount shall be calculated for all Pfizer companies and affiliates of Pfizer Inc.</t>
  </si>
  <si>
    <t>The Invoiced amount in USD shall be calculated on the first day of each calendar Quarter ("Quarter Rolling 12-Month Assessment") and calcualted as the sum of the previous 4 Calendar Quarter's Invoiced amounts  (the "Rolling 12-Month Value"). The assessment dates would be 1st September, 1st December, 1st March and 1st June or the closest business day thereafter for each of these dates.  For example, an assessment made on 1st September 2025  would include data from 1st September 2024 to 31st August 25 inclusive.</t>
  </si>
  <si>
    <t xml:space="preserve">3. FTE Fees:  This worksheet describes the FTE model Pfizer uses and gathers information from Supplier on their fees proposal as well as how the model would be implemented and operated.  </t>
  </si>
  <si>
    <t>4. FTE Discounts &amp; Instructions:  This worksheet describes the Discount Table Pfizer uses and gathers information from Supplier on their proposal.</t>
  </si>
  <si>
    <t>4A. CPI &amp; Instructions: This worksheet articulates the process for pricing adjustments which will be made in respect to the Consumer Price Index (CPI) following the initial three (3) years of this agreement.</t>
  </si>
  <si>
    <t>5. General Questions:  This worksheet covers general questions not covered elsewhere in the RFSP.</t>
  </si>
  <si>
    <t xml:space="preserve">1. Site Details:  This worksheet gathers information about the Sites at which you provide the scope of Chemical Process and Analytical Development Services addressed in this RFSP.  </t>
  </si>
  <si>
    <t xml:space="preserve">2. A to I:  These worksheets describes the Scope of Development Services addressed in this RFSP. These worksheet gather information about Supplier's ability to provide the given Development Services Capabilities at each of your Sites.  </t>
  </si>
  <si>
    <t xml:space="preserve">Please add additional rows or columns as required in any of the worksheets.  If due to formatting (merged cells, drop-down lists etc) this is challenging then please contact Jack Bristol at Pfizer and the template RFSP can be modified as you need and a revised version issued to you for completion. </t>
  </si>
  <si>
    <t>*All targets prepared will be defined by Pfizer as OEB 5, and sufficient controls must be in place to isolate, handle, purify, and characterize these highly potent compounds. Please comment on capabilities in this space.</t>
  </si>
  <si>
    <t>Comments: *All targets prepared will be defined by Pfizer as OEB 5, and sufficient controls must be in place to isolate, handle, purify, and characterize these highly potent compounds. Please comment on capabilities in this space.</t>
  </si>
  <si>
    <t>The savings program will begin the first quarter after the 12-month rolling value reaches greater than the value of the first discount Tier and will decrease as described below.</t>
  </si>
  <si>
    <t>This Excel file includes 14 Worksheets intended to gather information regarding Supplier's capabilities, locations and fees for the provision of API Development Services. Please complete all worksheets.</t>
  </si>
  <si>
    <t>Pfizer desires to include a discount model for the FTE based API Development Services. At the end of each quarter the annualized spend (value of invoices submitted) for the last rolling 12 months (current quarter plus prior 3) is used to determine the applicable discount tier.  This Discount level is then applied to all invoices which are issued in the following quarter. Please note this table is not limited nor specific to the Pfizer Research &amp; Development division, all FTE programs and/or any other type of FTE project procured by Pfizer Inc will have privileges to the discount schedule articulated herein.
See Tab 4A. Discount &amp; CPI Instructions for more information.</t>
  </si>
  <si>
    <t xml:space="preserve">Pfizer PSSM API Development R&amp;D is seeking cost and capability information for Development Services described in this RFSP under a Non-Dedicated Full Time Equivalent (FTE) arrangement. Our objective is to establish a fixed price agreement for a duration of three (3) years. On the third &amp; fourth anniversary of this FTE pricing agreement, the FTE rates provided in this proposal will become subject to two (2) annual pricing adjustments for the remaining two years of this agreement. Rate adjustments will directly reflect the year over year (YoY) change in the Consumer Price Index (CPI) and absorbed equally by both parties (50/50). Rates will hold constant following each annual adjustment for the full year until the date of the following anniversary is reached and/or expiration (additional details in tab 4A).
The largest SME category, Tabs 2A to 2H, will be the Process Chemistry.  We suggest a 3:1 ratio of Chemists to Analysts here with the following allocation:
Process Chemistry (variable blend of HiPo &amp; Non-HiPo) 60%
Analytical Chemistry 20%
Process Engineering (including Safety, Crystallization &amp; Continous) 10%
Library Synthesis (mostly chemistry) 10% 
Engineering will contribute minimally to the total, except for Workflows, which will be managed outside the FTE agreements.
</t>
  </si>
  <si>
    <t>The percentage adjustment figure used shall be the average of each of the monthly CPI figures for the previous rolling 12 months as shown in an example calculation below. This is to be implemented September, 2028 (or third anniversary).</t>
  </si>
  <si>
    <r>
      <t xml:space="preserve">On the third and fourth anniversary of this agreement, the Annual Rates shall be adjusted by a percentage amount calculated from the latest available data for the all items Consumer Price Index (CPI) respective to the geograpical region in which the services reside, </t>
    </r>
    <r>
      <rPr>
        <sz val="11"/>
        <rFont val="Aptos"/>
        <family val="2"/>
      </rPr>
      <t>CPI (meaning GP20 "All Items" CPI in the respective geography) on the third and forth anniversary of this agreement.</t>
    </r>
  </si>
  <si>
    <t>Comments:  (*All targets prepared will be defined by Pfizer as OEB 5, and sufficient controls must be in place to isolate, handle, purify, and characterize these highly potent compounds. Please comment on capabilities in this space.)</t>
  </si>
  <si>
    <t>*WF1 tasks are covered by the document, despite not being explicitly called out in each tab. These are a blend of chemistry, crystallization and associated analysis with generally a lighter touch than WFs 2-3, and with a much shorter duration. Additionally, there is a requirement for Workflow 2 activities to be based in the West, specifically in the US or Europe.*</t>
  </si>
  <si>
    <t>Aurigene Pharmaceutical Services Ltd - Hyderabad</t>
  </si>
  <si>
    <t>Integrated Product Development Organization (IPDO) - Hyderabad</t>
  </si>
  <si>
    <t>Hyderabad - India</t>
  </si>
  <si>
    <t>Cambridge - United Kingdom</t>
  </si>
  <si>
    <t>Sy no.42,45,46 &amp; 54, Bachupally village &amp; Mandal, Medchal- Malkajgiri District, Telangana, India - 500090</t>
  </si>
  <si>
    <t>Srividya Ramakrishnan</t>
  </si>
  <si>
    <t>Christopher Cobley</t>
  </si>
  <si>
    <t>Rajeev Rehani Budhdev</t>
  </si>
  <si>
    <t>R&amp;D Leader and Site Head</t>
  </si>
  <si>
    <t>srividyar@aurigeneservices.com</t>
  </si>
  <si>
    <t xml:space="preserve">ccobley@drreddys.com </t>
  </si>
  <si>
    <t>rajeevrb@drreddys.com</t>
  </si>
  <si>
    <t>+91 9701778275</t>
  </si>
  <si>
    <t>+91 9824312335</t>
  </si>
  <si>
    <t>Integrated Product Development Organization (IPDO) - Cambridge</t>
  </si>
  <si>
    <t>Global Head - CDMO (DS)</t>
  </si>
  <si>
    <t>Aurigene engages in a collaborative partnership with its customers, such as Pfizer, to ensure transparent and effective communication throughout the project lifecycle. Here's a refined articulation of this process:
Weekly Technical Reports: Aurigene provides its customers with detailed written reports on a weekly basis. These reports include:
Technical Details: Comprehensive information on the methodologies and approaches used.
Scientific Rationale: Clear explanations of the scientific reasoning behind each approach, ensuring that decisions are well-founded.
Objectives and Conclusions: A summary of objectives achieved and conclusions drawn from the week's work, offering insights into progress and next steps.
Collaborative Discussions: Aurigene actively participates in weekly technical discussions with the customer's team (e.g., Pfizer). These discussions focus on:
Project Deliverables: Ensuring alignment on targets and expectations, and discussing any challenges or adjustments needed.
Technical Insights: Sharing expert insights and receiving feedback to refine approaches and improve outcomes.</t>
  </si>
  <si>
    <t>Aurigene is committed to providing all the necessary support to successfully achieve the agreed-upon goals.</t>
  </si>
  <si>
    <t>Aurigene agrees to conduct the synthesis of the specified quantity to facilitate fundamental data gathering</t>
  </si>
  <si>
    <t>Agreed, Aurigene will generate the necessary key intermediate to effectively support the workflow, ensuring smooth progress and integration within the overall project.</t>
  </si>
  <si>
    <t>As part of our development process, each synthetic transformation undergoes a thorough paper-based risk assessment, focusing on several critical safety aspects:
Hazardous Reagent Usage: We utilize Cheetah software and Bretherick's Handbook to assess and manage the risks associated with the use of hazardous reagents. These resources help in identifying potential dangers and determining appropriate safety measures.
Potential Gas Evolution: The risk assessment includes evaluating the potential for gas evolution during reactions, which could pose safety hazards.
Reaction By-Product Hazards: We also assess the hazards associated with any by-products formed during the reactions to ensure a comprehensive understanding of all potential risks.
In the event that any potential risks are identified during this evaluation, we proactively mitigate them through alternative options or by implementing engineering controls. This approach ensures that safety is maintained without compromising the effectiveness and efficiency of the development process.</t>
  </si>
  <si>
    <t>Our Approach:
Understanding Reaction Kinetics: We begin by thoroughly analyzing the reaction kinetics to understand how the reaction proceeds over time, which helps in identifying optimal conditions for the process.
Identifying Mixing Dependency: The next step involves determining the dependency of the reactions on mixing efficiencies. This is crucial for ensuring consistent output quality and material attributes.
Laboratory-Scale Batch Studies: We assess reaction and mixing sensitivity through laboratory-scale batch studies. This initial testing helps in understanding how well the batch process accommodates the reaction's requirements.
Flow Experiments for Confirmation: If batch studies reveal challenges such as fast kinetics or inadequate mixing control, we transition to experiments using our in-house continuous flow equipment. These experiments are designed to confirm output quality and material attributes under flow conditions.
Safe and Efficient Scale-Up: By leveraging continuous flow equipment, we ensure that the process can be safely and efficiently scaled up, addressing any limitations encountered in batch mode.</t>
  </si>
  <si>
    <t>To achieve optimal solid-state properties and processability, our approach includes the following steps:
Assessment of Salt, Polymorph, and Crystallization Needs: We will evaluate whether there is a need for salt formation, polymorph identification, and crystallization screening of key starting materials and intermediates. These assessments are crucial for enhancing the stability, solubility, and overall performance of the compounds.
Collaboration with Pfizer Lead: These studies will be conducted in close coordination with the Pfizer lead to ensure alignment with project goals and leverage their insights and expertise.
Solvent Screening Experiments: We will conduct solvent screening experiments to efficiently evaluate different crystallization conditions. This will help us identify the most suitable solvents that promote desired solid-state properties.
Facilitating Solid Form Selection: The insights gained from these screenings will facilitate the selection of the optimal solid form for the compounds, ensuring they meet the required specifications for further development and processing.</t>
  </si>
  <si>
    <t>We are equipped with state-of-the-art analytical instruments, including high-resolution mass spectrometry (HRMS), Triple Quadrupole (Triple Quad) mass spectrometers, and Nuclear Magnetic Resonance (NMR) instruments. These tools empower our team to:
Characterize Impurities with Precision: Using HRMS, we can accurately determine the molecular weight and structure of impurities, even in complex mixtures.
Quantitative and Qualitative Analysis: The Triple Quad mass spectrometer allows for both quantitative and qualitative analysis of impurities, providing detailed insights into their concentration and characteristics.
Structural Elucidation with NMR: NMR is instrumental in elucidating the structural details of impurities, offering a comprehensive understanding of their composition and potential impact.
Together, these advanced instruments enable thorough characterization of impurities during development, ensuring high-quality and reliable results.</t>
  </si>
  <si>
    <t xml:space="preserve">Agreed, we will closely collaborate with the Project Lead to successfully complete the assigned scientific activities. This collaboration will extend to ideation, ensuring that innovative solutions and insights are integrated into the project. </t>
  </si>
  <si>
    <t>Aurigene undertakes a thorough process screening for raw material evaluation, focusing on impurity identification. This involves:
Impurity Identification: We conduct detailed analyses to identify impurities in raw materials, ensuring they meet quality standards and project requirements.
Evaluation of Multiple Lots/Suppliers: Based on commercial availability, we collect and evaluate multiple lots from different suppliers. This evaluation ensures reliability and consistency in raw material quality.
Guidance and Collaboration: This process is carried out as guided by Pfizer or through mutually agreed-upon procedures, ensuring alignment with the project's goals and requirements.</t>
  </si>
  <si>
    <t>Aurigene will carry out this activity as an integral part of the development process. By integrating this evaluation into our development workflow, we ensure that raw materials are thoroughly screened and impurities are identified early on, supporting the overall success and quality of the project.</t>
  </si>
  <si>
    <t>In our development process, we perform extensive reaction screening and optimization using advanced equipment:
Small-Scale Reaction Screening: We utilize the Radleys reactor platform to conduct small-scale reaction screenings. This platform allows for precise control over reaction conditions, facilitating the evaluation of various parameters.
Catalyst Screening: For the formation of C-C, C-O, and C-N bonds, catalyst screenings are performed using a carousel assembly with reaction volumes ranging from 25mL to 50mL. This setup enables the efficient testing of different catalysts under controlled conditions.
Process Screening for Scale-Up: To identify suitable process conditions for scale-up, we conduct process screenings using a parallel cylindrical reactor platform. This allows us to test multiple conditions simultaneously, ensuring a thorough evaluation.
High-Throughput Screening: We leverage the Zinsser High Throughput System (HTS) to further enhance our reaction screening capabilities. This system accelerates the screening process by allowing the rapid testing of numerous reactions and conditions.</t>
  </si>
  <si>
    <t>Process Screening and Development Approach:
Mixing Profile and Safety Screening: Once the reaction is established, we screen the process for key factors such as mixing profiles, exothermicity, and gas evolution. This ensures that all safety parameters are thoroughly evaluated to prevent any potential hazards during scaling up.
Solvent Screening and Solubility Assessment: We conduct thorough solvent screening to determine optimal solubility conditions, which aids in enhancing reaction efficiency and product quality.
Preliminary Design in Flow: Initial experiments are designed and conducted in EasyMax or Radleys jacketed glass reactors (250 mL capacity) to assess the impact of Critical Process Parameters (CPPs) and mixing dynamics in a flow environment.
Understanding Reaction Kinetics: We employ Dynochem to analyze reaction kinetics, allowing us to optimize reaction times and conditions for improved process performance.
Proof of Concept (PoC) Establishment: Using Design of Experiments (DoE) and Quality by Design (QbD) approaches, we establish a robust Proof of Concept. This step ensures that the process is scalable and meets the desired specifications.
Scale-Up Experiments: Based on the initial findings, we conduct scale-up experiments using pilot-scale cylindrical jacketed reactors, up to 50L capacity. These reactors are equipped with controlled dosing via pumps and precise temperature regulation using Huber/Lauda or Julabo units, and overhead stirrers from IKA for accurate RPM control.</t>
  </si>
  <si>
    <t>Aurigene implements a meticulous documentation process to ensure thorough record-keeping and knowledge transfer:
Electronic Lab Notebook (ELN): All experiments are systematically documented in our Electronic Lab Notebook system. This ensures that every detail of the experimental process is recorded accurately and is easily accessible for future reference.
Comprehensive Process Development Report: At the conclusion of each campaign, a detailed process development report is prepared. This report includes:
Key Learnings: Insights and findings from the campaign are highlighted, providing valuable information for improving future processes.
Scope for Future Development: The report outlines potential areas for further research and development, ensuring continuous improvement and innovation.</t>
  </si>
  <si>
    <t>At Aurigene, the SELECT criteria play a critical role during process screening. This involves:
Integration of SELECT Criteria: These criteria are essential for evaluating various process parameters to ensure that the selection of reaction work-up and isolation methods is optimized for efficiency, safety, and scalability.
Collaboration with Pfizer Project Lead: We work closely with the Pfizer Project Lead to apply these criteria effectively. This collaboration helps identify the most optimal process conditions, aligning with both scientific objectives and project goals.
By leveraging the SELECT criteria in tandem with expert collaboration, we ensure that the processes are not only optimized but also tailored to meet the specific needs of the project</t>
  </si>
  <si>
    <t>Agreed. Aurigene is committed to actively contributing to all aspects of scientific data generation, ensuring that our expertise and insights are fully utilized to support the project's objectives and success.</t>
  </si>
  <si>
    <t>During the process development phase at Aurigene, we will prepare a detailed Relative Retention Time (RRT) mapping. This will involve:
RRT Mapping: Creating comprehensive RRT mapping to accurately track and manage the identification and quantification of impurities throughout the development process. This mapping helps in understanding the impurity profile and its evolution over time.
Tracking Rejections and Impurity Profile Control: From the initial stages of the activity, we will monitor any rejections and maintain stringent control over the impurity profile. This proactive approach ensures that impurities are identified and controlled early, minimizing risks and maintaining quality standards.
Collaboration with Pfizer Project Lead: Our Scientific Lead will collaborate closely with the Pfizer Project Lead. This partnership will ensure that all insights from the RRT mapping and impurity control processes are aligned with the project's goals and enable informed decision-making.
This structured approach facilitates the effective management of impurities, contributing to the robustness and reliability of the development process</t>
  </si>
  <si>
    <t>Agreed, and Aurigene will tailor the approach based on specific project requirements. Additionally, we have established Standard Operating Procedures (SOPs) and templates for technology transfer documents as part of our development activities. These SOPs and templates ensure that the transfer of technology is consistent, efficient, and aligned with industry standards.</t>
  </si>
  <si>
    <t>Agreed, and we will ensure that any critical observations are communicated in real time to the Pfizer Project Lead. This proactive communication will facilitate timely decision-making and effective collaboration throughout the project</t>
  </si>
  <si>
    <t xml:space="preserve">Agreed, and we will liaise closely with the Pfizer Project Lead to ensure seamless collaboration and alignment on all project activities and objectives.
</t>
  </si>
  <si>
    <t>Agreed, and we acknowledge that this activity is an integral part of Aurigene's development process. We will discuss and implement risk mitigation plans at every stage of project development and execution, working closely with the team to address any potential challenges and ensure the project's success.</t>
  </si>
  <si>
    <t>Agreed, and we will liaise with the Pfizer Project Lead to effectively coordinate the work-up and isolation processes, ensuring that these critical steps are aligned with project goals and conducted smoothly.</t>
  </si>
  <si>
    <t>As part of our process evaluation, we will thoroughly study scale dependency for both reactions and isolation steps:
Lab-Scale Experimentation: We will conduct detailed lab-scale experiments to identify any potential scale or equipment-related risks. This includes evaluating factors like rapid kinetics, mixing sensitivity, and any unexplained mass balance issues.
Risk Identification and Mitigation: By identifying these risks proactively, we can develop and implement effective mitigation strategies to address them before scaling up.
Transparent Communication: We will maintain open and transparent communication with the Pfizer Project Lead to ensure that our findings and strategies are aligned and that the scale-up process is conducted safely and efficiently.</t>
  </si>
  <si>
    <t>Agreed, and we have a system in place for tracking experiment results during the Proof of Concept (PoC) phase. This enables us to define the process clearly and facilitates effective process development. By systematically monitoring and analyzing these results, we ensure that the process is well-optimized and ready for further development stages.</t>
  </si>
  <si>
    <t>Agreed, and we will collaborate with the Pfizer Project Lead at the start of the project to define the process variables. This joint effort will ensure that both teams are aligned on the key parameters that will guide the development process, setting a strong foundation for successful project execution.</t>
  </si>
  <si>
    <t>Agreed. Aurigene will work closely with the Pfizer Project Lead at the outset of the project to collaboratively define the process variables, ensuring alignment and clarity from the start.</t>
  </si>
  <si>
    <t>Agreed. We will collaborate with the Pfizer Project Lead to define the process variables at the start of the project, focusing on small-scale experiments ranging from 10g to 25g input scale. This initial experimentation will help establish a solid foundation for understanding and optimizing the process parameters critical to the project's success</t>
  </si>
  <si>
    <t>Agreed. Aurigene will collaborate closely with the Pfizer Project Lead at the start of the project to define the process variables. This collaboration will include conducting small-scale experiments, ranging from 10g to 25g input scale, to assess and optimize the reaction conditions. Our aim is to thoroughly evaluate the synthesis and isolation steps to ensure the effective development of the desired process.</t>
  </si>
  <si>
    <t>Agreed. We will proceed by selecting and preparing the necessary key intermediate to support the workflow, including generating the required key intermediate for the development process. Alongside conducting detailed studies and screenings, we will document all experimental results in our Electronic Lab Notebook (ELN).
At the end of the campaign, a comprehensive process development report will be provided. This report will highlight key learnings and identify opportunities for future development. Additionally, ongoing communication regarding critical observations will be maintained with the Pfizer Project Lead, ensuring that any potential risks are addressed promptly through alternative options or engineering controls as part of our development strategy.
Our collaboration with the Pfizer Lead will be active throughout the process, particularly focusing on ideation and the refinement of processes for reaction work-up and isolation. Our suite of advanced analytical tools, including high-resolution mass spectrometry, Triple Quad, and NMR instruments, enables our team to thoroughly characterize impurities during development.
Furthermore, we will conduct scale dependency studies and process evaluations at both the reaction and isolation stages. Initial small-scale reaction screenings will be performed using the Radleys reactor platform and catalyst screening for C-C, C-O, and C-N bond formations with a carousel reaction assembly. Process screening will be carried out using a parallel cylindrical reactor platform, equipped with high-precision piston and peristaltic pumps, to ensure safe and efficient scale-up.
Throughout the project, we will ensure open communication with the Pfizer Project Lead, sharing critical observations in real-time and collaborating on ideation and the definition of process variables. With our thorough approach to development, including the use of advanced equipment such as EasyMax, jacketed glass reactors, and precision stirring and temperature control systems, we aim to ensure the optimal development of robust and scalable processes.</t>
  </si>
  <si>
    <t>Our project management process includes robust documentation practices to ensure clarity and transparency throughout the development lifecycle. Here’s an overview of our approach:
Documentation and Reporting Approach:
Comprehensive Analytical Support: We utilize a wide range of analytical capabilities, including advanced chromatographic techniques with specialized detectors, to support our route scouting experiments. This ensures precise characterization of impurities during development.
Fit-for-Purpose Method Development: Customized analytical methods are developed to specifically address the unique requirements of each project phase, ensuring high accuracy and efficiency in evaluation.
Regular Data and Analysis Sharing: As part of our commitment to collaboration, we will generate comprehensive scientific data throughout the development process and share it with the Pfizer team in a timely manner to keep them informed and aligned with the project's progress.
Process Screening and Optimization: We will conduct a detailed analysis of reaction kinetics and the mixing dependencies of reactions through laboratory-scale batch studies. If these studies indicate that batch mode is unsuitable due to factors like fast kinetics or poor mixing control, we will proceed with evaluations using our in-house continuous flow equipment to ensure a safe and efficient scale-up.
Structured Experiments and PoC Establishment: Our approach includes conducting solvent screening experiments to optimize crystallization conditions and facilitate solid form selection. We follow a streamlined Proof of Concept (PoC) establishment using a Design of Experiments (DoE) and Quality by Design (QbD) approach to ensure robust and scalable processes.
Collaboration and Reporting: Throughout the development process, our team at Aurigene will closely collaborate with the Pfizer Project Lead. We will perform the necessary activities, provide all required support, and engage in ongoing communication. This includes generating and sharing written weekly technical reports that detail our findings, scientific rationale, and any identified opportunities for further development.</t>
  </si>
  <si>
    <t>Agreed, and we will maintain close collaboration with the Pfizer Project Lead throughout the project. This partnership will ensure alignment on objectives and facilitate effective communication and execution of project activities.</t>
  </si>
  <si>
    <r>
      <t xml:space="preserve">At APSL, advanced chromatographic techniques are employed to monitor reaction kinetics, perform impurity profiling, and assess the impact of impurities throughout the downstream process. Our analytical method development is tailored to align with phase specific development approach, ensuring precision and relevance at the stage.
</t>
    </r>
    <r>
      <rPr>
        <b/>
        <sz val="10"/>
        <color theme="1"/>
        <rFont val="Arial"/>
        <family val="2"/>
      </rPr>
      <t>Instrumentation and Tools</t>
    </r>
    <r>
      <rPr>
        <sz val="10"/>
        <color theme="1"/>
        <rFont val="Arial"/>
        <family val="2"/>
      </rPr>
      <t xml:space="preserve">
1. Chromatographic Systems: HPLC, GC, UPLC
2. Detection Technologies: PDA, UV, CAD, Mass Spectrometry, and FID
3. Software Platform: Empower 3 (Waters)</t>
    </r>
  </si>
  <si>
    <t>All experimental documentation is systematically captured within the Electronic Laboratory Notebook (E-Lab). This ensures comprehensive data traceability and compliance with ALCOA principles—maintaining records that are Attributable, Legible, Contemporaneous, Original, and Accurate throughout the analytical lifecycle.</t>
  </si>
  <si>
    <r>
      <rPr>
        <sz val="10"/>
        <color rgb="FF000000"/>
        <rFont val="Arial"/>
      </rPr>
      <t xml:space="preserve">Aurigene conducts a comprehensive suite of studies aligned with customer requirements and regulatory guidance to ensure robust characterization across development stages:
</t>
    </r>
    <r>
      <rPr>
        <b/>
        <sz val="10"/>
        <color rgb="FF000000"/>
        <rFont val="Arial"/>
      </rPr>
      <t>Holding Studies:</t>
    </r>
    <r>
      <rPr>
        <sz val="10"/>
        <color rgb="FF000000"/>
        <rFont val="Arial"/>
      </rPr>
      <t xml:space="preserve"> Performed for reaction mass,  wet and dry intermediates and final product customized to client specifications.
</t>
    </r>
    <r>
      <rPr>
        <b/>
        <sz val="10"/>
        <color rgb="FF000000"/>
        <rFont val="Arial"/>
      </rPr>
      <t>Hygroscopicity Assessment:</t>
    </r>
    <r>
      <rPr>
        <sz val="10"/>
        <color rgb="FF000000"/>
        <rFont val="Arial"/>
      </rPr>
      <t xml:space="preserve"> Evaluated in accordance with European Pharmacopoeia (EP) guidelines to determine the hygroscopic nature of the molecule.
</t>
    </r>
    <r>
      <rPr>
        <b/>
        <sz val="10"/>
        <color rgb="FF000000"/>
        <rFont val="Arial"/>
      </rPr>
      <t>Stability Studies:</t>
    </r>
    <r>
      <rPr>
        <sz val="10"/>
        <color rgb="FF000000"/>
        <rFont val="Arial"/>
      </rPr>
      <t xml:space="preserve"> Initiated for intermediates and final products based on customer-specific criteria to establish shelf-life and product integrity.
</t>
    </r>
    <r>
      <rPr>
        <b/>
        <sz val="10"/>
        <color rgb="FF000000"/>
        <rFont val="Arial"/>
      </rPr>
      <t>Trend Analysis:</t>
    </r>
    <r>
      <rPr>
        <sz val="10"/>
        <color rgb="FF000000"/>
        <rFont val="Arial"/>
      </rPr>
      <t xml:space="preserve"> Purity and impurity profiling trends are systematically recorded across all stability intervals and are available for client review upon request.</t>
    </r>
  </si>
  <si>
    <t>Tailored technical guidance will be provided to Pfizer based on specific project requirements, empowering their teams to independently execute the analytical methods developed. Methodology knowledge-sharing is actively facilitated through periodic review meetings and dedicated technical calls, ensuring transparent communication and seamless technology transfer.</t>
  </si>
  <si>
    <r>
      <rPr>
        <sz val="10"/>
        <color rgb="FF000000"/>
        <rFont val="Arial"/>
      </rPr>
      <t xml:space="preserve">APSL utilizes advanced analytical techniques and instrumentation, to ensure comprehensive profiling of persistent process-related impurities:
</t>
    </r>
    <r>
      <rPr>
        <b/>
        <sz val="10"/>
        <color rgb="FF000000"/>
        <rFont val="Arial"/>
      </rPr>
      <t>LC-MS/MS Analysis:</t>
    </r>
    <r>
      <rPr>
        <sz val="10"/>
        <color rgb="FF000000"/>
        <rFont val="Arial"/>
      </rPr>
      <t xml:space="preserve"> Utilized for impurity identification using systems such as:
I. Qtrap 4500 (AB Sciex) with Analyst Software v1.6.3
2. Xevo TQ Absolute (Waters) with MassLynx v4.2
</t>
    </r>
    <r>
      <rPr>
        <b/>
        <sz val="10"/>
        <color rgb="FF000000"/>
        <rFont val="Arial"/>
      </rPr>
      <t>GC-MS Screening:</t>
    </r>
    <r>
      <rPr>
        <sz val="10"/>
        <color rgb="FF000000"/>
        <rFont val="Arial"/>
      </rPr>
      <t xml:space="preserve"> Conducted using Agilent 5975C system with MassHunter B.07 software, particularly for volatile or semi-volatile impurities.
</t>
    </r>
    <r>
      <rPr>
        <b/>
        <sz val="10"/>
        <color rgb="FF000000"/>
        <rFont val="Arial"/>
      </rPr>
      <t>High-Resolution Mass Spectrometry (HRMS):</t>
    </r>
    <r>
      <rPr>
        <sz val="10"/>
        <color rgb="FF000000"/>
        <rFont val="Arial"/>
      </rPr>
      <t xml:space="preserve"> Xevo G3 QTof (Waters) with Waters Connect software employed for accurate mass determination and structural elucidation of major unknowns.
</t>
    </r>
    <r>
      <rPr>
        <b/>
        <sz val="10"/>
        <color rgb="FF000000"/>
        <rFont val="Arial"/>
      </rPr>
      <t>Structural Characterization of Isolated/Synthesized Impurities:</t>
    </r>
    <r>
      <rPr>
        <sz val="10"/>
        <color rgb="FF000000"/>
        <rFont val="Arial"/>
      </rPr>
      <t xml:space="preserve"> Confirmed through orthogonal techniques including IR Spectroscopy, Mass Spectrometry, and Nuclear Magnetic Resonance (NMR).
</t>
    </r>
  </si>
  <si>
    <t>To ensure precise and continuous assessment of reaction progress, APSL integrates advanced in-line analytical tools:
ReactIR: Enables real-time monitoring of chemical transformations through mid-infrared spectroscopy.
Near-Infrared Spectroscopy (NIR): Provides rapid and non-destructive analysis of key reaction parameters.
pH Probes: Continuously track pH changes to support reaction optimization and control.
This integrated setup supports enhanced process understanding and enables timely decision-making during synthetic route development.</t>
  </si>
  <si>
    <t>To confirm polymorphic variations and analyze the physical characteristics of different forms, APSL employs a suite of specialized analytical techniques:
Differential Scanning Calorimetry (DSC): Conducted using TA Instruments Q2000 system, operated with TA Instrument v2.8 software, to detect thermal transitions indicative of polymorphic differences.
Powder X-Ray Diffraction (PXRD): Utilized via Bruker D8 Advance instrument with Measurement Suite v8.6.7 software for crystalline phase identification and confirmation of polymorphic forms.
Microscopy Analysis: Performed using Axiocam ICc5 (Carl Zeiss) equipped with Zen v3.3 software to visually capture and document particle shape and size variations.</t>
  </si>
  <si>
    <t>To support particle characterization efforts across various stages of development, Aurigene employs the Malvern Mastersizer 3000 for high-precision Particle Size Distribution (PSD) analysis.
Measurement Technique: Both dry and wet dispersion methods are developed and optimized based on the physicochemical nature of the molecule, ensuring reliable and reproducible results.
Lifecycle Integration: A fully validated PSD method is implemented for molecules entering Phase 3 and subsequent stages, aligning with quality and regulatory expectations.</t>
  </si>
  <si>
    <t>Aurigene adheres to technical guidance provided by the Pfizer project lead to ensure alignment with customer expectations and project objectives.
Potency Calculation: Potency for reference standards is calculated using relevant analytical procedures, with corresponding Certificates of Analysis (COA) and Analytical Test Reports (ATR) generated to ensure transparency and compliance.
Orthogonal Potency Verification via qNMR: APSL possesses deep expertise in quantitative Nuclear Magnetic Resonance (qNMR) methodologies. Potency estimation is performed using appropriate internal standards, serving as an orthogonal technique to support accuracy and reproducibility in assay results.</t>
  </si>
  <si>
    <t>At Aurigene, impurity profiling is executed across all synthetic stages—from key starting materials (KSMs) through to the final product—in accordance with customer-specific requirements. Systematic impurity mapping is conducted at each developmental stage to ensure thorough monitoring and control.
As the molecule advances through clinical development phases, APSL provides critical support for Chemistry, Manufacturing, and Controls (CMC) activities, including:
Impurity Profiling and Trend Analysis
Assessment of Carryover Impurities into Downstream Processing
Fate and Purge Studies to evaluate process robustness in eliminating impurities
Specification parameters are established based on a combination of:
Prior scientific knowledge and historical project data
Regulatory guidance from ICH, USP, and Ph. Eur. standards
This integrated approach demonstrates process capability and compliance, while ensuring product safety and quality across all phases.</t>
  </si>
  <si>
    <t>Aurigene conducts analytical evaluation of all process development and screening samples using fit-for-purpose methods, tailored to meet the specific requirements of each process. This adaptive approach ensures that method selection aligns with the molecule’s stage of development, complexity, and critical process attributes—supporting decision-making and optimization throughout the lifecycle.</t>
  </si>
  <si>
    <t>Aurigene delivers continuous high-throughput analytical support using advanced technologies, enabling deep process understanding and rapid decision-making.</t>
  </si>
  <si>
    <t>APSL finalizes analytical methods for genotoxic impurities and nitrosamines by establishing appropriate levels of sensitivity, selectivity, and accuracy—fully adhering to ICH M7 guidelines. Analyses are performed using high-performance platforms, including:
LC-MS/MS: Qtrap 4500 (AB Sciex) and Xevo TQ Absolute (Waters)
GC-MS: Agilent 5975C
HRMS: Xevo G3 QTof (Waters)
Each system is operated with its corresponding validated software to ensure precise detection and regulatory compliance.</t>
  </si>
  <si>
    <t>Aurigene utilizes the Agilent 7800 ICP-MS system, operated with MassHunter v4.6 software, to analyze elemental impurities in full compliance with ICH Q3D guidelines.</t>
  </si>
  <si>
    <t>Robust in-process controls and intermediate analyses are implemented to:
Quantify unreacted starting materials, ensuring efficient material conversion.
Monitor the formation of process-related impurities, maintaining product purity and consistency.
Track reaction progress through qualitative assessments such as identification tests and pH checks, providing timely insights into reaction dynamics.</t>
  </si>
  <si>
    <r>
      <rPr>
        <sz val="10"/>
        <color rgb="FF000000"/>
        <rFont val="Arial"/>
        <family val="2"/>
      </rPr>
      <t xml:space="preserve">APSL is equipped with advanced chromatographic instrumentation, including:
HPLC, UPLC, and GC systems from Waters and Agilent, operated with Empower software for robust analytical performance.
Chiral method development is carried out using both normal phase and reverse phase chromatographic techniques or via Supercritical Fluid Chromatography (SFC) platforms: Analytical SFC: PIC SFC Analytic 10; Preparative SFC: PIC SFC 175 These are operated using PIC Solutions software
Detection is performed using UV detectors,.
</t>
    </r>
    <r>
      <rPr>
        <b/>
        <sz val="10"/>
        <color rgb="FF000000"/>
        <rFont val="Arial"/>
        <family val="2"/>
      </rPr>
      <t xml:space="preserve">Documentation &amp; Traceability
</t>
    </r>
    <r>
      <rPr>
        <sz val="10"/>
        <color rgb="FF000000"/>
        <rFont val="Arial"/>
        <family val="2"/>
      </rPr>
      <t>Method development conditions and trial data are meticulously recorded in electronic lab notebooks, ensuring complete traceability.
Custom method development reports can be generated as per specific client requirements.</t>
    </r>
  </si>
  <si>
    <t>At Aurigene, stability studies are initiated based on a pre-defined protocol, in full alignment with the client's requirements. We maintain flexibility in adopting customer-specific documentation templates or formats to ensure seamless integration and compliance.
Forced Degradation Study &amp; Method Optimization To establish a reliable stability-indicating analytical method, APSL conducts forced degradation studies during the late-phase development stage. This is performed to:
Evaluate the impact of stress conditions (excursions) on molecule stability.
Understand the elution profile of degraded impurities alongside specified impurities.
Optimize analytical method parameters based on degradation outcomes, ensuring clear separation and identification.
This approach supports thorough characterization of the drug substance and product under stressed conditions, thereby ensuring regulatory readiness and robust method performance.</t>
  </si>
  <si>
    <t>At Aurigene, analytical method validations are conducted in accordance with ICH Q2 guidelines and internal SOPs, ensuring regulatory compliance and technical rigor.
Aurigene offers flexibility to execute validations following customer-defined protocols, adapting to project-specific requirements.
Full validation execution is meticulously documented.
Upon completion, a comprehensive validation report is provided to the client, detailing method performance parameters such as accuracy, precision, specificity, linearity, and robustness.</t>
  </si>
  <si>
    <t>Aurigene All analytical data is recorded in electronic lab notebooks and managed by APSL's Developmental Quality Assurance (DQA) team. Upon request, data will be shared with Pfizer, along with any required summaries prepared by the technical team and routed through DQA.</t>
  </si>
  <si>
    <t>Non-GMP accelerated stability studies are conducted at Aurigene  to valuate the stability of RSMs, intermediates, and APIs using stability-indicating methods. Any abnormalities are communicated to the client, and methods are fine-tuned as needed.</t>
  </si>
  <si>
    <t>Analytical methods at Aurigene are documented in strict adherence to Pfizer’s preferred templates and formatting requirements, ensuring consistency, traceability, and seamless integration with client systems.</t>
  </si>
  <si>
    <t>Aurigene has proven experience in transferring analytical methods to customer sites, including seamless execution based on Pfizer’s SOPs, protocols, and guidelines.</t>
  </si>
  <si>
    <t>Aurigene is equipped with HRMS (Xevo G3 QToF by Waters) operating on Waters Connect software, and 400 MHz NMR (Bruker) instrumentation. Comprehensive support is provided for impurity identification during process development, ensuring in-depth molecular characterization and structural clarity.</t>
  </si>
  <si>
    <t>Aurigene is quipped with HRMS (Xevo G3 QToF by Waters) operating on Waters Connect software, and 400 MHz NMR (Bruker) instrumentation. Comprehensive support is provided for impurity identification during process development, ensuring in-depth molecular characterization and structural clarity.</t>
  </si>
  <si>
    <t>Aurigene evaluates potency for all reference standards and provides comprehensive Certificates of Analysis (COA) and Analytical Test Reports (ATR).
We specialize in Quantitative NMR (QNMR) as an orthogonal technique for potency determination, employing appropriate internal standards to ensure accuracy and reliability.
All certificates for reference standards are systematically issued to support regulatory and developmental requirements.</t>
  </si>
  <si>
    <t>Aurigene employs a Traditional OFAT (One-Factor-at-a-Time) approach during early-phase method development. As molecules advance into Phase 3 and beyond, analytical methods are finalized using Design of Experiments (DOE) and ICH Q14 principles, incorporating elements such as ATP, MODR, risk assessments, and identification of critical method attributes.</t>
  </si>
  <si>
    <t>Quantitative analytical methods will be developed to assess reaction performance parameters such as:
%RSM (Residual Starting Material)
% of major impurity/impurities formed
Purity of the desired product
Further, purity will be established for all isolated intermediates, and potency will be evaluated for reference standards to ensure consistency and accuracy in performance characterization.</t>
  </si>
  <si>
    <t>Aurigene synthesizes and maintains reference standards based on customer requirements. To ensure ongoing suitability and compliance, re-certification or re-qualification of reference standards is performed periodically, aligned with client specifications and regulatory expectations.</t>
  </si>
  <si>
    <t>Aurigene offers non-GMP stability studies conducted in accordance with either internal Standard Operating Procedures (SOPs) or customer-defined protocols.
Packing conditions and stability intervals are customized based on specific client requirements, ensuring flexibility and responsiveness to individual study goals.</t>
  </si>
  <si>
    <t>Aurigene utilizes PXRD (Powder X-ray Diffraction), DSC (Differential Scanning Calorimetry), and microscopy techniques to study polymorphic forms and particle characteristics. For advanced powder characterization, techniques such as SEM (Scanning Electron Microscopy) and Morphologi4 can be employed based on specific customer requirements, providing deeper insight into particle morphology, surface structure, and size distribution</t>
  </si>
  <si>
    <t xml:space="preserve">
Our Approach to Thermal Hazard Evaluation:
1. Identification of Potential Thermal Hazards: We focus on identifying any potential thermal hazards in chemical reactions, such as exothermic decomposition or runaway reactions. This step is crucial for ensuring the safe handling and scalability of chemical processes.
2. Analyze calorimetric data and calculate utility requirements at plant scale.
3. Optimization of reactant addition rate to ensure safe and controlled reaction conditions during scale-up using tools such as Dynochem
4. Vent size and scrubber calculations for any gas evolution. For hazardous gases, special precautions will be taken e.g. thermal oxidizer for dimethyl sulfide
Available Equipment:
1. Thermal Screening Unit (TSU) from HEL: This unit is used for evaluating thermal behavior and hazards in chemical processes, facilitating the identification of potentially hazardous exothermic or endothermic events.
2. Differential Scanning Calorimetry (DSC): DSC is employed to analyze thermal transitions such as melting, crystallization, and decomposition. It provides detailed thermal profiles and helps in understanding the energetic aspects of the reactions.
3. Reaction Calorimetry (RC1e): Using the Mettler Toledo RC1e Reaction Calorimeter, operated with iControl 6.1 software, we conduct precise calorimetric studies, which include assessing gas evolution with the Eurotherm/Ridgeway gas evolution kit.
4. EasyMax HFCal: for reaction calorimetry studies at small scale</t>
  </si>
  <si>
    <t>Our Approach to Thermal Hazard Evaluation:
Identification of Potential Thermal Hazards: We focus on identifying any potential thermal hazards in chemical reactions, such as exothermic decomposition or runaway reactions. This step is crucial for ensuring the safe handling and scalability of chemical processes.
Detection of Exothermic and Endothermic Events: We aim to detect any exothermic or endothermic events associated with the process, which provides valuable insights into melting points, crystallization, and thermal decomposition. Understanding these events helps optimize reaction conditions and prevent safety risks.
Available Equipment:
1. Thermal Screening Unit (TSU) from HEL: This unit is used for evaluating thermal behavior and hazards in chemical processes, facilitating the identification of potentially hazardous exothermic or endothermic events.
2. Differential Scanning Calorimetry (DSC): DSC is employed to analyze thermal transitions such as melting, crystallization, and decomposition. It provides detailed thermal profiles and helps in understanding the energetic aspects of the reactions.
3. Accelerating Rate Calorimeter (ARC): Evaluates the thermal stability and decomposition kinetics under adiabatic conditions, helping to identify potential runaway reactions and ensuring safe process design.</t>
  </si>
  <si>
    <t>Our Approach to Process Optimization:
Understand Reaction Kinetics and Mixing Dependency: We begin by analyzing the reaction kinetics to identify any mixing dependencies that could impact reaction performance. This analysis helps in optimizing conditions and ensuring consistent quality.
Conduct Experiments for Quality Validation: We carry out experiments to validate output quality and critical material attributes. This step ensures that the process delivers consistent and scalable performance, meeting required standards.
Assess Reaction and Mixing Sensitivity: At the lab-scale, we assess the sensitivity of reactions and mixing in batch mode. This evaluation helps identify any potential challenges that might arise during scale-up.
Evaluation in Continuous Flow Mode: If batch mode presents challenges such as faster kinetics or poor mixing control, we transition to evaluating the process in continuous flow mode. This ensures safe and efficient scale-up, leveraging the capabilities of flow systems.
Available Equipment:
Radley's and Chemglass jacketed glass Reactors: Ranging from 250 mL to 2L, these reactors are equipped Hubers and choice of impellers (anchor, pitch-blade turbine, retreat -curve impeller) wihich offer precise control for various experiments and process evaluations.
EasyMax reactors from Mettller-Toledo: Convenient for small-scale experiments with Peltier system for programmable temperature control
Filtration Equipment: Includes centrifuge, pressure nutsche filter from Dr. M, and Agitated Nutsche Filter Dryer (ANFD) from Pope Scientific for efficient filtration and separation processes.
Various Plug Flow Reactors (PFRs): Made from Hastelloy, Stainless Steel (SS), and Perfluoroalkoxy (PFA), with options for static mixers, enhancing process flexibility and efficiency.
Corning® Reactor G1: Ideal for flow chemistry applications, providing precise control over reaction parameters.
Continuous Hydrogenation Unit from KHIMOD: Facilitates efficient hydrogenation reactions under controlled conditions.
Photo Reactor from Vapourtec Ltd.: Used for photochemical reactions with specific wavelenghts.
Protrix® SiC Reactors from Chemtrix BV: Designed to handle challenging chemical environments with efficient mixing.
AMTechnology® Agitated Cell Reactor (ACR): Dynamically-mixed reactor for heterogeneous reactions and crystallization
High-Precision Pumps: Including piston pumps from Knaeur® and peristaltic pumps from Vapourtech® and Cole Palmer for accurate fluid handling.</t>
  </si>
  <si>
    <t xml:space="preserve">Our Approach to Process Optimization and Monitoring:
Systematic Experimental Techniques: We employ systematic experimental techniques to gather critical data, providing a robust foundation for understanding process dynamics and identifying areas for improvement.
Real-Time Reaction Monitoring: Utilizing in situ Process Analytical Technology (PAT) tools, we monitor reactions in real time. This approach allows us to capture dynamic changes and optimize process conditions proactively.
Targeted Sampling During Extraction: We perform targeted sampling during extraction phases to support mass balance assessments. This is complemented by comprehensive distillation tracking through distillate and bulk phase sampling, ensuring accurate process analysis.
These efforts aim to deepen process understanding, enhance data-driven decision-making, and drive process optimization.
Available Equipment:
Agilent UPLC 1290 Infinity: Automated in-line sampling and analysis to track the progress of the experiment. Connected to HiTec Zang for user-friendly interface
React IR: From Mettler Toledo, integrated with iControl software, React IR provides real-time infrared spectroscopy for continuous monitoring of chemical reactions, supporting in-depth understanding and control.
Focused Beam Reflectance Measurement (FBRM): From Mettler Toledo, integrated with iControl software, FBRM provides real-time monitoring of particle size and count, crucial for understanding solid-liquid processes.
Particle Vision and Measurement (PVM): Also from Mettler Toledo and integrated with iControl software, PVM offers visual insights into particle behavior and morphology, aiding in process analysis and optimization.
</t>
  </si>
  <si>
    <t>Our Approach to Solid-State Property Evaluation:
Salt and Polymorph Screening: We begin by evaluating the solid-state properties of key starting materials and intermediates. This involves determining the need for salt screening and polymorph screening, which are crucial for optimizing stability and solubility.
Solvent Screening for Crystallization: We conduct systematic solvent screening experiments to assess crystallization conditions. This step supports solid form selection, ensuring the materials meet desired specifications for development.
Coordination with Pfizer Team: Studies are conducted in close coordination with the Pfizer team to ensure alignment with project goals and timelines, facilitating a collaborative approach to development.
Available Equipment:
Zinsser Analytic HTS System: Facilitates high-throughput screening for rapid evaluation of multiple conditions.
Bruker PXRD D8 Discovery with autosample/xyz-stage for automated analysis
Radley® Mya4 Process Station: Used for precise control over temperature and reaction conditions, enhancing the effectiveness of screening experiments.
Polar Bear Heating and Cooling Unit: From Cambridge Reactor Design, this unit provides efficient temperature control, crucial for crystallization studies.
Crystalline™ from Technobis: Designed for detailed crystallization studies, offering insights into solid-state properties and polymorph behavior.
VCM Technology from MeltPrep®: Utilized for evaluating melting and solidification processes, supporting solid form optimization.
JKEM Multivial 60-vial stirrerwith temperature control
Procept spray dryer for generation of amorphous and amorphous solid dispersions
EasyMax 402 Thermostat System: From Mettler Toledo, provides precise temperature control for small-scale experiments and crystallization studies.
Zeiss AxioScope5 Microscope: Enables detailed microscopic imaging, crucial for analyzing crystal morphology and structure.
FEG-SEM: Field emission gun - Scanning electron microscopy, model Apreo C from Thermofisher Scientific to characterize crystal morphology with xT Microscope software</t>
  </si>
  <si>
    <t>Our Approach to Batch Production Initiation:
Draft Batch Production Record: Before initiating Critical Control Factors (CCF) at the plant, we will share the draft batch production record. This ensures that all stakeholders have a clear understanding of the process and the necessary documentation is in place.
By sharing the draft record in advance, we aim to facilitate smooth operations and ensure that any necessary adjustments can be made before the batch starts. This proactive approach helps in aligning all aspects of production with project goals and operational standards.</t>
  </si>
  <si>
    <t xml:space="preserve">Our Collaborative Approach:
Regular Meetings with Pfizer Project Lead: Update the progress through regular meetings with the Pfizer project lead. These meetings will include discussions on experimental details, data analysis, outcomes, and planning the way forward, ensuring alignment and transparency.
Real-Time Record Keeping: We maintain real-time records of all experimental data, promoting transparency and facilitating efficient tracking of project activities.
Ensure Data Integrity: By adhering to strict quality systems, we ensure data integrity. This commitment to quality supports reliable results and fosters trust in our processes.
Software Available:
E-Notebook: The E-Notebook software is used to document experiments and data systematically, ensuring that all information is easily accessible and securely stored. It facilitates real-time updates and supports compliance with quality standards. All analytical data are uploaded to ELN. 
</t>
  </si>
  <si>
    <t xml:space="preserve">Our Approach to Process Optimization and Scale-Up:
Confirm Process Feasibility: Initially, we confirm the feasibility of the process by evaluating its chemistry and initial conditions to ensure it is suitable for scaling up.
Modeling Software Utilization: We leverage advanced modeling software to analyze mass and heat transfer dependencies, which are critical factors for successful scale-up. This detailed evaluation helps in identifying potential challenges and optimizing the process for larger-scale operations.
Process Optimization Phase: This evaluation is conducted as part of the process optimization phase, ensuring that strategies for scaling up are robust and efficient. The insights gained from modeling guide the refinement of process parameters and conditions.
Software Available:
1. Dynochem from Scale-up Systems: This software is used to simulate and understand the dynamics of mass and heat transfer in chemical processes, providing valuable insights for optimization and scale-up.
2. MixIT from Tridiagonal® Solutions: MixIT helps in analyzing mixing patterns and efficiencies, which are crucial for optimizing reactor designs and ensuring consistent product quality during scale-up.
3. MATLAB for distillation models
4. gPROMS fro flowsheeting
By integrating these modeling tools into the process optimization phase, we ensure that scale-up strategies are data-driven and aligned with the specific requirements of your chemical processes.
</t>
  </si>
  <si>
    <t xml:space="preserve">Our Approach to Safety Studies:
Comprehensive Safety Studies: We conduct thorough safety studies for all materials and intermediates involved in the process. These studies are crucial for identifying potential hazards and ensuring safe handling throughout the development and commercialization phases.
Collaboration with Pfizer Lead: Safety studies are performed in collaboration with the Pfizer Lead, ensuring that the evaluation process aligns with project goals and safety standards. This partnership supports informed decision-making for commercial process selection.
Equipment Available for Safety Studies:
1. Differential Scanning Calorimetry (DSC) from TA Instruments: Used to assess thermal transitions such as melting, crystallization, and decomposition of materials, providing insights into thermal stability.
2. Accelerating Rate Calorimeter from THT: This device evaluates the thermal stability and decomposition kinetics of chemicals under adiabatic conditions, identifying potential runaway reactions.
3. Thermal Screening Unit from H.E.L: Helps in early identification of thermal hazards associated with chemical processes.
4. Reaction Calorimetry from Mettler Toledo®: Provides real-time data on heat release during chemical reactions, aiding in the understanding of reaction energetics and safety implications.
5. Powder Resistivity Test Apparatus - Chillworth-Dekra: Measures the resistivity of powders, which is important for understanding electrostatic hazards.
6. Burning Behaviour Test Apparatus – VDI Method - Chillworth-Dekra: Evaluates the burning behavior of materials to assess fire risks.
7. Minimum Ignition Energy (MIE III Test Apparatus) - Chillworth-Dekra: Determines the minimum energy required to ignite a dust cloud, providing insights into explosion risks.
8. Powder Dust Explosion Test Apparatus - Chillworth-Dekra: Assesses the explosive potential of dust materials, crucial for ensuring safe handling and processing.
9. BAM Fallhammer Test Apparatus - Chillworth-Dekra: Evaluates the sensitivity of materials to impact, aiding in the identification of impact-induced hazards.
We collaborate with Dekra for any additional tests e.g. measuring gas composition during evolution, sphere test for powder saftey etc. </t>
  </si>
  <si>
    <t>Our Approach to Scale Dependency and Safe Scale-Up:
Scale Dependency Evaluation: We conduct thorough evaluations of scale dependency as part of the process assessment for both reactions and isolation steps. Understanding scale effects is crucial for predicting and managing changes during scale-up.
Laboratory-Scale Experimentation: We proactively identify reactions and workups that could present scale or equipment-related risks. This includes issues such as rapid kinetics, mixing sensitivity, or unexplained mass balance discrepancies, all of which are crucial for process optimization.
Mitigation Strategies and Communication: Upon identifying potential risks, we implement appropriate mitigation strategies. We maintain transparent communication with the Pfizer project lead to ensure alignment on strategies and ensure a safe and efficient scale-up process.
Equipment and Software Available:
Radleys Reactors: With capacities ranging from 250 mL to 2L, these reactors are ideal for detailed lab-scale experimentation and process refinement.
Variety of Agitators: Including PBT, anchor, RCI, and propeller types, these are used to study mixing patterns and optimize mixing conditions for different processes.
Pilot Scale Facility: Equipped with a 20L reactor, this facility allows for intermediate-scale testing, bridging the gap between lab and full-scale production.
This approach combines rigorous lab-scale experimentation with effective mitigation strategies and clear communication to ensure scalable and robust process development.</t>
  </si>
  <si>
    <t>Our Approach to Crystallization and Process Optimization:
Solvent Screening and Solubility Data Generation: We perform comprehensive solvent screening to generate solubility data, identifying suitable solvents and antisolvents for the process. This step is crucial for optimizing crystallization conditions and ensuring efficient process development.
Crystallization Experiment Design and Execution: We design and execute crystallization experiments aimed at achieving the desired solid form, particle size distribution (PSD), and process robustness. These experiments are tailored to optimize product quality and yield.
Feasibility Studies for Critical Process Parameters (CPPs): Conducting feasibility studies helps us identify the CPPs that are vital for the success of the process. This understanding guides subsequent optimization efforts.
Process Optimization Using DoE/QbD Approach: We employ a Design of Experiments (DoE) and Quality by Design (QbD) approach to fine-tune the process, ensuring it is robust and scalable.
Pilot Scale Batch Demonstration: We conduct pilot-scale batches to demonstrate process robustness, confirming that the optimized process can be reliably scaled up.
Available Equipment:
Radley and Chemglass Reactors: With capacities from 250 mL to 2L, equipped with overhead stirrers from Heidolph and IKA®, these reactors are used for small to medium-scale experimentation.
In Situ Analytical Tools: Including FBRM, PVM, ReactIR, and Raman spectroscopy from Mettler Toledo, integrated with iControl software, for real-time monitoring of crystallization processes.
Dosing Units: From Knauer®, Teledyne®, MasterFlex, and Vapourtec SF10, these units ensure precise and controlled reagent addition during experiments.
Crystalline System from Technobis: Utilized for solubility profiling and Metastable Zone Width (MSZW) determination, aiding in the optimization of crystallization conditions.
IKA® Wet Mill: For controlled seed generation, in situ PSD tuning, and particle refinement, ensuring precise control over particle characteristics.
This approach, supported by sophisticated equipment, ensures thorough evaluation and optimization of crystallization processes, leading to robust and scalable production.</t>
  </si>
  <si>
    <t>We will collaborate closely with the Pfizer Lead to ensure that our safety packages for GMP (Good Manufacturing Practice) are fully aligned with their standards and requirements. This collaboration ensures compliance and the highest safety standards throughout the manufacturing process.</t>
  </si>
  <si>
    <t xml:space="preserve">
We utilize datasheets for engineering optimization of every unit operation. Conditions for reaction work-up can be optimized based on measurement of partition coefficients, while crystallization can be optimized by screening solvent combinatons to maximize yield while ensuring purgability of impurities. 
Modeling Tools:
1. Dynochem from Scale-up Systems: This tool is used for simulating and optimizing chemical processes, helping to understand mass and heat transfer dynamics, which are critical for successful scale-up.
2. MiXIT from Tridiagonal® Solutions: MiXIT assists in analyzing and optimizing mixing processes, ensuring efficient reactor designs and consistent product quality.
Available Equipment:
Radley and Chemglass Reactors: These reactors, with capacities ranging from 250 mL to 2L, are equipped with overhead stirrers from Heidolph and IKA®. They are ideal for conducting small to medium-scale experiments with precise control over reaction conditions.
In Situ Analytical Tools: The suite includes FBRM, PVM, ReactIR from Mettler Toledo, and Raman spectroscopy from Kaiser, all integrated with iControl software. These tools allow real-time monitoring of reactions, providing critical insights into process dynamics.
Dosing Units: Featuring systems from Knauer®, Teledyne®, MasterFlex, and Vapourtec SF10, these units offer precise control over reagent addition, essential for maintaining consistent reaction conditions.
Crystalline System from Technobis: Used for solubility profiling and determining the Metastable Zone Width (MSZW), this system aids in the optimization of crystallization processes.
IKA® Wet Mill: This equipment is used for controlled seed generation, in situ particle size distribution (PSD) tuning, and particle refinement, allowing for precise manipulation of particle characteristics.
Filtration Equipment: Includes a centrifuge, pressure nutsche filter from Dr. M, Agitated Nutsche Filter Dryer (ANFD) from Pope Scientific, IKA® wet mill, and an Air Jet Microniser. These tools support efficient separation and purification processes.
This comprehensive set of modeling tools and equipment positions us to effectively optimize chemical processes and ensure robust and scalable production.</t>
  </si>
  <si>
    <t>Yes</t>
  </si>
  <si>
    <t>Few powder safety studies are performed in a external labs on need basis. We take the services from reliable, qualified laboratories. We will ensure right quality and delivery performance is maintained.</t>
  </si>
  <si>
    <r>
      <rPr>
        <u/>
        <sz val="10"/>
        <color rgb="FF000000"/>
        <rFont val="Arial"/>
        <family val="2"/>
      </rPr>
      <t xml:space="preserve">Our approach:
</t>
    </r>
    <r>
      <rPr>
        <sz val="10"/>
        <color rgb="FF000000"/>
        <rFont val="Arial"/>
        <family val="2"/>
      </rPr>
      <t xml:space="preserve">1. Evaluate solid-state properties (particle size, flowability, hygroscopicity etc.) and stability to assess the need for salt screening and polymorph screening of key starting materials and intermediates.
2. Conduct solvent screening experiments to evaluate crystallization conditions and support solid form selection.
3. Conduct studies in coordination with Pfizer team ensuring alignment with project goals and timelines.
</t>
    </r>
    <r>
      <rPr>
        <u/>
        <sz val="10"/>
        <color rgb="FF000000"/>
        <rFont val="Arial"/>
        <family val="2"/>
      </rPr>
      <t xml:space="preserve">Available Equipment:
</t>
    </r>
    <r>
      <rPr>
        <sz val="10"/>
        <color rgb="FF000000"/>
        <rFont val="Arial"/>
        <family val="2"/>
      </rPr>
      <t xml:space="preserve">
Crystalline™ from Technobis: Used for detailed studies on crystallization and polymorph screening, providing valuable insights into solid-state properties.
Radleys Mya4 Process Stations: Facilitate precise control over reaction and crystallization processes, supporting thorough evaluation and optimization.
Radley's and ChemGlass Reactor Systems: Provide flexible and reliable platforms for conducting various chemical processes and screenings.
Polar Bear Plus from Cambridge Reactor Design (CRD): Offers efficient heating and cooling capabilities, crucial for maintaining precise temperature control during experiments.
SP Genevac EZ-2 4.0: Used for polymorph screening and solvent evaporation
Zinsser Analytic HTS System: Supports high-throughput screening, enabling rapid evaluation of multiple conditions and formulations.
VCM Technology from MeltPrep®: Utilized for evaluating melting and solidification processes, supporting the optimization of solid forms.
EasyMax 402 Thermostat System: From Mettler Toledo, provides precise temperature control, supporting optimized crystallization conditions.
Zeiss AxioScope5 Microscope: Enables detailed microscopic imaging, crucial for analyzing crystal morphology and verifying solid-state properties.
By utilizing these sophisticated tools and collaborating closely with Pfizer, we ensure comprehensive evaluation and optimization of solid-state properties, leading to robust and high-quality drug development.</t>
    </r>
  </si>
  <si>
    <t>Agreed, and Aurigene is committed to providing the necessary support to ensure the successful execution and accomplishment of the objectives.</t>
  </si>
  <si>
    <t>Our Support for API Manufacturing:
Preparation of TTP Document: We can provide a comprehensive Technology Transfer Package (TTP) document tailored with support from the Pfizer team. This document will facilitate the preparation and production of the Active Pharmaceutical Ingredient (API) in Pfizer's manufacturing facility.
Collaboration with Pfizer Project Lead: Throughout the process, we will closely collaborate with the Pfizer project lead to ensure the TTP document aligns with Pfizer’s specific requirements and standards, ensuring a smooth and efficient transition to the manufacturing phase.
This approach ensures that all necessary information is effectively communicated and aligned, supporting a seamless transition to manufacturing within Pfizer's facility</t>
  </si>
  <si>
    <t>Approach to Collaborative Project Management and Data Integrity:
Regular Meetings with Pfizer Project Lead: We will hold regular meetings with the Pfizer project lead to provide updates on project progress. These sessions include detailed discussions on experimental work, data analysis, outcomes, and planned next steps, ensuring both teams are aligned and informed.
Real-Time Data Recording: We  maintain a real-time record of all experimental data to ensure transparency throughout the project. This approach allows for immediate access to the latest information, facilitating timely decision-making and adjustments.
Ensuring Data Integrity: We adhere to strict quality systems to ensure data integrity. This commitment to quality supports reliable results and fosters trust in our processes, ensuring that all data is accurate and compliant with industry standards.
Software Available:
E-Notebook: This software is used to document experiments and manage data efficiently, ensuring that all information is securely stored and easily accessible. It supports real-time updates and helps maintain adherence to established quality systems.
By integrating these practices and utilizing E-Notebook software, you ensure effective collaboration, transparency, and data integrity throughout the project lifecycle.</t>
  </si>
  <si>
    <t>Our Approach to Solid-State Optimization and Collaboration:
Alternate salt evaluation: We assess the need for salt formation, polymorph identification, and crystallization screening of key starting materials and intermediates. This evaluation ensures optimal solid-state properties, such as stability and solubility, critical for product performance.
Solvent and Crystallization Screening: We conduct solvent screening experiments to evaluate crystallization conditions. This helps in selecting the optimal solid form and ensuring the desired quality and material attributes are achieved.
Collaborative Studies with Pfizer: All studies are conducted in close coordination with the Pfizer team, ensuring that our development efforts are aligned with their project goals and timelines.
Available Equipment to Support the Process:
Radley Mya4 Process Station: Provides precise control over reaction conditions, ideal for evaluating solid-state and solution-based experiments.
Polar Bear Heating and Cooling Unit: Offers efficient thermal control, essential for optimizing crystallization conditions.
Zinsser Analytic HTS System: Facilitates high-throughput screening, enabling rapid evaluation of multiple salts crystallized under different conditions.
Crystalline™ System from Technobis: Used for detailed studies on crystallization and polymorph screening, aiding in the selection of optimal solid forms.
VCM Technology from MeltPrep®: Supports the analysis of melting and solidification processes, helping optimize solid-state properties.
Zeiss AxioScope5 Microscope: Provides high-resolution imaging for analyzing crystal morphology, supporting solid form selection.
This comprehensive approach, supported by advanced equipment and close collaboration with the Pfizer team, ensures a thorough evaluation of solid-state properties and alignment with project objectives.</t>
  </si>
  <si>
    <t xml:space="preserve">Our Approach to Understanding Fate and Purge of Impurities:
 We conduct a systematic analysis to understand the fate and purgeability of impurities related to the process. This involves evaluating how impurities behave and are removed during the process, ensuring the final product meets quality standards.
Available Equipment for Impurity Analysis:
Radley and Chemglass Jacketed CSTRs: These reactors, with capacities ranging from 100 mL (EasyMax) to 5 L, allow precise control over reaction conditions for detailed impurity behavior studies.
Pilot Scale Facility (20L Capacity): Enables larger-scale assessments, providing critical data for understanding impurity purgeability during scale-up processes.
</t>
  </si>
  <si>
    <t>Approach to Collaborative Project Management and Data Integrity:
Regular Meetings with Pfizer Project Lead: We conduct regular meetings with the Pfizer project lead to provide comprehensive updates on project progress. These meetings cover experimental details, data analysis, outcomes, and future plans, ensuring alignment and collaboration between teams.
Real-Time Data Recording: We maintain a real-time record of all experimental data to ensure transparency throughout the project. This approach facilitates immediate access to the latest information, supporting timely decision-making and adjustments.
Data Integrity Compliance: By adhering to strict quality systems, we ensure the integrity of our data. This commitment guarantees that all data is accurate, reliable, and compliant with industry standards, fostering trust in our processes.
Preparation of Technical Development Report: At the conclusion of project phases, we prepare a comprehensive technical development report. This document includes all experimental details and outcomes, providing a complete overview of the project’s progress and findings.
Software Available:
E-Notebook: This software is used to document experiments and manage data efficiently, ensuring that all information is securely stored and easily accessible. It supports real-time updates and helps maintain adherence to established quality systems.
By integrating these practices and utilizing E-Notebook software, you ensure effective collaboration, transparency, and data integrity throughout the project lifecycle.</t>
  </si>
  <si>
    <t>We are fully equipped to support API manufacturing at Pfizer's chosen manufacturing location using the developed process. Additionally, we are committed to reviewing the relevant documentation to ensure accuracy and alignment with Pfizer's requirements and standards. This collaboration helps facilitate a smooth transition to manufacturing and ensures the process is implemented effectively and efficiently.</t>
  </si>
  <si>
    <t>Our Approach to Polymorph Screening and Solid Form Optimization:
Polymorph and Salt Screening: We begin by thoroughly evaluating the solid-state properties of key starting materials and intermediates. This involves assessing the need for salt screening and polymorph identification, which are crucial for determining the most stable and effective solid forms.
Solvent Screening and Crystallization Evaluation: We conduct solvent screening experiments to thoroughly evaluate and optimize crystallization conditions. This process supports the selection of the optimal solvent or solvent–anti-solvent systems, ensuring the desired crystal form and particle size distribution (PSD) are achieved.
Identifying Optimal Solid Forms: Through comprehensive studies, we aim to identify the most suitable solid forms for the compounds, ensuring they meet desired quality attributes and are well-suited for further development.
Collaboration with Pfizer Team: We conduct all studies in coordination with the Pfizer team, ensuring alignment with project goals and timelines. This collaboration ensures that our findings and developments are in line with the project’s overarching objectives.
Available Equipment:
Radleys Mya4 Process Station: Offers precise control over reaction and crystallization processes, supporting detailed evaluation and optimization.
Polar Bear Heating and Cooling Unit: Provides efficient thermal management, crucial for maintaining optimal crystallization conditions.
Zinsser Analytic HTS System: Facilitates high-throughput screening for rapid evaluation of various crystallization conditions.
Crystalline™ System from Technobis: Used for solubility profiling and Metastable Zone Width (MSZW) determination, aiding in the identification and selection of the optimal solid form.
VCM Technology from MeltPrep®: Supports the evaluation of melting and solidification processes, helping optimize solid-state properties.
EasyMax 402 Thermostat System from Mettler Toledo: Provides precise temperature control, supporting optimized crystallization and process conditions.
Zeiss AxioScope5 Microscope: Facilitates high-resolution imaging for detailed analysis of crystal morphology, essential for confirming polymorph selection and understanding solid-state properties.
This approach, supported by advanced equipment and collaboration, ensures a thorough evaluation and optimization of solid-state properties and crystallization processes, aligning with the project’s objectives.</t>
  </si>
  <si>
    <t>Our Approach to Process Optimization and Validation:
Lab-Scale DoE Studies: We initiate our process by performing Design of Experiments (DoE) studies using lab-scale equipment. This involves establishing the design space, where various experimental parameters are tested to determine the optimal conditions. All processes and experiments involved are meticulously documented to ensure clarity and reproducibility.
Design Verification at Plant Scale: After establishing the optimized design space at the lab scale, we conduct design verification studies at the plant scale to confirm that the optimized process can be reliably reproduced and scaled up. This step ensures that lab-scale insights translate effectively to larger-scale production.
Process Trial and Validation Batches: We perform process trials and validation batches to confirm the consistency and reliability of the optimized process. These trials are crucial for ensuring that the process meets quality standards and regulatory requirements consistently.
Equipment/Software Available:
Design Expert Software: Utilized for data analysis, this software helps in designing, analyzing, and interpreting DoE studies, providing insights into the optimal process conditions.
Midas M-50 Air Jet Mill: Used for particle size reduction, ensuring consistent and controlled particle size distribution, which is crucial for process optimization.
Multimill: Supports various milling operations, aiding in the refinement and optimization of particle characteristics.
Sieves from Retsch®: Used for precise particle size classification, ensuring uniformity and consistency in the processed materials.
By integrating DoE methodologies with rigorous validation steps and utilizing advanced equipment and software, you ensure comprehensive process optimization and reliable scale-up, supporting high-quality and consistent production outcomes.</t>
  </si>
  <si>
    <t xml:space="preserve">Agreed and Aurigene will provide comments on the proposed synthetic reaction conditions during the program. </t>
  </si>
  <si>
    <t>Reaction scouting and screening will be conducted on a small scale using Radleys reactors and a Heidolph parallel synthesizer to identify promising hits. All experiments in the process lab will be documented in the Perkin Elmer Electronic Lab Notebook (ELN).
The selected synthetic route will undergo further safety screening of unit operations using a reaction microcalorimeter and differential scanning calorimetry (DSC) thermal data. Prior to process scale-up, a process hazard analysis will be performed using EasyMax.
Additionally, we have jacketed cylindrical reactors from Radleys, with capacities ranging from 250 mL to 2 L, suitable for small- to medium-scale laboratory experiments</t>
  </si>
  <si>
    <t>Agreed</t>
  </si>
  <si>
    <t>Aurigene possesses robust capabilities for the structural elucidation of impurities using advanced analytical techniques:
LCMS, MS/MS, and HRMS are employed to determine molecular mass and study fragmentation patterns, aiding in the preliminary characterization of impurity profiles
Isolated or synthesized impurities undergo further structural confirmation using 2D NMR (e.g., COSY, HSQC, HMBC) and high-resolution mass spectrometry, ensuring comprehensive understanding of impurity.</t>
  </si>
  <si>
    <t>Aurigene designs and implements phase-specific chromatographic methods to:
Monitor reaction progress
Profile and quantify impurities
Assess the impact of impurities on downstream processing
Chromatographic instrumentation and software utilized include:
Equipment: HPLC, GC, UPLC systems from Agilent and Waters
Detection Techniques: PDA, UV, CAD, Mass spectrometry, and FID
Software Platform: Empower 3 for data acquisition and analysis</t>
  </si>
  <si>
    <t>Aurigene has deep expertise in developing fit-for-purpose analytical methods to monitor:
Reaction progress during synthesis
Quality attributes of the desired product
Instrumentation capabilities include Agilent and Waters HPLC systems equipped with:
Detectors: UV, PDA, CAD, RI, and Mass Spectrometry
For chiral compound analysis, Aurigene routinely develops Normal Phase (NP) and Reverse Phase (RP) methods, customized to meet client specifications. All developmental trials are documented in a secure Electronic Lab Notebook (E-Lab) system, and comprehensive analytical reports can be generated upon client request.</t>
  </si>
  <si>
    <t>Aurigene leverages E-Lab Notebook for real-time experimentation and DocHub for secure protocol, ATR, and report documentation.</t>
  </si>
  <si>
    <t>Aurigene develops targeted analytical methods to detect and quantify low-level impurities, including potential genotoxic, mutagenic, and nitrosamine impurities, in alignment with customer requirements and regulatory expectations. The selection of analytical technique is based on the chemical nature, detection limit, and risk profile of each impurity.
To achieve precise detection and characterization, Aurigene employs a variety of advanced instrumentation, including:
LCMS-MS:
QTRAP 4500 / AB Sciex with Analyst Software 
Waters Xevo TQ Absolute with MassLynx
GCMS:
Agilent 5975C with MassHunter 
HRMS:
Waters Xevo G3 QTof with Waters Connect software
These platforms enable sensitive detection, structural elucidation through fragmentation studies, and confirmatory analysis of isolated or synthesized impurities—ensuring comprehensive impurity profiling and robust method performance.</t>
  </si>
  <si>
    <t>All documentation is meticulously maintained in an Electronic Lab Notebook (E-Lab Notebook), ensuring that records are accurate, accessible, and secure. This documentation can be shared based on client requirements, providing the flexibility needed to meet specific data sharing and compliance needs.</t>
  </si>
  <si>
    <t xml:space="preserve">Aurigene has the capability and flexibility to translate data into Pfizer's required format. This adaptability ensures seamless communication and integration with Pfizer's systems, supporting efficient collaboration and data management.
</t>
  </si>
  <si>
    <t>Our Approach to Solution Stability and Solubility Studies:
Solution Stability Assessment: During the method finalization phase, we generate solution stability data for molecules. This ensures that the purity and impurities reported are accurate and reliable. By understanding how stable the solution is under various conditions, we can ensure that the results are consistent and trustworthy over time.
Solubility Studies: We study the solubility of compounds in both pure and binary solvent systems. These studies are conducted based on development requirements or specific client needs. By evaluating solubility, we can optimize formulation and processing conditions, ensuring that the compounds are used efficiently and effectively.
By focusing on these areas, we ensure that our analytical methods are robust and that the data we provide is both accurate and aligned with the needs of our clients.</t>
  </si>
  <si>
    <r>
      <t xml:space="preserve">Aurigene leverages comprehensive chromatographic methodologies to support route scouting, routine analysis, and chiral resolution throughout process development.
</t>
    </r>
    <r>
      <rPr>
        <b/>
        <sz val="10"/>
        <color theme="1"/>
        <rFont val="Arial"/>
        <family val="2"/>
      </rPr>
      <t xml:space="preserve">Method Development Strategy:
</t>
    </r>
    <r>
      <rPr>
        <sz val="10"/>
        <color theme="1"/>
        <rFont val="Arial"/>
        <family val="2"/>
      </rPr>
      <t xml:space="preserve">
Tailored chromatographic methods are designed to suit each synthetic pathway
Methods are systematically refined in response to process modifications and evolving analytical needs
</t>
    </r>
    <r>
      <rPr>
        <b/>
        <sz val="10"/>
        <color theme="1"/>
        <rFont val="Arial"/>
        <family val="2"/>
      </rPr>
      <t>Instrumentation &amp; Detection:</t>
    </r>
    <r>
      <rPr>
        <sz val="10"/>
        <color theme="1"/>
        <rFont val="Arial"/>
        <family val="2"/>
      </rPr>
      <t xml:space="preserve">
Chromatographic Systems: HPLC, GC, UPLC (Agilent and Waters), SFC (PIC SFC)
Detectors: PDA, UV, CAD, Mass Spectrometry, FID
Data Handling Software: Empower 3
This analytical backbone ensures robust support for development workflows, enhancing efficiency, quality oversight, and regulatory readiness.</t>
    </r>
  </si>
  <si>
    <t>Aurigene develops fit-for-purpose chromatographic methods in close consultation with Process Chemistry teams to understand retrosynthetic pathways and outcomes.
Techniques employed: GC, HPLC, UPLC with conventional detectors (UV, PDA, FID, etc.)
All trial data is systematically recorded in Electronic Lab Notebooks (ELN)
Tailored method development reports are generated as per client specifications to ensure transparency and traceability
This approach enhances strategic decision-making and strengthens analytical rigor throughout early-phase development.</t>
  </si>
  <si>
    <t>Aurigene All experimental activities are thoroughly documented using a structured Electronic Lab Notebook (ELN) system, ensuring traceability, data integrity, and regulatory compliance throughout the development lifecycle.</t>
  </si>
  <si>
    <r>
      <t xml:space="preserve">Aurigene employs advanced analytical instrumentation to support impurity identification and characterization, ensuring process control and regulatory readiness.
</t>
    </r>
    <r>
      <rPr>
        <b/>
        <sz val="10"/>
        <color theme="1"/>
        <rFont val="Arial"/>
        <family val="2"/>
      </rPr>
      <t>Impurity Identification Tools</t>
    </r>
    <r>
      <rPr>
        <sz val="10"/>
        <color theme="1"/>
        <rFont val="Arial"/>
        <family val="2"/>
      </rPr>
      <t xml:space="preserve">
LCMS-MS: Qtrap 4500 / AB Sciex (Analyst 1.6.3), Waters Xevo TQ Absolute (Mass Lynx v4.2)
GCMS: Agilent 5975C (MassHunter B.07)
HRMS: Xevo G3 QTof / Waters (Waters Connect software)
</t>
    </r>
    <r>
      <rPr>
        <b/>
        <sz val="10"/>
        <color theme="1"/>
        <rFont val="Arial"/>
        <family val="2"/>
      </rPr>
      <t>Structural Characterization Techniques:</t>
    </r>
    <r>
      <rPr>
        <sz val="10"/>
        <color theme="1"/>
        <rFont val="Arial"/>
        <family val="2"/>
      </rPr>
      <t xml:space="preserve">
FT-IR, Mass Spectrometry, and NMR analysis of isolated/synthesized impurities
This approach provides deep insight into process-related impurities, enabling effective mitigation strategies and alignment with quality expectations.</t>
    </r>
  </si>
  <si>
    <t>Aurigene develops fit-for-purpose chromatographic methods for the separation of enantiomers and diastereomers in chiral molecule development.
Utilizes both normal phase and reverse phase HPLC techniques based on molecular characteristics and separation objectives
Methods are refined iteratively to ensure resolution efficiency, scalability, and alignment with synthetic goals
This supports robust chiral profiling across discovery and process development stages.</t>
  </si>
  <si>
    <r>
      <t xml:space="preserve">Aurigene is equipped with high-performance analytical instruments to ensure precise sample purity assessment and low-level impurity identification, supporting stringent quality control and regulatory expectations.
</t>
    </r>
    <r>
      <rPr>
        <b/>
        <sz val="10"/>
        <color theme="1"/>
        <rFont val="Arial"/>
        <family val="2"/>
      </rPr>
      <t>Instrument Capabilities:</t>
    </r>
    <r>
      <rPr>
        <sz val="10"/>
        <color theme="1"/>
        <rFont val="Arial"/>
        <family val="2"/>
      </rPr>
      <t xml:space="preserve">
1. LCMS-MS
Qtrap 4500 / AB Sciex with Analyst 1.6.3
Waters Xevo TQ Absolute with Mass Lynx v4.2
2. GCMS
Agilent 5975C with MassHunter B.07
3. HRMS
Xevo G3 QTof / Waters with Waters Connect Software
This analytical framework delivers sensitive and reliable detection of trace-level impurities, enabling robust support across development and manufacturing workflows.</t>
    </r>
  </si>
  <si>
    <r>
      <t xml:space="preserve">Auirigene offers deep expertise in developing fit-for-purpose analytical methods to monitor reaction progress, confirm product identity, and assess quality parameters during development.
</t>
    </r>
    <r>
      <rPr>
        <b/>
        <sz val="10"/>
        <color theme="1"/>
        <rFont val="Arial"/>
        <family val="2"/>
      </rPr>
      <t>In-Process Methodology:</t>
    </r>
    <r>
      <rPr>
        <sz val="10"/>
        <color theme="1"/>
        <rFont val="Arial"/>
        <family val="2"/>
      </rPr>
      <t xml:space="preserve">
Real-time tracking of key process indicators using tailored chromatographic approaches
Supports decision-making across reaction optimization and control strategies
</t>
    </r>
    <r>
      <rPr>
        <b/>
        <sz val="10"/>
        <color theme="1"/>
        <rFont val="Arial"/>
        <family val="2"/>
      </rPr>
      <t>Instrumentation &amp; Capabilities:</t>
    </r>
    <r>
      <rPr>
        <sz val="10"/>
        <color theme="1"/>
        <rFont val="Arial"/>
        <family val="2"/>
      </rPr>
      <t xml:space="preserve">
HPLCs from Agilent and Waters equipped with UV, PDA, CAD, RI, and Mass detectors
Routine chiral method development using normal phase and reverse phase chromatography
This infrastructure enables precise and reliable analysis, supporting quality-driven process development and scale-up.</t>
    </r>
  </si>
  <si>
    <t>All experimental activities are systematically recorded in an Electronic Lab Notebook (ELN), ensuring comprehensive traceability and data integrity. Documentation can be shared with Pfizer based on project requirements and alignment protocols.</t>
  </si>
  <si>
    <t>Aurigene maintains flexibility in translating and structuring data to align seamlessly with Pfizer’s preferred formats and documentation protocols, enabling smooth collaboration and effective data exchange.</t>
  </si>
  <si>
    <r>
      <t xml:space="preserve">Aurigene utilizes advanced analytical technologies for impurity detection, ensuring thorough assessment and control throughout process development.
</t>
    </r>
    <r>
      <rPr>
        <b/>
        <sz val="10"/>
        <color theme="1"/>
        <rFont val="Arial"/>
        <family val="2"/>
      </rPr>
      <t>Impurity Identification Tools:</t>
    </r>
    <r>
      <rPr>
        <sz val="10"/>
        <color theme="1"/>
        <rFont val="Arial"/>
        <family val="2"/>
      </rPr>
      <t xml:space="preserve">
LCMS-MS: Qtrap 4500 / AB Sciex (Analyst 1.6.3); Waters Xevo TQ Absolute (Mass Lynx v4.2)
GCMS: Agilent 5975C (MassHunter B.07)
HRMS: Xevo G3 QTof / Waters (Waters Connect)
</t>
    </r>
    <r>
      <rPr>
        <b/>
        <sz val="10"/>
        <color theme="1"/>
        <rFont val="Arial"/>
        <family val="2"/>
      </rPr>
      <t>Impurity Characterization:</t>
    </r>
    <r>
      <rPr>
        <sz val="10"/>
        <color theme="1"/>
        <rFont val="Arial"/>
        <family val="2"/>
      </rPr>
      <t xml:space="preserve">
Synthesized/isolated impurities are profiled using LCMS, MS/MS, and NMR techniques for definitive structural elucidation
This capability ensures high-resolution tracking of process-related impurities, supporting product quality and regulatory compliance.</t>
    </r>
  </si>
  <si>
    <t>Aurigene employs advanced solid-state analytical techniques to support polymorph screening, differentiation, and quantification, ensuring robust control of material attributes across development stages.
PXRD-Based Differentiation
Polymorphs are screened via Powder X-Ray Diffraction (PXRD)
Distinctive 2θ values are identified to distinguish each polymorphic form
Finalized polymorph methods are optimized for quantitative assessment of alternate forms
Quantification strategies are implemented for late-phase molecules to monitor polymorph content and consistency
Particle Morphology Assessment
Microscopic imaging is conducted for each polymorph to evaluate shape, size, and surface characteristics
This systematic approach ensures precise solid-form control, supporting efficacy, manufacturability, and regulatory compliance.</t>
  </si>
  <si>
    <t>Aurigene All experimental activities are systematically recorded using Electronic Lab Notebook (ELN) and Gene ATS, ensuring robust data integrity, traceability, and compliance. These platforms support structured workflow management and are adaptable to client-specific documentation protocols.</t>
  </si>
  <si>
    <t>Aurigene ensures flexible, secure data documentation via E-Lab Notebook and Gene ATS, with seamless translation into Pfizer-compatible formats. Data sharing is tailored to Pfizer’s requirements, supporting efficient collaboration and regulatory alignment.</t>
  </si>
  <si>
    <t xml:space="preserve">Aurigene conducts solution stability during method finalization to ensure accurate reporting of purity and impurities. Solubility in pure and binary solvents is evaluated based on development or client-specific needs.
</t>
  </si>
  <si>
    <t>To manage FTE adjustments for Pfizer projects effectively, we propose the following timelines:
1. Ramp-Up Time: For increasing FTEs, we anticipate a ramp-up period of 30 days to ensure that onboard appropriately trained team.
2. Ramp-Down Notice: If we need to decrease FTEs, we will provide a 60-day notice period. This timeframe will allow us to communicate changes effectively and support affected employees through the transition.
3. Termination Notice: In the event that we need to terminate program, a 90-day notice to be given</t>
  </si>
  <si>
    <t>To ensure that FTEs are planned effectively for new projects with Pfizer, we need clarity on the following key areas:
1. Project Scope
Detailed Description: A comprehensive overview of the project, including specific goals and objectives.
Deliverables: Clearly defined outputs expected at each stage of the project.
Timeline: An estimated timeline for the project phases, including critical milestones.
2. Resource Requirements
FTE Count: The number of Full-Time Equivalents required for the project.
Skill Sets: Specific skills or expertise needed, such as: 
Scientific disciplines (e.g., peptide chemistry, potent molecule handling, analytical etc).
Technical skills (e.g., data analysis, lab techniques).
Clarity on Requirements
To effectively plan FTEs, having precise information in these areas will allow us to align staffing levels with project demands. This ensures that the right talent is available and minimizes delays in project initiation.</t>
  </si>
  <si>
    <t xml:space="preserve">
Weekly one shipment/one location under room temperature conditions are considered. However deep freeze shipment are not considered
Standard chemicals are considered for typical quantities, for complex chemistries, specific reagents/chemical for excess / unusal high quantities are not considered
Shipment quantities are expected to be in the range of 1g-20g </t>
  </si>
  <si>
    <t xml:space="preserve">Aurigene utilizes Electronic Laboratory Notebook (ELN) - Perkin Elmer Corporation for all our all the experimental documentaion practices. </t>
  </si>
  <si>
    <t>A detailed list of analytical equipment available at our developmental facilities are attached separately</t>
  </si>
  <si>
    <t xml:space="preserve">Noted this expectation. The periodic scheduled calls with Pfizer will be led by program manager and along with the technical team. During the program the details of the team will be shared with the Pfizer to have a direct connect with the scientist who involved in the FTE program. The periodic meetings (typically fortnightly meetings) happen virtually / MS Teams meeting. All the communications will be done through e-mail and the reports will be through shared folder. </t>
  </si>
  <si>
    <t xml:space="preserve">Aurigene is certified with ISO 27000:2022 (ISMS) and a dedicated shared drive will be created post commencement of the program to exchange the technical information and reports between both the teams. All the reports will be prepared, reviewed &amp; approved through DocHub platform with digital signature. </t>
  </si>
  <si>
    <t>$0 to $1,000,000</t>
  </si>
  <si>
    <t>$1,000,001 to $2,000,000</t>
  </si>
  <si>
    <t>&gt;5,000,001</t>
  </si>
  <si>
    <t>$2,000,001 to $3,000,000</t>
  </si>
  <si>
    <t>$3,000,001 to $4,000,000</t>
  </si>
  <si>
    <t>$4,000,001 to $5,000,000</t>
  </si>
  <si>
    <t xml:space="preserve">Aurigene is having experience with these kinds of programs. 
We work with innovators for the proposed routes and as well as, identify alternate routes for target molecules based on literature and chemistry experience. 
We work on this approach during entire project (Project initiation and execution).
Aurigene's Step-by-Step Approach for Route Scouting
1. Explore Analogue Chemistry - 
Gather information on similar molecules or analogues that have been synthesized before.
2. Use resources like Reaxys and SciFinder to identify literature on similar compounds and their synthesis pathways.
3. Utilize Computational Tools for Route Generation
Synthia: Generate synthetic routes based on rule-based methodology.
ChemAIRS: Predict the reactivity of potential intermediates and assess the feasibility of proposed routes.
4. Preliminary Assessment of Proposed Routes
Safety: Identify hazards associated with each step and the reagents used.
Key Raw Material Availability: Evaluate the availability of starting materials and intermediates.
Throughput and Yield: Consider expected yields and the efficiency of the reactions, where flow chemistry can enhance these parameters.
5. Utilize Flow Chemistry Tools
Small Volume Glass Chip Reactors: For small-scale experiments and rapid optimization.
Plug Flow Reactors (PFRs): Suitable for continuous processing and improving reaction efficiency.
High-Precision Pumps: Maintain consistent flow rates and conditions, optimizing temperature, pressure, and residence time for better yields and throughput.
6. Collaboration with Pfizer
Prepare a report summarizing the proposed synthetic routes, including safety and feasibility evaluations, and share it with Pfizer for planning experimental activities.
7. Iterate and Optimize
Refine synthetic routes based on feedback and initial experimental results. Use insights gained to continuously improve the proposed approaches.
Conclusion
This structured approach enables the systematic development and assessment of synthetic routes for the target molecule by leveraging analogue chemistry, computational tools, and practical flow chemistry techniques to maximize the chances of successful synthesis.
</t>
  </si>
  <si>
    <t xml:space="preserve">Reaction scouting and screening is conducted on a small scale using Radleys parallel synthesizer and small scale reactors, Mya-4 to identify promising hits. All experiments in the process lab will be documented in the Perkin Elmer Electronic Lab Notebook (ELN). All analytical data is attached online to the ELN. Weekly updates with conclusion of experiments and path forward are proposed. Further monthly reports with summary of the work with conclusions are shared with customer.
The selected synthetic route will undergo further safety screening of unit operations using a reaction microcalorimeter and differential scanning calorimetry (DSC) thermal data. Prior to process scale-up, a process hazard analysis will be performed using EasyMax.
Additionally, we have jacketed cylindrical reactors from Radleys, with capacities ranging from 250 mL to 2 L, suitable for small- to medium-scale laboratory experiments.
</t>
  </si>
  <si>
    <t>Radleys parallel synthesizer and small scale reactors-Mya-4  and Polstat 3500 (from Polmon Instruments): These are used for small-scale screening. 
Crystalline (from Technobis): This device is designed for crystallization studies, which are crucial for understanding the crystallization process and determining the physicochemical properties of compounds. These studies help in optimizing conditions for producing desired crystal forms, understanding polymorphism, and ensuring the stability and efficacy of pharmaceutical compounds.
Zinsser High Throughput System (HTS): This system facilitates rapid catalyst and reaction screening. High throughput systems are vital in pharmaceutical development as they enable the simultaneous testing of multiple reactions or catalysts, significantly speeding up the process of discovering optimal conditions for drug synthesis.
These tools together provide a comprehensive setup for conducting detailed studies and screenings necessary for pharmaceutical development, helping in both the initial stages of discovery as well as the refinement and scaling stages.</t>
  </si>
  <si>
    <t>Aurigene employs a strategic approach to synthesizing target compounds, focusing on the use of commercially available raw materials. Here's a refined breakdown of their approach:
Design of Synthesis Routes: Aurigene places emphasis on designing efficient synthetic routes. This involves planning how to create target compounds using available and cost-effective materials.
Also we work with vendors suggested by Customer. And also Aurigene propose additional vendors, who are potentially manufacturers of those key raw materials.
Screening Key Raw Materials: During the design phase, key raw materials are evaluated based on several criteria:
Cost: Ensuring the materials are economically viable for large-scale production.
Availability: Checking that the materials can be sourced reliably in the required quantities.
Safety: Assessing any potential safety risks associated with handling and using the materials.
Vendor Network: Aurigene maintains a network of vendors that supply materials specific to heterocyclic chemistry, which is often complex and specialized. This network is built on:
Expertise in Heterocyclic Chemistry: Vendors are chosen based on their knowledge and experience with heterocyclic compounds.
Specialized Knowledge: Certain vendors are selected for their specialized skills and capabilities, which support Aurigene’s unique chemistry requirements.
This approach ensures that Aurigene can efficiently navigate the challenges of chemical synthesis, leveraging a strong vendor network to support their specialized needs.</t>
  </si>
  <si>
    <t xml:space="preserve">Aurigene engages in a collaborative partnership with its customers, to ensure transparent and effective communication throughout the project lifecycle. Here's a refined articulation of this process:
All experiments in the process lab will be documented in the Perkin Elmer Electronic Lab Notebook (ELN). All analytical data is attached online to the ELN. Weekly updates with conclusion of experiments and path forward are proposed. Further monthly reports with summary of the work with conclusions are shared with customer. Scientific Rationale: Clear explanations of the scientific reasoning behind each approach, ensuring that decisions are well-founded. Objectives and Conclusions: A summary of objectives achieved, and conclusions drawn from the week's work, offering insights into progress and next steps.
Collaborative Discussions: Aurigene actively participates in weekly technical discussions with the customer's team (e.g., Pfizer). These discussions focus on:
Project Deliverables: Ensuring alignment on targets and expectations, and discussing any challenges or adjustments needed.
Technical Insights: Sharing expert insights and receiving feedback to refine approaches and improve outcomes.
</t>
  </si>
  <si>
    <t xml:space="preserve">Our Approach:
Understanding the Batch Process/Chemistry: We begin by gaining a thorough understanding of the batch process and the underlying chemistry to evaluate process feasibility in a flow chemistry.
Solvent Screening and Solubility Generation: We systematically screen solvents and generate solubility data to identify optimal conditions for the reactions.
Designing Preliminary Experiments in Flow: Preliminary experiments are conducted in a flow setup to evaluate the impact of Critical Process Parameters (CPPs) and mixing efficiency.
Understanding Reaction Kinetics: Utilizing tools like Dynochem, we analyze the reaction kinetics to better understand the rate and mechanism of reactions.
Proof of Concept (PoC) Establishment: We establish a Proof of Concept using a Design of Experiments (DoE) and Quality by Design (QbD) approach to ensure robust and scalable processes.
Available Equipment:
Various Plug Flow Reactors (PFRs) made of Hastelloy, Stainless Steel (SS), and Perfluoroalkoxy alkane (PFA)
Static Mixers for efficient mixing
Corning® Reactor for precise temperature and pressure control
Continuous Hydrogenation Unit for hydrogenation reactions
Photo Reactor for photochemical reactions
Protrix Silicon Carbide (SiC) Reactors for harsh chemical environments
AMTechnology® Agitated Cell Reactor (ACR) for well-mixed reaction conditions
High-Precision Piston and Peristaltic Pumps for accurate fluid handling
</t>
  </si>
  <si>
    <t>To optimize project turnaround time and manage equipment availability, APSL may subcontract select analytical services to approved external testing laboratories. Subcontracting decisions are made in alignment with customer priorities, ensuring flexibility without compromising data quality. Typical subcontracted techniques include:
PXRD (Powder X-ray Diffraction)
Microscopy
¹H NMR (Proton Nuclear Magnetic Resonance)
SFC (Supercritical Fluid Chromatography)
Sympatec (Particle Size Analysis)
Single Crystal XRD
UPLC (Ultra Performance Liquid Chromatography)
Morphologi4 (Morphological Analysis)
SEM (Scanning Electron Microscopy)
XRF (X-Ray Fluorescence)
ICP-MS (Inductively Coupled Plasma Mass Spectrometry)
GCMS / LCMS (Gas and Liquid Chromatography-Mass Spectrometry)</t>
  </si>
  <si>
    <t>Approach
Aurigene identifies the process impurities using LCMS. The plaussible structures will be proposed.  Further impurities will be synthesized and fate/purge studies will be established by spiking impurities at higher level.
Understanding Fate/Purgability of Impurities: This involves investigating how impurities behave during the manufacturing process. It is crucial for ensuring product purity and compliance with quality standards.
Conducting medium-scale experiments helps in simulating real-life production scenarios and provides insights into how impurities can be managed or removed effectively.
Equipment Available
EasyMax from Mettler Toledo® (100 mL):
This is a versatile lab instrument used for performing reaction experiments. It allows for precise temperature control, stirring, and easy monitoring of reactions, making it suitable for small-scale experiments.
Radley’s Reactors (250 mL to 2L):
Radley’s range of reactors provides flexibility for scaling experiments. They are useful for conducting various reactions and can manage a wider volume, allowing for a better understanding of impurity behavior in a semi-controlled environment.
Pilot Scale Facility (20L capacity):
This facility is designed for larger-scale experiments that are closer to industrial production levels. It can effectively simulate the manufacturing process and is crucial for validating the findings from smaller-scale experiments.</t>
  </si>
  <si>
    <r>
      <rPr>
        <u/>
        <sz val="10"/>
        <rFont val="Arial"/>
        <family val="2"/>
      </rPr>
      <t xml:space="preserve">Our Process Development Approach:
</t>
    </r>
    <r>
      <rPr>
        <sz val="10"/>
        <rFont val="Arial"/>
        <family val="2"/>
      </rPr>
      <t xml:space="preserve">
Understanding the Batch Process/Chemistry: We begin with a comprehensive analysis of the existing batch process and underlying chemistry to identify key parameters and potential improvements.
Solvent Screening and Solubility Generation: Systematic solvent screening is performed to determine the optimal solvents for the reactions, enhancing solubility and reaction efficiency.
Preliminary Flow Experiments: We design and conduct preliminary experiments in flow systems to assess the feasibility and identify critical process parameters (CPPs) that impact the reaction. This helps optimize process conditions early on.
Reaction Kinetics Analysis: Utilizing tools like RaectIR and Dynochem, we gain insights into the reaction kinetics, enabling us to fine-tune process variables for better control and efficiency.
Proof of Concept (PoC) Establishment: We use a Design of Experiments (DoE) and Quality by Design (QbD) approach for establishing a robust PoC, ensuring that the process is scalable and meets quality standards.
</t>
    </r>
    <r>
      <rPr>
        <u/>
        <sz val="10"/>
        <rFont val="Arial"/>
        <family val="2"/>
      </rPr>
      <t xml:space="preserve">Available Equipment for Development:
</t>
    </r>
    <r>
      <rPr>
        <sz val="10"/>
        <rFont val="Arial"/>
        <family val="2"/>
      </rPr>
      <t xml:space="preserve">
-Plug Flow Reactors (PFRs): Made from Hastelloy, Stainless Steel (SS), and Perfluoroalkoxy (PFA), with options for static mixers to enhance mixing efficiency.
-Corning® Reactor G1: Designed for precise control over reaction conditions, ideal for optimizing flow processes.
-Continuous Hydrogenation Unit: From KHIMOD, this unit facilitates efficient hydrogenation reactions.
-Photo Reactor: From PESCHL, used for photochemical reactions requiring precise light exposure.
-Protrix® SiC Reactor: A silcon carbide reactor with micro-mixing channels from Chemtrix BV, ideal for handling harsh chemical environments.
-Agitated Cell Reactor (ACR): A dynamically-mixed reactor from AMTechnology®, designed for heterogenous reactionsand crystallizations
High-Precision Pumps: Including piston pumps from Knaeur, Fuji Tech and peristaltic pumps from Vaportech® and Cole Palmer®, ensuring accurate, pulse-free flow.
</t>
    </r>
  </si>
  <si>
    <r>
      <t xml:space="preserve">Our approach:
1. Actively monitor the process chemistry during route scouting to understand reaction behavior, conversion, impurity formation efficiency, and potential scalability.
2. Identify any potentially hazardous materials or reactions early and manage under controlled conditions to ensure safety and maintain process integrity throughout development.
Equipment available:
-LCMS to understand product and impurity formation
Reaction Calorimeter from Mettler Toledo® (RC1mx)
-EasyMax HFCal
-Thermal Screening Unit from H.E.L
-Differential scanning calirometry (DSC) from TA instruments
-Powder safety studies
</t>
    </r>
    <r>
      <rPr>
        <sz val="8"/>
        <rFont val="Arial"/>
        <family val="2"/>
      </rPr>
      <t>1. Differential scanning calirometry (DSC) from TA instruments
2. Accelerating Rate Calorimeter from THT
3. Thermal screening unit from HEL
4. Reaction calorimetry from mettler toledo
5. Powder Resistivity Test Apparatus - Chillworth-Dekra
6. Burning Behaviour Test Apparatus – VDI method - Chillworth-Dekra
7. Minimum ignition energy (MIE III test apparatus) - Chillworth-Dekra
8. Powder dust explosion test apparatus - Chillworth-Dekra
9. BAM Fallhammer Test Apparatus - Chillworth-Dekra</t>
    </r>
  </si>
  <si>
    <t xml:space="preserve">Our Approach to Calorimetric Studies and Process Evaluation:
Conduct Precise Calorimetric Studies: We perform detailed calorimetric studies to measure and understand the heat flow associated with chemical reactions. This information is crucial for assessing reaction safety and optimizing process conditions.
Evaluate Exothermic Behavior: By evaluating the exothermic behavior of materials, we gain insights into their thermal properties and potential risks, allowing us to implement appropriate controls and ensure safe reaction execution.
Evaluate Gas Evolution: Understanding gas evolution in a process is essential for managing reaction pressure and ensuring safe equipment operation. We assess gas evolution characteristics to optimize reaction conditions and prevent hazards.
Available Equipment:
Mettler Toledo RC1e Reaction Calorimeter: Operated with iControl 6.1 software, this calorimeter performs precise calorimetric studies with integrated data backup. The Eurotherm/Ridgeway gas evolution kit is directly interfaced with the RC1e unit to monitor and analyze gas evolution in processes.
EasyMax HFCal for reaction calorimetry at small scale
HEL’s TSU System: Managed by WinISO 2.4.016 E2024, the Thermal Screening Unit (TSU) is used for thermal screening of materials, providing early identification of potential thermal hazards.
Differential Scanning Calorimetry (DSC) from TA Instruments: DSC is employed to analyze thermal transitions such as melting, crystallization, and decomposition, providing insights into material stability.
DynoChem Simulation Platform: This platform is used to interpret calorimetric data and derive critical process parameters, supporting the optimization of reagent addition rates and ensuring safe, controlled reaction execution.
The RC1mx setup serves as the cornerstone for these assessments, providing comprehensive data to support process optimization and ensure safety in chemical operations.
</t>
  </si>
  <si>
    <t xml:space="preserve">Our Approach to Thermal and Process Hazard Assessment:
Differential Scanning Calorimetry (DSC) and Thermal Screening: We conduct DSC and thermal screening for all starting materials and intermediates. This helps identify thermal transitions such as melting, crystallization, and decomposition, providing critical insights into material stability and potential hazards.
Powder Screening Tests: We perform comprehensive tests on powders to evaluate properties such as resistivity, burning behavior, ignition energy, and explosion potential. These tests are crucial for understanding and managing powder-related risks.
Reaction Calorimetry Studies: We undertake reaction calorimetry studies to assess heat flow during chemical reactions. These studies are essential for understanding reaction energetics and identifying potential hazards, allowing us to implement effective safety measures.
Available Equipment:
Powder Resistivity Test Apparatus - Chillworth-Dekra: Measures the resistivity of powders, helping assess electrostatic hazards.
Burning Behaviour Test Apparatus – VDI Method - Chillworth-Dekra: Evaluates the burning behavior of materials to quantify fire risks.
Minimum Ignition Energy (MIE III Test Apparatus) - Chillworth-Dekra: Determines the minimum energy required to ignite a dust cloud, providing insights into explosion risks.
Powder Dust Explosion Test Apparatus - Chillworth-Dekra: Assesses the explosive potential of dust materials to ensure safe handling and processing.
BAM Fallhammer Test Apparatus - Chillworth-Dekra: Evaluates the sensitivity of materials to impact, aiding in identifying impact-induced hazards.
Differential Scanning Calorimetry (DSC): Used to analyze thermal properties and stability of materials.
Thermal Screening Unit (TSU) from H.E.L: Provides early identification of thermal hazards associated with chemical processes.
Reaction Calorimeter RC1mx from Mettler Toledo: Conducts precise calorimetric assessments, evaluating reaction heat flow and potential hazards.
EasyMaxHFCal: for reaction calorimetric assessment at small scale
Accelerating Rate Calorimeter from THT: Evaluates thermal stability and decomposition kinetics under adiabatic conditions, identifying potential runaway reactions.
We collaborate with Dekra for any additional tests e.g. measuring gas composition during evolution, sphere test for powder saftey etc. </t>
  </si>
  <si>
    <t>We meticulously document all our work in the Electronic Lab Notebook (ELN), ensuring that every parameter and observation is accurately recorded. This comprehensive documentation process allows us to generate detailed reports that include assessments and recommendations based on the studies we perform. This approach ensures transparency, traceability, and informed decision-making throughout the project lifecycle</t>
  </si>
  <si>
    <t xml:space="preserve">Our Approach to Project Collaboration and Data Management:
Regular Meetings with Pfizer Project Lead: We will hold regular meetings with the Pfizer project lead to provide updates on project progress. These meetings would  include discussions about experimental details, data analysis, outcomes, and planning the next steps, ensuring that both teams are aligned and informed.
Real-Time Data Recording: We maintain a real-time record of all experimental data to ensure transparency throughout the project. This approach allows for immediate access to the latest information, facilitating timely decision-making.
Ensure Data Integrity: By adhering to strict quality systems, we ensure the integrity of our data. This commitment helps us maintain high standards of accuracy and reliability in our reporting and analysis.
Preparation of Technical Development Report: At the conclusion of project phases, we prepare a comprehensive technical development report. This document includes all experimental details and outcomes, providing a complete overview of the project’s progress and findings.
Software Available:
E-Notebook: This software is used for documenting experiments and managing data efficiently, ensuring that all information is securely stored and easily accessible. It supports real-time updates and helps maintain adherence to quality systems.
</t>
  </si>
  <si>
    <t>Our Approach to Assessing Explosion and Shock Sensitivity:
Explosion and Shock Sensitivity Studies: We conduct a series of tests on both pure materials and intermediates to evaluate their explosion and shock sensitivity. This ensures that any potential risks are identified and managed effectively.
Explosion and Shock Sensitivity Testing:
Differential Scanning Calorimetry (DSC): Utilized to analyze thermal transitions and stability, helping to predict potential explosive behavior.
Minimum Ignition Energy (MIE III Test Apparatus): From Chillworth-Dekra, this test assesses the minimum energy required to ignite a dust cloud, providing insights into explosion risks.
Powder Resistivity Test Apparatus: Also from Chillworth-Dekra, evaluates bulk powder resistivity to assess electrostatic hazards.
BAM Fallhammer Test Apparatus: From Chillworth-Dekra, this test evaluates the sensitivity of materials to mechanical shock.
Thermal Screening Unit (TSU) from H.E.L: Managed by WinISO, this system identifies thermal hazards, providing early warnings for exothermic and endothermic events.
Differential Scanning Calorimetry (DSC): Used to assess thermal transitions and stability in both pure materials and mixtures of solids.
Reaction Calorimetry Studies: Using the Mettler Toledo RC1e Reaction Calorimeter, we perform precise calorimetric studies to assess the reaction's exothermic behavior and process hazards. This equipment, equipped with the Eurotherm/Ridgeway gas evolution kit, allows us to understand gas evolution and manage potential risks.
EasyMaxHFCal for reaction calorimetry assesment at small scale
Accelerated Reaction Studies: The Accelerating Rate Calorimeter from THT evaluates the thermal stability and decomposition kinetics of reactions under adiabatic conditions, helping identify potential runaway reactions.
By employing this thorough approach and utilizing advanced equipment, we ensure comprehensive assessment and management of explosion and shock sensitivity, promoting safe and reliable development processes.</t>
  </si>
  <si>
    <t xml:space="preserve">Our Approach to Assessing Explosion and Shock Sensitivity:
Explosion and Shock Sensitivity Testing for Solids:
Minimum Ignition Energy (MIE): Assessed using the MIE III test apparatus from Chillworth-Dekra, this test determines the minimum energy required to ignite a dust cloud, providing crucial insights into explosion risks.
Bulk Powder Resistivity: Evaluated using the Powder Resistivity Test Apparatus from Chillworth-Dekra to assess electrostatic hazards.
BAM Fallhammer Test: Conducted with the BAM Fallhammer Test Apparatus from Chillworth-Dekra to evaluate mechanical shock sensitivity of materials.
Thermal Screening Unit (TSU): Using H.E.L’s system managed by WinISO, this unit provides early identification of thermal hazards.
Differential Scanning Calorimetry (DSC): Utilized to analyze thermal transitions such as melting and decomposition, providing insights into thermal stability.
Calorimetric Studies for Solutions and Process Streams:
Reaction Calorimetry (RC1e): Using the Mettler Toledo RC1e Reaction Calorimeter, operated with iControl 6.1 software, we conduct precise calorimetric studies, which include assessing gas evolution with the Eurotherm/Ridgeway gas evolution kit.
EasyMax HFCal, for performing reaction calorimetry at small scale for hazardous reactions
Accelerated Reaction Calorimetry (ARC): The Accelerating Rate Calorimeter from THT evaluates the thermal stability and decomposition kinetics under adiabatic conditions, helping identify potential runaway reactions.
Thermal Screening Unit (TSU): Provides comprehensive thermal screening for solutions and process streams.
Differential Scanning Calorimetry (DSC): Used to evaluate thermal properties and stability in solutions and process streams, offering data on exothermic and endothermic behavior.
We collaborate with Dekra for any additional tests e.g. measuring gas composition during evolution, sphere test for powder saftey etc. 
</t>
  </si>
  <si>
    <t xml:space="preserve">Our Approach to Powder Safety Assessment:
Comprehensive Powder Safety Evaluation: Our facility is equipped with a wide array of advanced powder safety assessment instruments from Chilworth-Dekra. These tools allow us to conduct rigorous evaluations of various safety aspects, ensuring the safe handling of materials.
Ignition and Combustion Analysis: We perform detailed assessments to determine the ignition and combustion characteristics of powders. This includes evaluating their sensitivity to ignition sources and potential for combustion.
Gas Evolution Analysis: We assess the potential for gas evolution in processes involving powders, which is crucial for identifying and mitigating explosion risks.
Available Equipment:
Powder Safety Instruments from Chilworth-Dekra:
Powder Resistivity Test Apparatus: Used to assess bulk powder resistivity (BPR) and the risk of electrostatic discharge, ensuring safe handling of powders.
Burning Behaviour Test Apparatus – VDI Method: This apparatus characterizes flame propagation tendencies, helping to understand fire risks associated with powders.
Minimum Ignition Energy (MIE III Test Apparatus): Determines the sensitivity of powders to ignition sources, providing critical insights into explosion risks.
Powder Dust Explosion Test Apparatus: Evaluates the explosive potential of powder materials, ensuring safe process conditions.
BAM Fallhammer Test Apparatus: Assesses the sensitivity of materials to mechanical impact, identifying potential shock hazards.
Thermal Analysis Instruments:
Differential Scanning Calorimetry (DSC): Utilized to analyze thermal transitions, such as melting and decomposition, helping to understand the thermal stability of materials.
Thermal Screening Unit (TSU) from H.E.L: Used for thermal screening studies to identify potential exothermic and endothermic events.
Reaction and Calorimetry Equipment:
We collaborate with Dekra for any additional tests e.g. measuring gas composition during evolution, sphere test for powder saftey etc. 
</t>
  </si>
  <si>
    <t xml:space="preserve">Our Approach to Thermal and Process Hazard Assessment:
Thermal Hazard Assessment:
We perform Differential Scanning Calorimetry (DSC), Accelerated Rate Calorimetry (ARC), and thermal screening on pure materials, mixtures of solids, and solutions or process streams. These assessments are crucial for understanding the thermal behavior and stability of materials under various conditions, thereby identifying potential hazards.
Process Hazard and Gas Evolution Assessment:
For process streams, we conduct reaction calorimetry studies to evaluate process hazards and potential gas evolution. These studies help us understand the energetics of chemical reactions and identify any exothermic reactions or gas release that might pose safety risks.
Available Equipment:
Differential Scanning Calorimetry (DSC): Used to analyze thermal transitions such as melting and decomposition, providing insights into the thermal stability and exothermic potential of materials.
Thermal Screening Unit (TSU): Provides comprehensive thermal screening for materials, identifying potential exothermic and endothermic events early in the process.
Reaction Calorimeter (RC1e): From Mettler Toledo, used for precise calorimetric studies, assessing reaction energetics and potential gas evolution during process streams.
EasyMax HFCal: for performing reaction calorimetry studies at small scale
Accelerated Rate Calorimeter (ARC): Evaluates the thermal stability and decomposition kinetics under adiabatic conditions, helping to identify potential runaway reactions and ensuring safe process design.
We collaborate with Dekra for any additional tests e.g. measuring gas composition during evolution, sphere test for powder saftey etc. 
</t>
  </si>
  <si>
    <t xml:space="preserve">
We perform thermal screening tests on pure materials and mixtures of solids to detect potential gas generation, focusing on the pressure rise associated with these emissions.
Gas Evolution Profiling: During reaction calorimetry studies, we routinely assess gas evolution profiles using the RC1e system from Mettler Toledo, integrated with a dedicated gas liberation kit from Eurotherm/Ridgeway. This setup allows real-time quantification of evolved gases in terms of volume and rate under defined process conditions.
Designing Safety Systems: The collected data from gas evolution helps in arriving at the design of safety systems, including scrubbing systems, vent sizing, and pressure relief mechanisms, ensuring robust engineering controls.
Available Equipment:
Differential Scanning Calorimetry (DSC): Used to analyze thermal transitions, aiding in the assessment of thermal stability and exothermic potential.
Thermal Screening Unit (TSU): Provides early identification of thermal hazards, including gas evolution tendencies.
Reaction Calorimeter (RC1e): Used for precise calorimetric studies and real-time gas evolution assessment, crucial for designing safety systems.
Accelerated Rate Calorimeter (ARC): Evaluates decomposition kinetics and thermal stability, helping to identify runaway reactions.
We collaborate with Dekra for any additional tests e.g. measuring gas composition during evolution, sphere test for powder saftey etc</t>
  </si>
  <si>
    <t xml:space="preserve">Our Approach to Risk Assessment and Safety Management:
Pre-Feasibility Risk Assessment: During the route selection phase at the pre-feasibility step, we conduct a comprehensive risk assessment for each synthetic transformation. This assessment focuses on identifying potential hazards associated with the process, including exothermic reactions, gas evolution, and the use of hazardous reagents.
Mitigation Strategies: If any risks, such as exothermicity or gas evolution, are identified during the process, we implement mitigation strategies. These strategies may include exploring alternative options, using appropriate automation, and implementing necessary engineering controls to ensure safety and maintain process integrity.
Calorimetric Studies for Exothermicity and Gas Evolution: We employ calorimetric studies early in the process to assess exothermic behavior and gas evolution. This proactive approach allows us to identify and manage potential hazards, ensuring safe process design and development.
Available Equipment for Safety and Process Evaluation:
Differential Scanning Calorimetry (DSC): Utilized to analyze thermal transitions and stability, helping to predict potential explosive behavior.
Minimum Ignition Energy (MIE III Test Apparatus): From Chillworth-Dekra, this test assesses the minimum energy required to ignite a dust cloud, providing insights into explosion risks.
Powder Resistivity Test Apparatus: Also from Chillworth-Dekra, evaluates bulk powder resistivity to assess electrostatic hazards.
BAM Fallhammer Test Apparatus: From Chillworth-Dekra, this test evaluates the sensitivity of materials to mechanical shock.
Thermal Screening Unit (TSU) from H.E.L: Managed by WinISO, this system identifies thermal hazards, providing early warnings for exothermic and endothermic events.
Differential Scanning Calorimetry (DSC): Used to assess thermal transitions and stability in both pure materials and mixtures of solids.
Reaction Calorimetry Studies: Using the Mettler Toledo RC1e Reaction Calorimeter, we perform precise calorimetric studies to assess the reaction's exothermic behavior and process hazards. This equipment, equipped with the Eurotherm/Ridgeway gas evolution kit, allows us to understand gas evolution and manage potential risks.
EasyMaxHFCal for reaction calorimetry assesment at small scale
Accelerated Reaction Studies: The Accelerating Rate Calorimeter from THT evaluates the thermal stability and decomposition kinetics of reactions under adiabatic conditions, helping identify potential runaway reactions.
We collaborate with Dekra for any additional tests e.g. measuring gas composition during evolution, sphere test for powder saftey etc
</t>
  </si>
  <si>
    <t>Process Optimization and Impurity Management Approach:
Modeling Tools:
Dynochem from Scale-up Systems: This tool is utilized for simulating and optimizing chemical processes, helping to understand mass and heat transfer dynamics and ensuring efficient scale-up.
MiXIT from Tridiagonal Solutions: MiXIT aids in analyzing and optimizing mixing processes, ensuring consistent quality and efficient reactor designs.
Available Equipment:
In Situ Analytical Tools: FBRM, PVM, ReactIR, and Raman spectroscopy from Mettler Toledo (icontrol software) provide real-time monitoring and analysis, crucial for understanding process dynamics and optimizing conditions.
Crystalline System from Technobis: Used for solubility profiling and determining the Metastable Zone Width (MSZW), aiding in crystallization process optimization.
EasyMax Workstation from Mettler Toledo: Facilitates precise control over reaction conditions, supporting efficient process development.
Mya4 Process Station from Radley: Offers comprehensive control for conducting various chemical processes.
Jacketed Cylindrical Reactors from Radley's and Chemglass: These reactors provide optimal conditions for reactions, ensuring consistent temperature control.
Heating and Cooling Systems: From Huber, Lauda, and Julabo, these systems ensure precise thermal management, critical for maintaining consistent reaction conditions.
Agitated Nutsche Filter Dryer (ANFD) from Pope Scientific: Used for efficient filtration and drying processes, ensuring purity and quality.
Air and Vacuum Tray Dryers: Provide versatile drying options for various materials and processes.
IKA Wet Mill Magic Lab: Offers controlled seed generation and particle refinement, aiding in particle size distribution tuning.
Air Jet Microniser from Midas: Utilized for micronization, ensuring consistent particle size and distribution.
Application and Collaboration:
These tools and equipment help in optimizing the workup and drug substance (DS) process performance, ensuring targeted impurity purge-ability and achieving desired quality targets.
All activities are conducted in collaboration with the Pfizer project lead, ensuring alignment with project goals and leveraging their expertise to maximize outcomes.
This approach integrates sophisticated modeling tools with advanced equipment, ensuring effective process optimization and impurity management, leading to high-quality results and robust process performance.</t>
  </si>
  <si>
    <t>Approach to Thermal Testing and Safety Hazard Identification:
We conduct Differential Scanning Calorimetry (DSC) and thermal screening tests for all starting materials and intermediates involved in the commercial process options for Pfizer. 
Close Collaboration with Pfizer: We work closely with the Pfizer project lead to establish and evaluate powder properties effectively. This collaboration ensures that the assessment aligns with Pfizer's process specifications and safety requirements.
Identification and Sharing of Safety Hazards: Any safety hazards identified in solids, such as exothermic reactions or potential ignition risks, are promptly communicated. This proactive sharing of information enables the implementation of appropriate safety measures and process adjustments.
Equipment available:
Differential Scanning Calorimetry (DSC): Used to analyze thermal transitions, aiding in the assessment of thermal stability and exothermic potential.
Thermal Screening Unit (TSU): Provides early identification of thermal hazards, including gas evolution tendencies.
Reaction Calorimeter (RC1e): Used for precise calorimetric studies and real-time gas evolution assessment, crucial for designing safety systems.
Accelerated Rate Calorimeter (ARC): Evaluates decomposition kinetics and thermal stability, helping to identify runaway reactions.</t>
  </si>
  <si>
    <t>Approach to Scale Dependency and Safe Scale-Up:
Scale Dependency Evaluation: As part of process evaluation, we focus on examining scale dependency for both reactions and isolation steps. 
Proactive Lab-Scale Experimentation: We conduct lab-scale experiments to identify reactions and workups that might present scale or equipment-related risks. This includes exploring factors such as rapid kinetics, mixing sensitivity, or any unexplained mass balance discrepancies.
 Upon identifying potential risks, we develop and implement mitigation strategies to address these challenges effectively. 
Transparent Communication with Pfizer: We maintain open and transparent communication with the Pfizer project lead throughout the process. This collaboration ensures alignment on project objectives and facilitates a smooth transition to larger-scale operations.
By integrating these steps into your process evaluation, you effectively manage scale-related risks, ensuring safe and successful scale-up and alignment with project goals.</t>
  </si>
  <si>
    <t>No</t>
  </si>
  <si>
    <t>yes</t>
  </si>
  <si>
    <r>
      <rPr>
        <u/>
        <sz val="10"/>
        <rFont val="Arial"/>
        <family val="2"/>
      </rPr>
      <t xml:space="preserve">Our approach:
</t>
    </r>
    <r>
      <rPr>
        <sz val="10"/>
        <rFont val="Arial"/>
        <family val="2"/>
      </rPr>
      <t xml:space="preserve">1. Evaluate solid-state properties (particle size, flowability, hygroscopicity etc.) and stability to assess the need for salt screening and polymorph screening of key starting materials and intermediates.
2. Conduct solvent screening experiments to evaluate crystallization conditions and support solid form selection.
3. Conduct studies in coordination with Pfizer team ensuring alignment with project goals and timelines.
</t>
    </r>
    <r>
      <rPr>
        <u/>
        <sz val="10"/>
        <rFont val="Arial"/>
        <family val="2"/>
      </rPr>
      <t xml:space="preserve">Available Equipment:
</t>
    </r>
    <r>
      <rPr>
        <sz val="10"/>
        <rFont val="Arial"/>
        <family val="2"/>
      </rPr>
      <t xml:space="preserve">
Crystalline™ from Technobis: Used for detailed studies on crystallization and polymorph screening, providing valuable insights into solid-state properties.
Radleys Mya4 Process Stations: Facilitate precise control over reaction and crystallization processes, supporting thorough evaluation and optimization.
Radley's and ChemGlass Reactor Systems: Provide flexible and reliable platforms for conducting various chemical processes and screenings.
Polar Bear Plus from Cambridge Reactor Design (CRD): Offers efficient heating and cooling capabilities, crucial for maintaining precise temperature control during experiments.
SP Genevac EZ-2 4.0: Used for polymorph screening and solvent evaporation
Zinsser Analytic HTS System: Supports high-throughput screening, enabling rapid evaluation of multiple conditions and formulations.
VCM Technology from MeltPrep®: Utilized for evaluating melting and solidification processes, supporting the optimization of solid forms.
EasyMax 402 Thermostat System: From Mettler Toledo, provides precise temperature control, supporting optimized crystallization conditions.
Zeiss AxioScope5 Microscope: Enables detailed microscopic imaging, crucial for analyzing crystal morphology and verifying solid-state properties.
By utilizing these sophisticated tools and collaborating closely with Pfizer, we ensure comprehensive evaluation and optimization of solid-state properties, leading to robust and high-quality drug development.</t>
    </r>
  </si>
  <si>
    <r>
      <t xml:space="preserve">Our Approach to Salt Formation and Characterization:
Selection of Suitable Counterions: We begin by selecting appropriate counterions for salt formation, ensuring that they are well-suited to enhance the stability, solubility, and performance of the target compound.
Conducting Salt Formation Experiments: We perform detailed salt formation experiments to create various salts from the selected counterions. These experiments enable us to explore different combinations and identify the most promising candidates.
Characterization and Evaluation of Formed Salts: Following salt formation, we thoroughly characterize and evaluate the formed salts to understand their properties and ensure they meet the desired criteria for stability, solubility, and processability.
</t>
    </r>
    <r>
      <rPr>
        <u/>
        <sz val="10"/>
        <rFont val="Arial"/>
        <family val="2"/>
      </rPr>
      <t xml:space="preserve">Available Equipment:
</t>
    </r>
    <r>
      <rPr>
        <sz val="10"/>
        <rFont val="Arial"/>
        <family val="2"/>
      </rPr>
      <t xml:space="preserve">
Crystalline™ System from Technobis: Used for salt formation experiments, providing critical solubility and crystallization data to support optimal salt selection and development.
Raldleys Mya4 Process Station: These stations offer precise control over reaction conditions, facilitating efficient salt formation experimentation and optimization.
Radley’s &amp; ChemGlass Reactor Systems: Provide versatile platforms for conducting various chemical processes involved in salt formation and characterization.
Polar Bear Plus from CRD (Heating and Cooling Unit): Ensures precise temperature control during salt formation and characterization experiments.
SP Genevac EZ-2 4.0: Utilized for polymorph screening, aiding in the identification of stable salt forms and their properties.
Procept spray dryer: generating amorphous and amorphous solid dispersion
VCM Technology from MeltPrep®: Supports the evaluation of melting and solidification processes, aiding in the characterization of formed salts.
EasyMax 402 Thermostat System from Mettler Toledo: Provides precise thermal control for experiments, supporting optimal conditions for salt formation.
Zeiss AxioScope5 Microscope: Offers high-resolution imaging for characterizing crystal morphology, critical for evaluating formed salts.
By employing this structured approach and utilizing advanced equipment, we ensure the effective selection, formation, and characterization of salts, contributing to the development of stable and high-quality drug compounds.
</t>
    </r>
  </si>
  <si>
    <r>
      <rPr>
        <sz val="10"/>
        <color rgb="FF000000"/>
        <rFont val="Arial"/>
        <family val="2"/>
      </rPr>
      <t xml:space="preserve">Aurigene specializes in providing synthetic routes for intermediates and API molecules by leveraging: analogue chemistry reports, utilisation of computational tools including Synthia, Reaxys, and SciFinder, literature review, consultation sessions from world renowned experts for route scouting 
Development Approach Includes:
1. Paper evaluation, literature review and preliminary experimentaion in batch mode 
2. A decison tree approach is followed to asses the advantages of executing the reaction in batch vs flow, eg. reagent solubility, chemical nature, hazard, purity profile, yield etc.  
3. Screening studies are using selected continuous flow platforms
4. Establishing Proof-of-Concept (PoC) in flow
5. QbD based approach for process optimization
</t>
    </r>
    <r>
      <rPr>
        <b/>
        <sz val="10"/>
        <color rgb="FF000000"/>
        <rFont val="Arial"/>
        <family val="2"/>
      </rPr>
      <t xml:space="preserve">Flow Chemistry Infrastructure at Aurigene:
</t>
    </r>
    <r>
      <rPr>
        <sz val="10"/>
        <color rgb="FF000000"/>
        <rFont val="Arial"/>
        <family val="2"/>
      </rPr>
      <t xml:space="preserve">-Vapourtec R Series with coil reactors in PFA, SS, and HA-276 MOC
-AM Technology Agitated Cell Reactor
-Corning® G1 Reactor
-Protrix® from Chemtrix BV of SiC MOC for handling corrosive chemicals
-Vapourtec® Photoflow Reactor
-KHIMOD® Continuous Hydrogenation Setup
-Precision Pumps: Teledyne®, Knauer®, MasterFlex®, and Vapourtec SF10 piston and peristaltic pumps
- Ziensser HTS system
We also apply the Self-Optimizing Reactor (SOR) technology which is based on baysean algorithm and machine learning. It is additionally integrated with Hi-Tech Zang automation platform and autosampling with Agilent 2950 Infinity UPLC for reaction screening and optimisation. This work was developed in collaboration with Prof. Richard Bourne at Univ of Leeds
</t>
    </r>
  </si>
  <si>
    <t xml:space="preserve">Our Approach to Process Development:
- We begin by conducting screening studies in batch mode to understand the mixing sensitivity of the reaction. This helps establish a baseline for process conditions.
- We analyze the reaction kinetics in detail to gain insights into the rate and mechanism of the reaction, which is essential for effective process optimization. 
- Once the batch studies are complete, we conduct feasibility studies to establish the process in flow. This transition is crucial for improving scalability and control.
- We establish a PoC in flow, followed by QbD based process optimization, further we use the SOR platform for arriving at the optimised process to ensure a robust, efficient, and scalable process
- We conduct solubility studies to understand the solubility behavior of the compounds, followed by batch experiments to select solvents and mode of crystallization e.g. cooling, anti-solvent etc.
- We carry out feasibility experiments in select flow equipment or Mixed Suspension, Mixed Product Removal (MSMPR) setups to evaluate continuous crystallization processes.
-We apply DoE as well as the Self-Optimizing Reactor (SOR) technology which is based on baysean algorithm and machine learning. It is additionally integrated with Hi-Tech Zang automation platform and autosampling with Agilent 2950 Infinity UPLC for reaction optimisation. This work was developed in collaboration with Prof. Richard Bourne at Univ of Leeds
Filtration and Drying Rate Data: Filtration and drying rate data are generated in batch mode  to support process scale-up and optimization in continuous set up
Available Equipment:
-Vapourtec R Series, Coil Reactors: PFRs with materials such as PFA, SS, and Hastelloy-276 for versatile flow reactions.
-AM Technology Agitated Cell Reactor: Used for continuous crystallization, supporting stable and efficient flow processes.
-Corning® G1 Reactor: Provides precise temperature and pressure control for flow chemistry applications.
-Protrix® from Chemtrix BV of SiC MOC, designed for handling corrosive chemicals, enhancing flexibility for various reactions.
-Photoflow Reactor from Vapourtec Ltd.: Facilitates photochemical processes under controlled light exposure.
-KHIMOD Continuous Hydrogenation Setup: Supports continuous hydrogenation under controlled conditions.
-High Precision Pumps: Including Teledyne®, Knaeur®, MasterFlex®, Vapourtec SF10, ensuring accurate and consistent reagent delivery.
-CINC Continuous Extraction Units: Used for efficient liquid-liquid extraction processes.
-Zaiput® Membrane Separator: Provides efficient phase separation in continuous flow processes.
-BHS Rotating Pressure Filter (RPF)
- Glatt continuous Fluid Bed Dryer (FBD)
</t>
  </si>
  <si>
    <t xml:space="preserve"> -Aurigene employs a structured approach to evaluate the potential for implementing continuous manufacturing process
Development Workflow:
1. Paper evaluation, literature review and preliminary experimentaion in batch mode 
2. A decison tree approach is followed to asses the advantages of executing the reaction in batch vs flow, eg. reagent solubility, chemical nature, hazard, purity profile, yield etc.  
3. Screening studies are using selected continuous flow platforms
4. Establishing Proof-of-Concept (PoC) in flow
5. QbD based approach for process optimization
All experiments are recorded in real-time using a secure electronic lab notebook, with weekly reporting provided to clients. Studies are performed on lab-scale scalable reactor systems with well-characterized residence time distributions and mixing profiles.
Flow Equipment (Lab Scale):
Uniqsis® Glass Chip Reactors
Vapourtec® R-Series PFRs with static mixers (SS, Hastelloy, PFA)
Corning® G1 Reactor
Protrix® Reactor (SiC MOC) – Chemtrix BV
Mettler Toledo® EasyMax Reactor
Radley® and ChemGlass® Jacketed Glass Reactors (250 mL)
Zinsser® HTS System
We apply the Self-Optimizing Reactor (SOR) technology which is based on baysean algorithm and machine learning. It is additionally integrated with Hi-Tech Zang automation platform and autosampling with Agilent 2950 Infinity UPLC for reaction optimisation. This work was developed in collaboration with Prof. Richard Bourne at Univ of Leeds</t>
  </si>
  <si>
    <r>
      <rPr>
        <sz val="10"/>
        <color rgb="FF000000"/>
        <rFont val="Arial"/>
        <family val="2"/>
      </rPr>
      <t xml:space="preserve"> -Aurigene employs a structured approach to evaluate the potential for implementing continuous manufacturing process, this involves following a decison tree approach which was established inhouse based on literature review,  process hazard, reaction exothermicity, impurity, yield impact etc. Multiple case studies were identified and established using this approach. Our work flow:
 -Understanding the Batch Process/Chemistry: We begin with a comprehensive analysis of the existing batch process and underlying chemistry to identify key parameters and potential improvements.We adopt a decison tree approach to arrive at the need/importance of implementing 
 -Solvent Screening and Solubility Generation: Systematic solvent screening is performed to determine the optimal solvents for the reactions, enhancing solubility and reaction efficiency.
 -Preliminary Flow Experiments: We design and conduct preliminary experiments in flow systems to assess the feasibility and identify critical process parameters (CPPs) that impact the reaction. This helps optimize process conditions early on. Potential to minimize solvent swaps and use a single solvent system in case of telescoping. 
 -Reaction Kinetics Analysis: Utilizing tools like ReactIR and Dynochem, we gain insights into the reaction kinetics, enabling us to fine-tune process variables for better control and efficiency.
-Proof of Concept (PoC) Establishment: We use a Design of Experiments (DoE) and Quality by Design (QbD) to optimize the process ensuring that the process is scalable and meets quality standards.
</t>
    </r>
    <r>
      <rPr>
        <b/>
        <sz val="10"/>
        <color rgb="FF000000"/>
        <rFont val="Arial"/>
        <family val="2"/>
      </rPr>
      <t>Case Study</t>
    </r>
    <r>
      <rPr>
        <sz val="10"/>
        <color rgb="FF000000"/>
        <rFont val="Arial"/>
        <family val="2"/>
      </rPr>
      <t>: Aurigene successfully developed a flow process for acetonide deprotection and hydrolysis, 
addressing mixing sensitivity by utilizing a Protrix–PFR combination at lab scale. This process was subsequently scaled up using Chemtrix MR555 and PFR systems, demonstrating robust scalability and control.
Available Equipment for Flow Development and Commercial Execution:
1. Lab → Plant Translations:
PFRs with Static Mixers from Vapourtec Ltd. (lab) → SS and Hastelloy PFRs with Kenics static elements (plant)
Protrix® from Chemtrix BV (lab) → MR555 (plant), both from  Chemtrix BV
Agitated Cell Reactor (lab) → Agitated Tube Reactor → Rotating Tube Reactor (plant), all from AMTechnology, UK
Corning® G1 Reactor (lab)
Precision Pumping Systems:
Fuji High Precision Pumps (pilot &amp; plant)
HNP Gear Pumps (plant)
Vapourtec®, Knauer®, Teledyne® High Precision Pumps (lab)
CINC Continuous Extraction Units: Used for efficient liquid-liquid extraction processes (lab)
Zaiput® Membrane Separator: Provides efficient phase separation in continuous flow processes (lab)
BHS Rotating Pressure Filter (RPF, plant)
Glatt continuous Fluid Bed Dryer (FBD, plant)
Process Monitoring Instruments:
Inline pH Sensors
Conductivity Meters (Available at both lab and plant)
In line Waters PATROL UPLC system (at plant scale)
Agilent UPCL (at lab) with automated sampling and analysis
NIR</t>
    </r>
  </si>
  <si>
    <t xml:space="preserve">Aurigene employs a robust electronic notebook system to document all experimental data in real time, ensuring traceability and transparent decision-making across development stages. Comprehensive development updates and optimization reports are provided, capturing the entire history of process evolution, including the QbD and modelling data and outcomes
</t>
  </si>
  <si>
    <r>
      <rPr>
        <sz val="10"/>
        <color rgb="FF000000"/>
        <rFont val="Arial"/>
        <family val="2"/>
      </rPr>
      <t xml:space="preserve">Aurigene's development strategy begins with evaluating reaction kinetics and mixing dependency to determine suitability for continuous processing.
Laboratory-scale batch studies are conducted to assess reaction and mixing sensitivity, focusing on parameters such as residence time, mass transfer, and process safety.
If batch mode proves unsuitable due to rapid kinetics or poor mixing control, the process is transitioned to in-house continuous flow equipment for feasibility validation, ensuring consistent product quality and scalable output.
</t>
    </r>
    <r>
      <rPr>
        <b/>
        <sz val="10"/>
        <color rgb="FF000000"/>
        <rFont val="Arial"/>
        <family val="2"/>
      </rPr>
      <t xml:space="preserve">Flow Equipment (Lab Scale):
</t>
    </r>
    <r>
      <rPr>
        <sz val="10"/>
        <color rgb="FF000000"/>
        <rFont val="Arial"/>
        <family val="2"/>
      </rPr>
      <t xml:space="preserve">Uniqsis® Glass Chip Reactors
Vapourtec® R-Series PFRs with static mixers (SS, Hastelloy, PFA)
Corning® G1 Reactor
Protrix® Reactor (SiC MOC) – Chemtrix BV
Mettler Toledo® EasyMax Reactor
Radley® and ChemGlass® Jacketed Glass Reactors (250 mL)
Zinsser® HTS System
 </t>
    </r>
  </si>
  <si>
    <r>
      <rPr>
        <b/>
        <sz val="10"/>
        <color rgb="FF000000"/>
        <rFont val="Arial"/>
        <family val="2"/>
      </rPr>
      <t xml:space="preserve">Lab-Scale PAT Tools:
</t>
    </r>
    <r>
      <rPr>
        <sz val="10"/>
        <color rgb="FF000000"/>
        <rFont val="Arial"/>
        <family val="2"/>
      </rPr>
      <t xml:space="preserve">ReactIR spectroscopy (Mettler Toledo)
FBRM &amp; PVM – Particle size, shape, and count monitoring (Mettler Toledo)
Raman Spectroscopy – Molecular fingerprinting (Kaiser)
Near-Infrared (NIR) Spectroscopy – Rapid material identification and quantification (Bruker)
Agilent 1290 Infinity UPLC system
NIR Spectroscopy – Process monitoring and control (Bruker)
</t>
    </r>
    <r>
      <rPr>
        <b/>
        <sz val="10"/>
        <color rgb="FF000000"/>
        <rFont val="Arial"/>
        <family val="2"/>
      </rPr>
      <t xml:space="preserve">Plant-Scale PAT Tools:
</t>
    </r>
    <r>
      <rPr>
        <sz val="10"/>
        <color rgb="FF000000"/>
        <rFont val="Arial"/>
        <family val="2"/>
      </rPr>
      <t xml:space="preserve">
Waters PATROL UPLC – In-process impurity profiling and assay tracking 
In line pH meters
Conductivity sensors</t>
    </r>
  </si>
  <si>
    <t xml:space="preserve">In alignment with established SOPs, stability assessments are carried out for all feedstocks, intermediate streams, product solutions/slurries, and wet materials.
Materials are held at defined temperature ranges to simulate process holding conditions.
</t>
  </si>
  <si>
    <t xml:space="preserve">Aurigene adopts a holistic approach to flow process development, ensuring smooth scale transition from lab to plant through rigorous reactor and process evaluations:
1. Flow Reactor Characterization:
Residence Time Distribution (RTD) Studies are conducted to map flow profiles and identify dispersion, enabling reliable modeling and prediction.
2.Mixing Performance Correlation:
Mixing behaviors are evaluated at lab and plant scale to ensure comparable mass transfer characteristics—critical for maintaining reaction consistency.
3.Thermal Management:
Heat load requirements are assessed, and Thermal Control Units (TCUs) are selected to efficiently manage reaction exotherms, enhancing safety and reproducibility.
gProms modelling software is used for RTD
CFD tools are available for determining heat and mass transfer distribution profiles
Equipment Portfolio :
PFRs with static mixers from Vapoutec Ltd. (lab)--&gt; SS and hastelloy PFRs with Kenics static elements (plant)
-Corning G1 (Lab)
-Protrix®(lab) --&gt; Chemtrix MR555 (plant) (both from Chemtrix BV)
-Agitated Cell Reactor (lab)--&gt; Agitated Tube Reactor (plant)--&gt;Rotatin Tube Reactor (plant) (all from AMTechnology)
-Fuji high precison pumps (pilot and plant)
-Gear pumps from HNP (plant)
-High precison pumps from Vapourtec Ltd., Knaeur, Teledyne (lab)
-In line pH sensors, conductivity meters (lab and plant)
-Rotary pressure filter from BHS (plant)
-Continuous fluid bed dryer from Glatt
</t>
  </si>
  <si>
    <t xml:space="preserve"> - We have a lab-scale photoreactor for preliminary experimentation
 -We are activiely working with PESCHL for establishing PoC for  photochemistry and would be shorlty procuring the same
-  We have an ongoing collaboration with Prof. Marcus Bauman at UC Dublin to identify good case studies and develop photo-flow processes </t>
  </si>
  <si>
    <t>-We have an IKA Electra Syn 2.0
- We had a two year collaboration with Prof Oliver Kappe on Electrochemistry and have established PoCs 
in batch and flow mode at lab scale. This work has been publsihed in ACS Electrochemistry (https://pubs.acs.org/doi/full/10.1021/acselectrochem.5c00165)</t>
  </si>
  <si>
    <t xml:space="preserve">
We begin by performing a thorough risk assessment for each synthetic transformation during the route selection phase. This assessment evaluates hazardous reagent usage, potential gas evolution, reaction by-product hazards, exothermicity, and potential runaway reactions and powder safety are established by applying the following tools:
I
-Reaction Calorimeter from Mettler Toledo® (RC1mx)
-EasyMax HFCal
-Thermal Screening Unit from H.E.L
- Differential scanning calirometry (DSC) from TA instruments
-. Accelerating Rate Calorimeter from THT
- Thermal screening unit from HEL
- Reaction calorimetry from mettler toledo
- Powder Resistivity Test Apparatus - Chillworth-Dekra
- Burning Behaviour Test Apparatus – VDI method - Chillworth-Dekra
- Minimum ignition energy (MIE III test apparatus) - Chillworth-Dekra
- Powder dust explosion test apparatus - Chillworth-Dekra
-BAM Fallhammer Test Apparatus - Chillworth-Dekra
Collaborative Hazard Analysis at Scale: Together, the plant and R&amp;D teams conduct a comprehensive hazard analysis for scale-up, considering the findings from powder safety, DSC, ARC, and thermal screening studies. This collaborative approach ensures that all potential risks are addressed and appropriate precautions are taken when scaling up the process to the plant level.
Plant-Level Hazard Analysis: Based on the evaluation of powder safety, DSC, ARC, thermal screening, and other relevant studies, both the plant and R&amp;D teams collaborate to perform a comprehensive hazard analysis. This ensures the identification and implementation of suitable safety precautions at scale.
By integrating these steps, Aurigene ensures a robust, safe, and efficient scale-up process, with close collaboration between R&amp;D and the plant teams to address potential hazards and implement appropriate safety measures.</t>
  </si>
  <si>
    <t>We'll coordinate with the Pfizer team lead to shape and schedule the activity based on their inputs.</t>
  </si>
  <si>
    <r>
      <rPr>
        <sz val="10"/>
        <color rgb="FF000000"/>
        <rFont val="Arial"/>
        <family val="2"/>
      </rPr>
      <t xml:space="preserve">Aurigene has extensive experience in transitioning batch crystallization processes to continuous platforms, and in developing scalable continuous crystallization strategies.
</t>
    </r>
    <r>
      <rPr>
        <b/>
        <sz val="10"/>
        <color rgb="FF000000"/>
        <rFont val="Arial"/>
        <family val="2"/>
      </rPr>
      <t xml:space="preserve">Lab Scale Capabilities:
</t>
    </r>
    <r>
      <rPr>
        <sz val="10"/>
        <color rgb="FF000000"/>
        <rFont val="Arial"/>
        <family val="2"/>
      </rPr>
      <t xml:space="preserve">Jacketed glass-line reactors configurable as MSMPRs
Proven success using AMTechnology ACR for continuous crystallization
Flexible PFR + MSMPR hybrid setups 
</t>
    </r>
    <r>
      <rPr>
        <b/>
        <sz val="10"/>
        <color rgb="FF000000"/>
        <rFont val="Arial"/>
        <family val="2"/>
      </rPr>
      <t xml:space="preserve">Plant Scale Infrastructure:
</t>
    </r>
    <r>
      <rPr>
        <sz val="10"/>
        <color rgb="FF000000"/>
        <rFont val="Arial"/>
        <family val="2"/>
      </rPr>
      <t xml:space="preserve">Jacketed reactors in diverse materials of construction for scalability
AMTechnology RTR for continuous crystallization
IKA wet mill for continuous seed generation or particle size control strategy
Integrated Rotary Pressure Filter (RPF) for continuous filtrationGlatt Continuous Fluid Bed Dryer (FBD) for drying operations
gProms crsytallisation platform for modeling kinetics
MixIT for mixing simulation of CSTRs
</t>
    </r>
  </si>
  <si>
    <t>Aurigene adopts a rigorous data-centric approach across reaction, extraction, and distillation operations, enabling:
Precise mass balance evaluation
In-depth reaction kinetics understanding
Optimized and reproducible process development
We will collaborate closely with Pfizer’s team lead to ensure the strategic collection of fundamental data, supporting seamless integration and informed decision-making throughout the project lifecycle.</t>
  </si>
  <si>
    <r>
      <rPr>
        <sz val="10"/>
        <color rgb="FF000000"/>
        <rFont val="Arial"/>
        <family val="2"/>
      </rPr>
      <t xml:space="preserve">Aurigene follows a structured and data-driven development strategy across upstream and downstream unit operations, focused on achieving robust and scalable processes.
</t>
    </r>
    <r>
      <rPr>
        <b/>
        <sz val="10"/>
        <color rgb="FF000000"/>
        <rFont val="Arial"/>
        <family val="2"/>
      </rPr>
      <t xml:space="preserve">Methodology Highlights:
</t>
    </r>
    <r>
      <rPr>
        <sz val="10"/>
        <color rgb="FF000000"/>
        <rFont val="Arial"/>
        <family val="2"/>
      </rPr>
      <t xml:space="preserve">Initial fundamental data collection during reactions, extractions, distillations, etc.
Feasibility studies using OFAT and Design of Experiments (DoE) to identify and define Critical Process Parameters (CPPs) and their ranges
Optimisation studies via DoE followed by prolonged run experiments to validate process robustness
Inline and in-process analytics enable comprehensive understanding of CPP impact on material and quality attributes.
</t>
    </r>
    <r>
      <rPr>
        <b/>
        <sz val="10"/>
        <color rgb="FF000000"/>
        <rFont val="Arial"/>
        <family val="2"/>
      </rPr>
      <t xml:space="preserve">Advanced Analytical &amp; Digital Tools:
</t>
    </r>
    <r>
      <rPr>
        <sz val="10"/>
        <color rgb="FF000000"/>
        <rFont val="Arial"/>
        <family val="2"/>
      </rPr>
      <t>ReactIR, FBRM, and PVM (Mettler Toledo)
Raman Spectroscopy (Kaiser)
Near-Infrared (NIR) Spectroscopy (Bruker)
Patrol UPLC (Waters)
Agilent UPLC 1290 Infinity
Dynochem for modeling and simulation (Scale-up Systems)
This rigorous framework accelerates process understanding, supports efficient scale-up, and ensures control over product quality throughout development.</t>
    </r>
  </si>
  <si>
    <t>Noted, Aurigene will maintain transparent and active communication by regulary giving update on the project via technical reports/presentations and will take suggestions from Pfizer team lead and plan activity as per mutual agreement.</t>
  </si>
  <si>
    <t>With the current understanding of the scope we don't anticiapate any activity to be outsourced. However if any specific/special requirement during the program, it will be communicated to Pfizer</t>
  </si>
  <si>
    <t>For the typical library synthesis, Aurigene operates in mg scale. However the quantities will be mutually agreed between both the parties</t>
  </si>
  <si>
    <t>Aurigene supports comprehensive structure elucidation and impurity assessment using advanced analytical techniques to ensure clarity and quality across synthetic workflows.
Starting Material Characterization
Utilizes Mass Spectrometry and Nuclear Magnetic Resonance (NMR) for structural confirmation of starting materials
Impurity Identification Tools
LCMS-MS: Qtrap 4500 / AB Sciex (Analyst 1.6.3); Waters Xevo TQ Absolute (Mass Lynx v4.2)
GCMS: Agilent 5975C (MassHunter B.07)
HRMS: Xevo G3 QTof / Waters (Waters Connect Software)
These capabilities enable APSL to identify and characterize process-related impurities effectively, ensuring control over purity and alignment with quality specifications.</t>
  </si>
  <si>
    <r>
      <t xml:space="preserve">Aurigene offers robust expertise in designing and optimizing chromatographic methods to support route scouting, routine analysis, and chiral separations, with adaptability to process modifications.
</t>
    </r>
    <r>
      <rPr>
        <b/>
        <sz val="10"/>
        <color theme="1"/>
        <rFont val="Arial"/>
        <family val="2"/>
      </rPr>
      <t>Methodology Focus:</t>
    </r>
    <r>
      <rPr>
        <sz val="10"/>
        <color theme="1"/>
        <rFont val="Arial"/>
        <family val="2"/>
      </rPr>
      <t xml:space="preserve">
Development of fit-for-purpose methods tailored to synthetic pathways
Methods refined iteratively in response to process evolution and quality requirements
</t>
    </r>
    <r>
      <rPr>
        <b/>
        <sz val="10"/>
        <color theme="1"/>
        <rFont val="Arial"/>
        <family val="2"/>
      </rPr>
      <t xml:space="preserve">
Chromatographic Techniques:</t>
    </r>
    <r>
      <rPr>
        <sz val="10"/>
        <color theme="1"/>
        <rFont val="Arial"/>
        <family val="2"/>
      </rPr>
      <t xml:space="preserve">
Routine and chiral analysis using GC, HPLC, UPLC, and SFC
Detection Systems: PDA, UV, CAD, Mass, and FID
</t>
    </r>
    <r>
      <rPr>
        <b/>
        <sz val="10"/>
        <color theme="1"/>
        <rFont val="Arial"/>
        <family val="2"/>
      </rPr>
      <t>Instrumentation &amp; Software Platforms:</t>
    </r>
    <r>
      <rPr>
        <sz val="10"/>
        <color theme="1"/>
        <rFont val="Arial"/>
        <family val="2"/>
      </rPr>
      <t xml:space="preserve">
Systems from Agilent, Waters, and PIC
Software: Empower 3 and PIC Solutions for data acquisition and analysis
This infrastructure ensures analytical precision, scalability, and responsiveness to development needs.</t>
    </r>
  </si>
  <si>
    <r>
      <t xml:space="preserve">Aurigene offers robust expertise in designing and optimizing chromatographic methods to support route scouting, routine analysis, and chiral separations, with adaptability to process modifications.
</t>
    </r>
    <r>
      <rPr>
        <b/>
        <sz val="10"/>
        <color theme="1"/>
        <rFont val="Arial"/>
        <family val="2"/>
      </rPr>
      <t>Methodology Focus:</t>
    </r>
    <r>
      <rPr>
        <sz val="10"/>
        <color theme="1"/>
        <rFont val="Arial"/>
        <family val="2"/>
      </rPr>
      <t xml:space="preserve">
Development of fit-for-purpose methods tailored to synthetic pathways
Methods refined iteratively in response to process evolution and quality requirements
</t>
    </r>
    <r>
      <rPr>
        <b/>
        <sz val="10"/>
        <color theme="1"/>
        <rFont val="Arial"/>
        <family val="2"/>
      </rPr>
      <t>Chromatographic Techniques:</t>
    </r>
    <r>
      <rPr>
        <sz val="10"/>
        <color theme="1"/>
        <rFont val="Arial"/>
        <family val="2"/>
      </rPr>
      <t xml:space="preserve">
Routine and chiral analysis using GC, HPLC, UPLC, and SFC
Detection Systems: PDA, UV, CAD, Mass, and FID
</t>
    </r>
    <r>
      <rPr>
        <b/>
        <sz val="10"/>
        <color theme="1"/>
        <rFont val="Arial"/>
        <family val="2"/>
      </rPr>
      <t>Instrumentation &amp; Software Platforms:</t>
    </r>
    <r>
      <rPr>
        <sz val="10"/>
        <color theme="1"/>
        <rFont val="Arial"/>
        <family val="2"/>
      </rPr>
      <t xml:space="preserve">
Systems from Agilent, Waters, and PIC
Software: Empower 3 and PIC Solutions for data acquisition and analysis
This infrastructure ensures analytical precision, scalability, and responsiveness to development needs.</t>
    </r>
  </si>
  <si>
    <r>
      <t xml:space="preserve">Aurigene is equipped with high-sensitivity analytical platforms to ensure accurate purity analysis and low-level impurity detection, critical for product quality and regulatory compliance.
</t>
    </r>
    <r>
      <rPr>
        <b/>
        <sz val="10"/>
        <color theme="1"/>
        <rFont val="Arial"/>
        <family val="2"/>
      </rPr>
      <t>Instrumentation Portfolio:</t>
    </r>
    <r>
      <rPr>
        <sz val="10"/>
        <color theme="1"/>
        <rFont val="Arial"/>
        <family val="2"/>
      </rPr>
      <t xml:space="preserve">
1. LCMS-MS
Qtrap 4500 / AB Sciex (Analyst 1.6.3)
Waters Xevo TQ Absolute (Mass Lynx v4.2)
2. GCMS
Agilent 5975C (MassHunter B.07)
3. HRMS
Xevo G3 QTof / Waters (Waters Connect software)
This instrumentation suite enables Aurigene to perform precise characterization of complex mixtures, detect trace impurities, and ensure reliable purity assessments across development stages.</t>
    </r>
  </si>
  <si>
    <r>
      <t xml:space="preserve">At Aurigene, robust documentation practices are implemented to maintain data integrity and traceability throughout the analytical lifecycle.
</t>
    </r>
    <r>
      <rPr>
        <b/>
        <sz val="10"/>
        <color theme="1"/>
        <rFont val="Arial"/>
        <family val="2"/>
      </rPr>
      <t>Electronic Records Systems:</t>
    </r>
    <r>
      <rPr>
        <sz val="10"/>
        <color theme="1"/>
        <rFont val="Arial"/>
        <family val="2"/>
      </rPr>
      <t xml:space="preserve">
E-Lab Notebook: Streamlines experiment logging, sample tracking, and metadata capture
Gene ATS: Facilitates structured analytical workflows and centralized data archiving
</t>
    </r>
    <r>
      <rPr>
        <b/>
        <sz val="10"/>
        <color theme="1"/>
        <rFont val="Arial"/>
        <family val="2"/>
      </rPr>
      <t>Secure Data Sharing:</t>
    </r>
    <r>
      <rPr>
        <sz val="10"/>
        <color theme="1"/>
        <rFont val="Arial"/>
        <family val="2"/>
      </rPr>
      <t xml:space="preserve">
Data accessibility and transfer are customized to meet Pfizer’s specific requirements
Ensures compliance with regulatory standards and secure delivery of validated datasets
This documentation infrastructure supports consistent quality, audit readiness, and collaborative transparency across all analytical operations</t>
    </r>
  </si>
  <si>
    <t xml:space="preserve">Our Approach to Understanding Fate and Purge of Impurities:
 We conduct a systematic analysis to understand the fate and purgeability of impurities related to the process. This involves evaluating how impurities behave and are removed during the process, ensuring the final product meets quality standards.
Available Equipment for Impurity Analysis:
Radley and Chemglass Jacketed CSTRs: These reactors, with capacities ranging from 100 mL (EasyMax) to 5 L, allow precise control over reaction conditions for detailed impurity behavior studies.
Pilot Scale Facility (20L Capacity): Enables larger-scale assessments, providing critical data for understanding impurity purgeability during scale-up processes.
</t>
  </si>
  <si>
    <t xml:space="preserve">Aurigene has a dedicated Standard Operating Procedure (SOP) for handling of High Potent compounds. Based on this SOP, we categorize the handling precautions based on OEL value of the compound, scale of the reaction, nature of the operation etc. </t>
  </si>
  <si>
    <t>Not available</t>
  </si>
  <si>
    <t>We have Reverse Phase HPLC systems suitable for the purificaiton of peptide and small molecule with OEL value 100 ng/m3</t>
  </si>
  <si>
    <t>Not applicable</t>
  </si>
  <si>
    <t>Facility Locations: Aurigene has development facilities in Hyderabad, Cambridge, and an IPDO (Integrated Product Development Organization) with specialized laboratories.
Laboratory Capabilities: These laboratories are dedicated to handling high potent compounds, ensuring high levels of safety and compliance.
Occupational Exposure Limit (OEL): The facilities are designed to handle compounds with OEL &lt; 1mcg/m3, indicating a commitment to worker safety and environmental considerations.
Access Control: The labs are fully access-controlled, which means that only authorized personnel can enter, further ensuring safety and compliance with regulatory standards.
Employee Training: Operations involving high potent compounds are performed by employees who have received adequate training. This suggests a strong emphasis on safety protocols and proper handling procedures.
Guidelines Compliance: The handling procedures are governed by corporate guidelines, ensuring that all activities align with industry standards and best practices.</t>
  </si>
  <si>
    <t xml:space="preserve">Head, Delivery API </t>
  </si>
  <si>
    <t>1-75/1, Sy. No. 195 &amp; 198/2/A, Bollaram Road, Miyapur, Hyderabad, Telangana, India-500049</t>
  </si>
  <si>
    <t>410 Cambridge Science Park, Milton Road, Cambridge CB4 0PE, 
United Kingdom</t>
  </si>
  <si>
    <t>Impurity synthesis is integral part of process/analytical method development. Aurigene is committed to offering all necessary support to successfully achieve the agreed goals, including both the synthesis and characterization of impurities. We also qualify impurities as RT markers, reference standards based on process development requirement.</t>
  </si>
  <si>
    <t>Understanding of impurities in key starting material is critical activity during vendor qualification work. Aurigene agrees to provide comprehensive support to achieve the objectives, covering impurity synthesis, analysis, and specification setting</t>
  </si>
  <si>
    <t>Assess reaction outcomes from route scouting experiments using appropriate chromatography methods (e.g. LC, GC, SFC) using conventional/contemporary detector types (e.g. UV, FID, CAD (for non-chromophoric compounds) at a high thoughput.</t>
  </si>
  <si>
    <t>Our comprehensive analytical capabilities provide robust support for route scouting experiments, utilizing advanced chromatographic techniques equipped with suitable detectors. This end-to-end analytical support ensures:
Efficient Route Scouting: We can accurately analyze and validate different synthetic routes, aiding in the selection of the most effective and efficient pathway for compound synthesis.
Advanced Chromatographic Techniques: Employing a variety of chromatographic methods, we ensure precise separation and analysis of components within complex mixtures. We use automated combi flash columns (Normal and Reverse phase) for purification of the products using various detectors (RI, UV, FID, CAD, etc.)
Appropriate Detectors: Our use of suitable detectors ensures high sensitivity and specificity in detecting and quantifying compounds, providing reliable data for informed decision-making.</t>
  </si>
  <si>
    <t xml:space="preserve">Aurigene employs a fit-for-purpose approach to analytical development during route scouting activities. This involves utilizing appropriate chromatographic techniques to ensure:
Tailored Analytical Solutions: We develop analytical methods specifically designed to meet the unique requirements of each route scouting activity, ensuring relevance and effectiveness.
Appropriate Chromatographic Techniques: By selecting the most suitable chromatographic techniques, we ensure accurate and efficient analysis of compounds, which is essential for evaluating different synthetic routes. We use GC, LC for the development of qualitative/quantitative analytical methods. </t>
  </si>
  <si>
    <t>with the current understanding of the scope we don't anticipate any activity to be outsourced. However if any specific/special requirement during the program, it will be communicated to Pfizer</t>
  </si>
  <si>
    <t>should we remove example doc column H?</t>
  </si>
  <si>
    <t>Pfizer Workflow(s)</t>
  </si>
  <si>
    <t>Utilize fit-for-purpose methods to analyze samples to assess reaction outcomes from route scouting and process development experiments using appropriate chromatography methods (e.g. LC, GC, SFC) using both conventional and more contemporary detector types e.g. UV, FID, CAD (for non-chromophoric compounds) at a high thoughput.</t>
  </si>
  <si>
    <t>To ensure product safety and compliance, Aurigene conducts trace-level impurity assessments focused on detecting residual catalysts (metals) and potential genotoxic impurities. These evaluations are performed using high-sensitivity analytical platforms, selected based on the chemical nature of the target impurity:
ICP-MS: Agilent 7800 ICP-MS system operated with MassHunter v4.6 software for quantitative analysis of metal catalysts at trace levels.
LC-MS/MS: Qtrap 4500 (AB Sciex) with Analyst v1.6.3; Xevo TQ Absolute (Waters) with MassLynx v4.2 Used for profiling genotoxic impurities with high sensitivity and selectivity.
GC-MS: Agilent 5975C system with MassHunter B.07 software employed for volatile and semi-volatile impurity detection.
HRMS: Xevo G3 QTof (Waters) integrated with Waters Connect software for accurate mass determination and structural elucidation of unknown trace impurities.</t>
  </si>
  <si>
    <t>Fit for methods will be developed for Chiral molecules to separate Enantiomers/diastereomers, usually by using normal phase chromatography and reverse phase chromatography (HPLC).</t>
  </si>
  <si>
    <t>Evaluate Class 1 elemental impurities and other intentionally added ICH Q3D elemental impurities in samples. Will very likely require ICP-MS. Availability of XRF may also be desirable.</t>
  </si>
  <si>
    <t>* We are currently working with Peschl Ultraviolet on photochemistry case study and plan to procure the same shortly
* We have KHIMOD continuous hydrogenation unit in our laboratory on rental basis and are establishing PoCs.</t>
  </si>
  <si>
    <t xml:space="preserve">Our Approach to Process Optimization:
Understanding Batch Isolation Processes: We start by thoroughly understanding the batch isolation process using process stations like Mya4 and EasyMax.
Solvent Screening and Solubility Data Generation: Utilizing the Crystalline 8 system from Technobis, we conduct solvent screening and generate solubility data. This helps in identifying the most suitable solvents and conditions for crystallization, metastable zone width and understanding the crystal morphology. 
Designing Preliminary Experiments: We design and execute preliminary experiments to assess the impact of critical process parameters (CPPs), such as temperature, seeding, and antisolvent addition rate. This evaluation helps in understanding how these parameters influence the isolation process and product attributes.
Available Equipment:
Crystalline™ from Technobis: Used for detailed studies on solvent screening and solubility data, crucial for optimal crystallization conditions.
Mya4 Process Station and EasyMax Workstation: These provide precise control over reaction and isolation processes, supporting thorough evaluation and optimization.
Radley and Chemglass jacketed glass reactors: Equipped with choice of impellers and PAT tools, these reactors can be utilized for optimization and scale-down experiments
Continuous Stirred Tank Reactors (CSTRs) from Radley and ChemGlass: These can be connected in series to form a Mixed Suspension Mixed Product Removal (MSMPR) setup, facilitating continuous processing and crystallization.
AMTechnology Agitated Cell Reactor (ACR): Used for continuous crystallization, enabling well-controlled and scalable crystallization processes.
</t>
  </si>
  <si>
    <t>Our Approach to Solubility and Screening Studies:
Our approach:
1. Perform solubility studies in  various solvents and anti-solvents as a function of temperature
2. Based on this data utilize modeling tools such as Dynochem to predict solubility in mixtures of solvents e.g. synergistic solubility in binary solvent mixtures can help to minimize the solvent quantities. 
2. Conduct subsequent screening studies to determine the optimal solvent or solvent–anti-solvent system (based on the type of crystallization) to achieve the desired quality and material attributes.
Available Equipment:
Crystalline™ from Technobis: Used for detailed solubility and crystallization studies, providing insights into solvent interactions and crystallization behavior.
Zinsser Analytic HTS System: Utilized for high-throughput polymorph screening, allowing rapid evaluation of various crystallization conditions.
Polar Bear Plus from Cambridge Reactor Design (CRD): Offers precise heating and cooling capabilities, crucial for maintaining controlled temperature conditions during solubility and crystallization studies.
Dynochem for solubility predictions</t>
  </si>
  <si>
    <t>Defined set of experiments with data points to be collected (concentrations, PSD, etc.) over time to support desaturation/kinetics understanding for crystallization design and modeling.</t>
  </si>
  <si>
    <t>Our Approach to Real-Time Crystallization Monitoring and Optimization:
Comprehensive Use of PAT Tools: Our laboratory utilizes a comprehensive suite of optimization and Process Analytical Technology (PAT) tools to monitor and optimize crystallization processes in real time. We also utilize gPROMS for crystallization modelling and prediction of particle size distribution. 
Available Equipment:
CryPRINS: Optimization of crystallization processes using this software developed by Professor Zoltan Nagy at Purdue University
FBRM, PVM, and ReactIR from Mettler Toledo (iControl Software): These tools are essential for real-time monitoring of particle size distribution, particle morphology, and solution concentration during crystallization. 
Raman Rxn2 Analyzer from Kaiser: The Raman analyzer offers  identification of polymorphic forms and monitoring of polymorphic transformations
Zeiss AxioScope5 Microscope: Provides high-resolution imaging of crystal morphology, offering visual insights into crystal size, shape, and uniformity.
Particle Vision Analyzer: In-house watershed algorithm to compute the particle size distribution from microscope / SEM / PVM images
FEG-SEM: Field emission gun - Scanning electron microscopy, model Apreo C from Thermofisher Scientific to characterize crystal morphology with xT Microscope software
gPROMS crystallization module: Population balance model to model the nucleation and growth kinetics, and predict desupersaturation profiles and particle size distribution
HPLC and UPLC: High-Performance Liquid Chromatography (HPLC) and Ultra-Performance Liquid Chromatography (UPLC) are used to analyze the purity and composition of the crystallized product, ensuring that the desired quality attributes are met.</t>
  </si>
  <si>
    <t>Our Approach to Crystallization Optimization and Impurity Management:
Solvent Screening for Crystallization: We conduct thorough solvent screening to identify the most suitable solvents for crystallization processes. This step is crucial for optimizing the crystallization conditions to achieve the desired solid form and quality attributes.
Study of Impurity Purge-ability: We assess the ability to purge impurities during the crystallization process. This evaluation helps ensure the purity and quality of the final product, which is vital for meeting regulatory standards and achieving desired product specifications.
Available Equipment:
Crystalline™ from Technobis: This system is utilized for detailed solvent and anti solvent screening 
Mya4 Process Station from Radley: Offers precise control over reaction and crystallization processes, allowing for efficient experimentation and optimization.
Zinsser HTS - Rapid screening of leachability / purgeability with multiple solvent &amp; temperature combinations in well-plates 
EasyMax 402 Thermostat System from Mettler Toledo: This system provides precise temperature control, essential for optimizing crystallization conditions and improving process robustness.
By employing these advanced tools and a structured approach, we ensure efficient solvent screening, effective impurity management, and robust crystallization processes to achieve high-quality products.</t>
  </si>
  <si>
    <t xml:space="preserve">Our Approach to Proof-of-Concept Scale-Down Experiments:
Execution of Scale-Down Experiments: In our laboratory, we conduct scale-down experiments in custom-designed reactors for geometric similarity, with mixing to closely emulate plant-scale conditions. This approach allows us to test and refine processes at a smaller scale while ensuring that the results are indicative of larger-scale operations.
Objective of Scale-Down Experiments: The primary objective is to recreate comparable mixing intensities and reaction dynamics experienced at the plant scale. By ensuring that laboratory data is both predictive and scalable, we can make informed decisions on process optimization and scale-up strategies.
Simulation Tools Available:
MixIT from Tridiagonal Solutions: This tool assists in analyzing and optimizing mixing patterns, helping to ensure that the mixing dynamics at the lab scale accurately reflect those at the plant scale.
Dynochem from Scale-up Systems: Dynochem provides simulation capabilities for understanding mass and heat transfer in chemical processes.
Chemglass and Radley jacketed cylinfrical reactors: Can be equipped with choice of impellers and baffles to ensure geometric similarity to plant reactors. 
</t>
  </si>
  <si>
    <t xml:space="preserve">Our Approach to Solvent and Crystallization Screening:
Solvent and Anti-Solvent Solubility Studies: We start by performing detailed solubility studies at a range of temperatures to identify suitable solvents and anti-solvents. This step ensures that the most effective solvent systems are selected for the crystallization process.
Screening for Optimal Solvent Systems: Following the initial solubility studies, we conduct comprehensive screening experiments to determine the optimal solvent or solvent–anti-solvent systems. This helps us achieve the desired quality and material attributes, including optimal crystal form and particle size.
Available Equipment:
Crystalline™ System from Technobis: Used for detailed solubility profiling and polymorph screening, aiding in the optimization of crystallization conditions.
SP Genevac EZ-2 4.0: Facilitates evaporation and solvent screening experiments, providing efficient evaluation of crystallization conditions.
Zinsser Analytic HTS System: Slurry experiments in a variety of solvent combinations and temperatures can be kept at controlled temperatures for equilibration, followed by analysis of the solution phase by HPLC to estimate solubility
Polar Bear Plus from Cambridge Reactor Design (CRD): A heating and cooling unit that provides precise thermal control, essential for optimizing crystallization conditions.
</t>
  </si>
  <si>
    <t xml:space="preserve">
Thermodynamic phase diagram for solid form stability: We perform competitive slurry studies with mixtures of anhydrous forms at a range of temperatures to establish the thermodynamically stable form as a function of temperature. 
Solvate and hydrate screening: We perform slurry studies in a range of solvents, preferably starting with amorphous form as input, to identify any solvates and hydrates
Water activity studies: To understand the minimum water activity to stabilize a hydrate, slurry experiments in solvent mixtures with different ratios of water are performed to establish the phase boundaries for hydrates / anhydrous forms / solvates. 
Available Equipment:
Radley Mya4 Process Station: Offers precise control over reaction and crystallization conditions, facilitating effective polymorph and solvent screening.
Polar Bear Heating and Cooling Unit: Provides efficient temperature control, essential for conducting reliable crystallization experiments.
Zinsser Analytic HTS System: Supports high-throughput screening, enabling rapid evaluation and comparison of multiple crystallization conditions and polymorphic forms.
Crystalline™ System from Technobis: Used for comprehensive crystallization studies and polymorph screening, providing critical data for solid form selection.
VCM Technology from MeltPrep®: Assists in the evaluation of melting and solidification processes, aiding in identifying stable solid forms.
EasyMax 402 Thermostat System from Mettler Toledo: Provides precise thermal control for small-scale experiments, supporting the optimization of crystallization processes.
Zeiss AxioScope5 Microscope: Facilitates detailed microscopic analysis of crystal morphology, essential for characterizing solid forms.
Karl Fischer and NIR: To quantify water content in solvent mixtures
This approach, supported by advanced equipment and collaboration with Pfizer, ensures a thorough evaluation and selection of optimal solid forms for successful project development.</t>
  </si>
  <si>
    <t xml:space="preserve">Our Approach to Solid-State Form Characterization:
Comprehensive Solid-State Understanding: We aim to understand the various solid-state forms of the drug substance, including polymorphs, solvates, hydrates, and amorphous forms. This understanding is critical for optimizing the drug's stability, solubility, and bioavailability, which are essential for its efficacy and manufacturability.
Advanced Analytical Techniques: We employ advanced analytical techniques to characterize these forms, ensuring a thorough understanding of their properties and behavior.
Available Equipment:
Powder X-Ray Diffraction (PXRD) from Bruker: PXRD is a powerful technique for identifying and characterizing crystalline forms. It provides detailed information on the crystalline structure, allowing us to distinguish between different polymorphs, solvates, and hydrates.
Zeiss Axioscope5 Microscope: This high-resolution microscope enables detailed imaging of crystals, providing insights into the morphology and particle size distribution of the solid-state forms. This visual analysis complements the structural data obtained from PXRD.
Scanning Electron Microscope: This imaging technology provides detailed images of crystals and surfaces even at nanometer scale. It applies focused beam of electrons to scan the surface of particles.  
By integrating these advanced techniques and equipment, we ensure a comprehensive evaluation of the solid-state forms, supporting the optimal development and manufacturing of the drug substance.
</t>
  </si>
  <si>
    <r>
      <t xml:space="preserve">We use orthogonal techniques for particle size and morphology analysis such as dynamic light scattering, optical microscopy, scanning electron microscopy, image analysis software's. We also analyze the particle size distribution of stability samples to assess changes over time. Stress studies for agglomeration can be performed by placing weights on the powder and monitoring tendency for agglomeration with time. This would simulate condition where the powder is compacted at the bottom of a drum
</t>
    </r>
    <r>
      <rPr>
        <u/>
        <sz val="10"/>
        <rFont val="Arial"/>
        <family val="2"/>
      </rPr>
      <t xml:space="preserve">Available Equipment:
</t>
    </r>
    <r>
      <rPr>
        <sz val="10"/>
        <rFont val="Arial"/>
        <family val="2"/>
      </rPr>
      <t xml:space="preserve">
Malvern Particle Size Analyzer: Measures particle size distributions accurately, providing data essential for optimizing flow properties, mixing, and dissolution rates.
FEG-SM: Field-emission gun - scanning electron microscopy for morphology
Malvern Morphology 4 - Image analysis to provide and morphology and particle size estimation from images
Zeiss Axioscope5 Microscope: Offers high-resolution imaging to analyze crystal morphology and particle size distribution visually.
Particle Vision Analyzer: In-house MATLAB-based watershed algorithm to compute the particle size distribution from microscope / SEM / PVM images
BET: Measure specific surface areas that can provide an indication of agglomeration. 
By integrating the Malvern Particle Size Analyzer into your toolkit, you enhance your ability to comprehensively evaluate and optimize the solid-state properties of your drug substances, supporting robust formulation and manufacturing processes.
</t>
    </r>
  </si>
  <si>
    <t>Pfizer Project Lead will author a TTP document to support API manufacture with the developed process at our manufacturing location of choice. This manufacturing location may be sited with the Workflow 4 vendor, within Pfizer's internal manufacturing facilities, or at a third party CDMO. Vendor will be asked to contribute data and review the document.</t>
  </si>
  <si>
    <t>Our Approach to Process Development and Optimization:
Solvent Screening and Solubility Studies: We perform comprehensive solvent screening to determine the most suitable solvents and anti-solvents for crystallization. This involves generating solubility data, which is crucial for achieving optimal crystallization conditions and desired solid form
Preliminary Crystallization Experiments: We design and execute crystallization experiments to achieve the desired solid form, particle size distribution (PSD). Based not he metastable zone width, we can employ seeding strategies to achieve the desired powder properties. 
Process Optimization Using DoE/QbD Approach: We employ a Design of Experiments (DoE) and Quality by Design (QbD) approach for process optimization. 
Pilot Scale Batch Demonstration: We conduct pilot-scale batch experiments to demonstrate process robustness. This step ensures that the process performs consistently and meets quality standards at a larger scale. Mixing correlations and computational fluid mechanics will be used to estimate mixing conditions at scale to achieve the target particle size.
Available Equipment:
Jacketed Glass Reactors from Radleys and Chemglass: Equipped with heating/cooling units from Huber and Lauda and overhead stirrers from Heidolph, these reactors provide precise control over reaction conditions, supporting detailed process evaluations.
In Situ Analytical Tools: FBRM, PVM, and ReactIR from Mettler Toledo (iControl software), along with RAMAN Rxn2 from Kaiser, enable real-time monitoring and analysis of crystallization processes, providing critical insights into reaction dynamics.
CryPRINS: Optimization of crystallization processes using this software developed by Professor Zoltan Nagy at Purdue University
Dosing Units: Systems from Knauer, Teledyne, MasterFlex, and Vapourtec SF10 offer precise control over reagent addition, essential for maintaining consistent reaction conditions.
Crystalline System from Technobis: Used for solubility profiling and Metastable Zone Width (MSZW) determination, aiding in the optimization of crystallization processes.
IKA Wet Mill Magic Lab: Allows for controlled seed generation, in situ PSD tuning, and particle refinement, enabling precise control over particle characteristics.</t>
  </si>
  <si>
    <r>
      <t xml:space="preserve">Our Approach to Solubility Data Generation:
Solubility Data Generation: We conduct detailed solubility studies in relevant solvent systems, evaluating how solubility varies with temperature and different solvent compositions. We also utilize predictive tools to estimate solubility in mixtures of solvents based on preliminary solubility data. These predictions can then be used to direct experimentation to specific mixtures of solvents. 
</t>
    </r>
    <r>
      <rPr>
        <u/>
        <sz val="10"/>
        <rFont val="Arial"/>
        <family val="2"/>
      </rPr>
      <t xml:space="preserve">Available Equipment:
</t>
    </r>
    <r>
      <rPr>
        <sz val="10"/>
        <rFont val="Arial"/>
        <family val="2"/>
      </rPr>
      <t xml:space="preserve">
Radley Mya4 Process Station: This station offers precise control over reaction conditions, allowing for accurate solubility studies and the evaluation of various solvent systems.
Polar Bear Heating and Cooling Unit: Provides efficient temperature control, essential for conducting solubility studies across a range of temperatures.
Zinsser Analytic HTS System: Facilitates equilibration studies in multiple solvent systems and temperatures utilized well-places with precise temperature control from Huber. .
Crystalline™ System from Technobis: Used for detailed solubility profiling at a range of temperatures and establishing the meta-stable zone width. 
Dynochem: for solubility prediction in mixtures of solvents
By utilizing these advanced tools, you ensure comprehensive solubility data generation, supporting effective process optimization and solid form selection.
</t>
    </r>
  </si>
  <si>
    <t xml:space="preserve">Our Approach to Process Optimization Using DoE:
Application of Design of Experiments (DoE): We employ DoE methodologies for both screening and optimization studies. By systematically varying experimental parameters, we identify key factors affecting the process and optimize these conditions to enhance performance. Our designs typically include replicates to ensure reliability and robustness of the results.
Software Available:
Design Expert and MiniTab Software's: These softwares are used to design, analyze, and interpret DoE studies. It helps us efficiently explore the experimental space and optimize processes based on data-driven insights.
</t>
  </si>
  <si>
    <t>With the current understanding of the scope we don't anticipate any activity to be outsourced. However if any specific/special requirement during the program, it will be communicated to Pfizer from the process perspective. However as the few of the analytical tests will be outsourced specifically for the characterization of the product / impurities. Specifically 2D NMR, nitrite content, LCMS, QNMR, HRMS/MSMS.</t>
  </si>
  <si>
    <t>As it was responded for the previous questions, Aurigene has a dedicated Guideline Document for handling of high potent compounds. This document defines all the recommended handling procedures, personal protective equipment by considering several aspects of the product such as OEL value, scale of operation, nature of the operation etc. Aurigene has a dedicated laboratories which are access controlled and entry for authorized personnel who underwent the necessary training program. Similarly, periodic training programs are scheduled for the awareness of the guidelines</t>
  </si>
  <si>
    <r>
      <t xml:space="preserve">Our team published an article for a continuous process titled "Continuous Crystallization of Atorvastatin Calcium at a Mult tonnage Scale Using Dynamically Mixed Flow Reactors for Target Polymorph Control" in one of the ACS publications namely </t>
    </r>
    <r>
      <rPr>
        <b/>
        <sz val="10"/>
        <color theme="1"/>
        <rFont val="Arial"/>
        <family val="2"/>
      </rPr>
      <t>Organic Process Research &amp; Development</t>
    </r>
    <r>
      <rPr>
        <sz val="10"/>
        <color theme="1"/>
        <rFont val="Arial"/>
        <family val="2"/>
      </rPr>
      <t xml:space="preserve"> and accessible at https://pubs.acs.org/doi/10.1021/acs.oprd.4c00478 </t>
    </r>
  </si>
  <si>
    <t>With the current understanding of the scope we don't anticipate any activity to be outsourced. However if any specific/special requirement during the program, it will be communicated to Pfizer</t>
  </si>
  <si>
    <t xml:space="preserve">Our Approach to Proof-of-Concept Scale-Down Experiments:
Execution of Scale-Down Experiments: In our laboratory, we conduct scale-down experiments in custom-designed reactors for geometric similarity, with mixing to closely emulate plant-scale conditions. This approach allows us to test and refine processes at a smaller scale while ensuring that the results are indicative of larger-scale operations.
Objective of Scale-Down Experiments: The primary objective is to recreate comparable mixing intensities and reaction dynamics experienced at the plant scale. By ensuring that laboratory data is both predictive and scalable, we can make informed decisions on process optimization and scale-up strategies.
Simulation Tools Available:
MixIT from Tridiagonal Solutions: This tool assists in analyzing and optimizing mixing patterns, helping to ensure that the mixing dynamics at the lab scale accurately reflect those at the plant scale.
Dynochem from Scale-up Systems: Dynochem provides simulation capabilities for understanding mass and heat transfer in chemical processes.
Chemglass and Radley jacketed cylindrical reactors: Can be equipped with choice of impellers and baffles to ensure geometric similarity to plant reactors. 
</t>
  </si>
  <si>
    <r>
      <t>Pfizer defines highly potent compounds by Occupational Exposer Band 5 (OEB 5, &lt; 1</t>
    </r>
    <r>
      <rPr>
        <sz val="10"/>
        <rFont val="Aptos Narrow"/>
        <family val="2"/>
      </rPr>
      <t>µ</t>
    </r>
    <r>
      <rPr>
        <sz val="10"/>
        <rFont val="Arial"/>
        <family val="2"/>
      </rPr>
      <t>g/m</t>
    </r>
    <r>
      <rPr>
        <vertAlign val="superscript"/>
        <sz val="10"/>
        <rFont val="Arial"/>
        <family val="2"/>
      </rPr>
      <t>3</t>
    </r>
    <r>
      <rPr>
        <sz val="10"/>
        <rFont val="Arial"/>
        <family val="2"/>
      </rPr>
      <t>). Please comment on engineering controls (isolators, fume hoods, etc.), as well as training, procedures, personal protective equipment (PPE) to ensure safety when handling these type of materials.
DL/payloads can have OELs down to 50 ng/m3. Detail the actual allowable OEL value (lowest) that can be run in the facility. 
For engineering controls (i.e. isolators), it would be good to get copies of surrogate testing to prove the lowest level OEL they are able to control to.</t>
    </r>
  </si>
  <si>
    <t>we have handled payloads for ADCs with OELs as low as 26ng/m3. We use a Permissible Exposure Limit (PHC) with an Exposure Control Limit (ECL) of 15ng/m3 - our isolator is manufactured by Extract Technologies. Whilst these do not have a specific rating, they are HEPA filtered and designed for this purpose. Hence we can handle Drug Linker with OEL value up to 15 ng/m3.</t>
  </si>
  <si>
    <t>Pfizer will supply a chemical structure of the targeted compound, as well as a prioritized list of potential routes/reaction conditions to evaluate; Vendor is invited to add new ideas to this list at project start and throughout development phase.</t>
  </si>
  <si>
    <t>Characterization includes MS, HRMS, MS/MS, 2DNMR, etc., and could include structural elucidation of impurities in sample.</t>
  </si>
  <si>
    <t>Assess reaction outcomes from experiments using appropriate chromatography methods (e.g. LC, GC, SFC) using conventional/contemporary detector types (e.g. UV, FID, CAD (for non-chromophoric compounds) at a high thoughput.</t>
  </si>
  <si>
    <t>Noted, Aurigene will maintain transparent and active communication by regular giving update on the project via technical reports/presentations and will take suggestions from Pfizer team lead and plan activity as per mutual agreement.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</si>
</sst>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7" formatCode="&quot;$&quot;#,##0.00_);\(&quot;$&quot;#,##0.00\)"/>
    <numFmt numFmtId="164" formatCode="_-&quot;£&quot;* #,##0.00_-;\-&quot;£&quot;* #,##0.00_-;_-&quot;£&quot;* &quot;-&quot;??_-;_-@_-"/>
    <numFmt numFmtId="165" formatCode="[$$-409]#,##0"/>
    <numFmt numFmtId="166" formatCode="_([$$-409]* #,##0.00_);_([$$-409]* \(#,##0.00\);_([$$-409]* &quot;-&quot;??_);_(@_)"/>
    <numFmt numFmtId="167" formatCode="0.0%"/>
  </numFmts>
  <fonts count="61" x14ac:knownFonts="1">
    <font>
      <sz val="11"/>
      <color theme="1"/>
      <name val="Calibri"/>
      <family val="2"/>
      <scheme val="minor"/>
    </font>
    <font>
      <sz val="11"/>
      <color theme="1"/>
      <name val="Calibri"/>
      <family val="2"/>
      <scheme val="minor"/>
    </font>
    <font>
      <sz val="10"/>
      <name val="Arial"/>
      <family val="2"/>
    </font>
    <font>
      <b/>
      <sz val="10"/>
      <name val="Arial"/>
      <family val="2"/>
    </font>
    <font>
      <sz val="10"/>
      <color theme="1"/>
      <name val="Arial"/>
      <family val="2"/>
    </font>
    <font>
      <sz val="9"/>
      <name val="Arial"/>
      <family val="2"/>
    </font>
    <font>
      <b/>
      <sz val="16"/>
      <name val="Arial"/>
      <family val="2"/>
    </font>
    <font>
      <sz val="16"/>
      <name val="Arial"/>
      <family val="2"/>
    </font>
    <font>
      <b/>
      <sz val="14"/>
      <color rgb="FF0000FF"/>
      <name val="Arial"/>
      <family val="2"/>
    </font>
    <font>
      <sz val="14"/>
      <color rgb="FF0000FF"/>
      <name val="Arial"/>
      <family val="2"/>
    </font>
    <font>
      <b/>
      <sz val="9"/>
      <name val="Arial"/>
      <family val="2"/>
    </font>
    <font>
      <b/>
      <sz val="12"/>
      <name val="Arial"/>
      <family val="2"/>
    </font>
    <font>
      <b/>
      <sz val="9"/>
      <name val="Times New Roman"/>
      <family val="1"/>
    </font>
    <font>
      <b/>
      <sz val="10"/>
      <color rgb="FF0000FF"/>
      <name val="Arial"/>
      <family val="2"/>
    </font>
    <font>
      <b/>
      <sz val="8"/>
      <name val="Arial"/>
      <family val="2"/>
    </font>
    <font>
      <b/>
      <sz val="10"/>
      <color theme="1"/>
      <name val="Arial"/>
      <family val="2"/>
    </font>
    <font>
      <b/>
      <u/>
      <sz val="10"/>
      <name val="Arial"/>
      <family val="2"/>
    </font>
    <font>
      <b/>
      <u/>
      <sz val="9"/>
      <name val="Arial"/>
      <family val="2"/>
    </font>
    <font>
      <b/>
      <sz val="10"/>
      <color theme="1"/>
      <name val="Times New Roman"/>
      <family val="1"/>
    </font>
    <font>
      <b/>
      <sz val="11"/>
      <color rgb="FFFF0000"/>
      <name val="Calibri"/>
      <family val="2"/>
      <scheme val="minor"/>
    </font>
    <font>
      <b/>
      <sz val="11"/>
      <color theme="1"/>
      <name val="Calibri"/>
      <family val="2"/>
      <scheme val="minor"/>
    </font>
    <font>
      <b/>
      <sz val="10"/>
      <color rgb="FFFF0000"/>
      <name val="Arial"/>
      <family val="2"/>
    </font>
    <font>
      <sz val="9"/>
      <color theme="1"/>
      <name val="Arial"/>
      <family val="2"/>
    </font>
    <font>
      <sz val="12"/>
      <color theme="0" tint="-0.499984740745262"/>
      <name val="Arial"/>
      <family val="2"/>
    </font>
    <font>
      <b/>
      <sz val="11"/>
      <color rgb="FF000000"/>
      <name val="Calibri"/>
      <family val="2"/>
    </font>
    <font>
      <sz val="11"/>
      <color rgb="FF000000"/>
      <name val="Calibri"/>
      <family val="2"/>
    </font>
    <font>
      <b/>
      <sz val="14"/>
      <color rgb="FF000000"/>
      <name val="Calibri"/>
      <family val="2"/>
      <scheme val="minor"/>
    </font>
    <font>
      <sz val="12"/>
      <color theme="1"/>
      <name val="Calibri"/>
      <family val="2"/>
      <scheme val="minor"/>
    </font>
    <font>
      <sz val="12"/>
      <name val="Arial"/>
      <family val="2"/>
    </font>
    <font>
      <b/>
      <u/>
      <sz val="12"/>
      <name val="Arial"/>
      <family val="2"/>
    </font>
    <font>
      <sz val="12"/>
      <color rgb="FFFF0000"/>
      <name val="Arial"/>
      <family val="2"/>
    </font>
    <font>
      <b/>
      <sz val="12"/>
      <color rgb="FF000000"/>
      <name val="Calibri"/>
      <family val="2"/>
      <scheme val="minor"/>
    </font>
    <font>
      <sz val="12"/>
      <color rgb="FF000000"/>
      <name val="Arial"/>
      <family val="2"/>
    </font>
    <font>
      <b/>
      <sz val="12"/>
      <color rgb="FF000000"/>
      <name val="Arial"/>
      <family val="2"/>
    </font>
    <font>
      <sz val="12"/>
      <color theme="1"/>
      <name val="Arial"/>
      <family val="2"/>
    </font>
    <font>
      <b/>
      <sz val="12"/>
      <color rgb="FFFF0000"/>
      <name val="Calibri"/>
      <family val="2"/>
      <scheme val="minor"/>
    </font>
    <font>
      <b/>
      <sz val="12"/>
      <color theme="0" tint="-0.499984740745262"/>
      <name val="Arial"/>
      <family val="2"/>
    </font>
    <font>
      <b/>
      <sz val="12"/>
      <color theme="1"/>
      <name val="Aptos"/>
      <family val="2"/>
    </font>
    <font>
      <sz val="12"/>
      <color indexed="9"/>
      <name val="Arial"/>
      <family val="2"/>
    </font>
    <font>
      <sz val="11"/>
      <color rgb="FFFF0000"/>
      <name val="Calibri"/>
      <family val="2"/>
      <scheme val="minor"/>
    </font>
    <font>
      <u/>
      <sz val="11"/>
      <color theme="10"/>
      <name val="Calibri"/>
      <family val="2"/>
      <scheme val="minor"/>
    </font>
    <font>
      <sz val="10"/>
      <color rgb="FF000000"/>
      <name val="Arial"/>
      <family val="2"/>
    </font>
    <font>
      <b/>
      <sz val="10"/>
      <color rgb="FF000000"/>
      <name val="Arial"/>
      <family val="2"/>
    </font>
    <font>
      <sz val="10"/>
      <name val="Aptos Narrow"/>
      <family val="2"/>
    </font>
    <font>
      <vertAlign val="superscript"/>
      <sz val="10"/>
      <name val="Arial"/>
      <family val="2"/>
    </font>
    <font>
      <sz val="10"/>
      <color rgb="FF000000"/>
      <name val="Calibri"/>
      <family val="2"/>
    </font>
    <font>
      <sz val="9"/>
      <color rgb="FF000000"/>
      <name val="Arial"/>
      <family val="2"/>
    </font>
    <font>
      <sz val="12"/>
      <color theme="1"/>
      <name val="Times New Roman"/>
      <family val="1"/>
    </font>
    <font>
      <sz val="11"/>
      <color theme="1"/>
      <name val="Aptos"/>
      <family val="2"/>
    </font>
    <font>
      <sz val="16"/>
      <color rgb="FFFF0000"/>
      <name val="Arial"/>
      <family val="2"/>
    </font>
    <font>
      <b/>
      <sz val="16"/>
      <color theme="1"/>
      <name val="Calibri"/>
      <family val="2"/>
      <scheme val="minor"/>
    </font>
    <font>
      <b/>
      <sz val="9"/>
      <color rgb="FFFF0000"/>
      <name val="Arial"/>
      <family val="2"/>
    </font>
    <font>
      <sz val="11"/>
      <name val="Aptos"/>
      <family val="2"/>
    </font>
    <font>
      <sz val="8"/>
      <name val="Calibri"/>
      <family val="2"/>
      <scheme val="minor"/>
    </font>
    <font>
      <sz val="10"/>
      <color theme="1"/>
      <name val="Calibri"/>
      <family val="2"/>
      <scheme val="minor"/>
    </font>
    <font>
      <sz val="10"/>
      <color rgb="FF000000"/>
      <name val="Arial"/>
    </font>
    <font>
      <b/>
      <sz val="10"/>
      <color rgb="FF000000"/>
      <name val="Arial"/>
    </font>
    <font>
      <sz val="10"/>
      <color theme="1"/>
      <name val="Arial"/>
    </font>
    <font>
      <u/>
      <sz val="10"/>
      <color rgb="FF000000"/>
      <name val="Arial"/>
      <family val="2"/>
    </font>
    <font>
      <u/>
      <sz val="10"/>
      <name val="Arial"/>
      <family val="2"/>
    </font>
    <font>
      <sz val="8"/>
      <name val="Arial"/>
      <family val="2"/>
    </font>
  </fonts>
  <fills count="15">
    <fill>
      <patternFill patternType="none"/>
    </fill>
    <fill>
      <patternFill patternType="gray125"/>
    </fill>
    <fill>
      <patternFill patternType="solid">
        <fgColor indexed="8"/>
        <bgColor indexed="64"/>
      </patternFill>
    </fill>
    <fill>
      <patternFill patternType="solid">
        <fgColor theme="1"/>
        <bgColor indexed="64"/>
      </patternFill>
    </fill>
    <fill>
      <patternFill patternType="solid">
        <fgColor indexed="44"/>
        <bgColor indexed="64"/>
      </patternFill>
    </fill>
    <fill>
      <patternFill patternType="solid">
        <fgColor indexed="9"/>
        <bgColor indexed="64"/>
      </patternFill>
    </fill>
    <fill>
      <patternFill patternType="solid">
        <fgColor rgb="FFFFFF99"/>
        <bgColor indexed="64"/>
      </patternFill>
    </fill>
    <fill>
      <patternFill patternType="solid">
        <fgColor theme="0"/>
        <bgColor indexed="64"/>
      </patternFill>
    </fill>
    <fill>
      <patternFill patternType="solid">
        <fgColor indexed="4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9" tint="0.79998168889431442"/>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rgb="FFFFFF99"/>
        <bgColor rgb="FF000000"/>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right/>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164" fontId="1" fillId="0" borderId="0" applyFont="0" applyFill="0" applyBorder="0" applyAlignment="0" applyProtection="0"/>
    <xf numFmtId="0" fontId="40" fillId="0" borderId="0" applyNumberFormat="0" applyFill="0" applyBorder="0" applyAlignment="0" applyProtection="0"/>
  </cellStyleXfs>
  <cellXfs count="276">
    <xf numFmtId="0" fontId="0" fillId="0" borderId="0" xfId="0"/>
    <xf numFmtId="0" fontId="0" fillId="2" borderId="0" xfId="0" applyFill="1" applyAlignment="1" applyProtection="1">
      <alignment vertical="center"/>
      <protection hidden="1"/>
    </xf>
    <xf numFmtId="0" fontId="0" fillId="3" borderId="0" xfId="0" applyFill="1" applyAlignment="1">
      <alignment vertical="center"/>
    </xf>
    <xf numFmtId="0" fontId="5" fillId="4" borderId="0" xfId="0" applyFont="1" applyFill="1" applyAlignment="1" applyProtection="1">
      <alignment horizontal="center" vertical="center"/>
      <protection hidden="1"/>
    </xf>
    <xf numFmtId="0" fontId="7" fillId="5" borderId="0" xfId="0" applyFont="1" applyFill="1" applyAlignment="1" applyProtection="1">
      <alignment horizontal="center" vertical="center"/>
      <protection hidden="1"/>
    </xf>
    <xf numFmtId="0" fontId="9" fillId="5" borderId="0" xfId="0" applyFont="1" applyFill="1" applyAlignment="1" applyProtection="1">
      <alignment horizontal="center" vertical="center"/>
      <protection hidden="1"/>
    </xf>
    <xf numFmtId="0" fontId="2" fillId="5" borderId="0" xfId="0" applyFont="1" applyFill="1" applyAlignment="1" applyProtection="1">
      <alignment horizontal="center" vertical="center"/>
      <protection hidden="1"/>
    </xf>
    <xf numFmtId="0" fontId="5" fillId="5" borderId="0" xfId="0" applyFont="1" applyFill="1" applyAlignment="1" applyProtection="1">
      <alignment horizontal="center" vertical="center"/>
      <protection hidden="1"/>
    </xf>
    <xf numFmtId="0" fontId="10" fillId="5" borderId="0" xfId="0" applyFont="1" applyFill="1" applyAlignment="1" applyProtection="1">
      <alignment horizontal="center" vertical="center"/>
      <protection hidden="1"/>
    </xf>
    <xf numFmtId="0" fontId="5" fillId="5" borderId="0" xfId="0" applyFont="1" applyFill="1" applyAlignment="1" applyProtection="1">
      <alignment vertical="center"/>
      <protection hidden="1"/>
    </xf>
    <xf numFmtId="0" fontId="10" fillId="5" borderId="0" xfId="0" applyFont="1" applyFill="1" applyAlignment="1" applyProtection="1">
      <alignment vertical="center"/>
      <protection hidden="1"/>
    </xf>
    <xf numFmtId="0" fontId="13" fillId="0" borderId="1" xfId="0" applyFont="1" applyBorder="1" applyAlignment="1">
      <alignment horizontal="center" vertical="center" wrapText="1"/>
    </xf>
    <xf numFmtId="0" fontId="14" fillId="5" borderId="1" xfId="0" applyFont="1" applyFill="1" applyBorder="1" applyAlignment="1" applyProtection="1">
      <alignment horizontal="right" vertical="center"/>
      <protection hidden="1"/>
    </xf>
    <xf numFmtId="0" fontId="14" fillId="5" borderId="1" xfId="0" applyFont="1" applyFill="1" applyBorder="1" applyAlignment="1" applyProtection="1">
      <alignment horizontal="right" vertical="center" wrapText="1"/>
      <protection hidden="1"/>
    </xf>
    <xf numFmtId="0" fontId="5" fillId="6" borderId="1" xfId="0" applyFont="1" applyFill="1" applyBorder="1" applyAlignment="1">
      <alignment horizontal="left" vertical="center" wrapText="1"/>
    </xf>
    <xf numFmtId="0" fontId="5" fillId="6" borderId="1" xfId="0" applyFont="1" applyFill="1" applyBorder="1" applyAlignment="1">
      <alignment horizontal="left" vertical="top" wrapText="1"/>
    </xf>
    <xf numFmtId="0" fontId="10" fillId="5" borderId="0" xfId="0" applyFont="1" applyFill="1" applyAlignment="1" applyProtection="1">
      <alignment horizontal="right" vertical="center" wrapText="1"/>
      <protection hidden="1"/>
    </xf>
    <xf numFmtId="3" fontId="10" fillId="5" borderId="0" xfId="1" applyNumberFormat="1" applyFont="1" applyFill="1" applyBorder="1" applyAlignment="1" applyProtection="1">
      <alignment horizontal="center" vertical="center" wrapText="1"/>
      <protection hidden="1"/>
    </xf>
    <xf numFmtId="3" fontId="15" fillId="5" borderId="0" xfId="1" applyNumberFormat="1" applyFont="1" applyFill="1" applyBorder="1" applyAlignment="1" applyProtection="1">
      <alignment horizontal="center" vertical="center" wrapText="1"/>
      <protection hidden="1"/>
    </xf>
    <xf numFmtId="0" fontId="4" fillId="3" borderId="0" xfId="0" applyFont="1" applyFill="1" applyAlignment="1">
      <alignment vertical="center"/>
    </xf>
    <xf numFmtId="0" fontId="4" fillId="3" borderId="0" xfId="0" applyFont="1" applyFill="1" applyAlignment="1">
      <alignment horizontal="center" vertical="center"/>
    </xf>
    <xf numFmtId="9" fontId="4" fillId="3" borderId="0" xfId="0" applyNumberFormat="1" applyFont="1" applyFill="1" applyAlignment="1">
      <alignment vertical="center"/>
    </xf>
    <xf numFmtId="9" fontId="0" fillId="3" borderId="0" xfId="0" applyNumberFormat="1" applyFill="1" applyAlignment="1">
      <alignment vertical="center"/>
    </xf>
    <xf numFmtId="7" fontId="5" fillId="3" borderId="3" xfId="1" applyNumberFormat="1" applyFont="1" applyFill="1" applyBorder="1" applyAlignment="1" applyProtection="1">
      <alignment horizontal="center" vertical="center"/>
      <protection locked="0"/>
    </xf>
    <xf numFmtId="0" fontId="11" fillId="4" borderId="0" xfId="0" applyFont="1" applyFill="1" applyAlignment="1" applyProtection="1">
      <alignment horizontal="left" vertical="center" wrapText="1"/>
      <protection hidden="1"/>
    </xf>
    <xf numFmtId="0" fontId="10" fillId="5" borderId="4" xfId="0" applyFont="1" applyFill="1" applyBorder="1" applyAlignment="1" applyProtection="1">
      <alignment horizontal="left" vertical="center"/>
      <protection hidden="1"/>
    </xf>
    <xf numFmtId="0" fontId="12" fillId="5" borderId="1" xfId="0" applyFont="1" applyFill="1" applyBorder="1" applyAlignment="1" applyProtection="1">
      <alignment horizontal="left" vertical="center" wrapText="1"/>
      <protection hidden="1"/>
    </xf>
    <xf numFmtId="0" fontId="0" fillId="3" borderId="0" xfId="0" applyFill="1" applyAlignment="1" applyProtection="1">
      <alignment vertical="center"/>
      <protection hidden="1"/>
    </xf>
    <xf numFmtId="0" fontId="0" fillId="7" borderId="0" xfId="0" applyFill="1" applyAlignment="1">
      <alignment vertical="center"/>
    </xf>
    <xf numFmtId="0" fontId="11" fillId="4" borderId="0" xfId="0" applyFont="1" applyFill="1" applyAlignment="1" applyProtection="1">
      <alignment horizontal="left" vertical="center"/>
      <protection hidden="1"/>
    </xf>
    <xf numFmtId="0" fontId="5" fillId="3" borderId="0" xfId="0" applyFont="1" applyFill="1" applyAlignment="1" applyProtection="1">
      <alignment horizontal="center" vertical="center"/>
      <protection hidden="1"/>
    </xf>
    <xf numFmtId="0" fontId="7" fillId="3" borderId="0" xfId="0" applyFont="1" applyFill="1" applyAlignment="1" applyProtection="1">
      <alignment horizontal="center" vertical="center"/>
      <protection hidden="1"/>
    </xf>
    <xf numFmtId="0" fontId="9" fillId="3" borderId="0" xfId="0" applyFont="1" applyFill="1" applyAlignment="1" applyProtection="1">
      <alignment horizontal="center" vertical="center"/>
      <protection hidden="1"/>
    </xf>
    <xf numFmtId="0" fontId="2" fillId="3" borderId="0" xfId="0" applyFont="1" applyFill="1" applyAlignment="1" applyProtection="1">
      <alignment horizontal="center" vertical="center"/>
      <protection hidden="1"/>
    </xf>
    <xf numFmtId="0" fontId="10" fillId="3" borderId="0" xfId="0" applyFont="1" applyFill="1" applyAlignment="1" applyProtection="1">
      <alignment horizontal="center" vertical="center"/>
      <protection hidden="1"/>
    </xf>
    <xf numFmtId="0" fontId="5" fillId="3" borderId="0" xfId="0" applyFont="1" applyFill="1" applyAlignment="1" applyProtection="1">
      <alignment vertical="center"/>
      <protection hidden="1"/>
    </xf>
    <xf numFmtId="0" fontId="11" fillId="3" borderId="0" xfId="0" applyFont="1" applyFill="1" applyAlignment="1" applyProtection="1">
      <alignment horizontal="left" vertical="center" wrapText="1"/>
      <protection hidden="1"/>
    </xf>
    <xf numFmtId="0" fontId="5" fillId="5" borderId="0" xfId="0" applyFont="1" applyFill="1" applyAlignment="1">
      <alignment vertical="center" wrapText="1"/>
    </xf>
    <xf numFmtId="0" fontId="0" fillId="2" borderId="0" xfId="0" applyFill="1" applyAlignment="1">
      <alignment vertical="center"/>
    </xf>
    <xf numFmtId="0" fontId="5" fillId="2" borderId="0" xfId="0" applyFont="1" applyFill="1" applyAlignment="1" applyProtection="1">
      <alignment vertical="center"/>
      <protection hidden="1"/>
    </xf>
    <xf numFmtId="0" fontId="5" fillId="2" borderId="0" xfId="0" applyFont="1" applyFill="1" applyAlignment="1">
      <alignment vertical="center"/>
    </xf>
    <xf numFmtId="0" fontId="5" fillId="7" borderId="0" xfId="0" applyFont="1" applyFill="1" applyAlignment="1">
      <alignment vertical="center" wrapText="1"/>
    </xf>
    <xf numFmtId="0" fontId="5" fillId="7" borderId="0" xfId="0" applyFont="1" applyFill="1" applyAlignment="1">
      <alignment vertical="center"/>
    </xf>
    <xf numFmtId="0" fontId="5" fillId="3" borderId="0" xfId="0" applyFont="1" applyFill="1" applyAlignment="1">
      <alignment vertical="center" wrapText="1"/>
    </xf>
    <xf numFmtId="0" fontId="0" fillId="7" borderId="0" xfId="0" applyFill="1"/>
    <xf numFmtId="0" fontId="0" fillId="3" borderId="0" xfId="0" applyFill="1"/>
    <xf numFmtId="0" fontId="0" fillId="0" borderId="0" xfId="0" applyAlignment="1">
      <alignment horizontal="center" vertical="center"/>
    </xf>
    <xf numFmtId="0" fontId="20" fillId="0" borderId="2" xfId="0" applyFont="1" applyBorder="1" applyAlignment="1">
      <alignment horizontal="left" vertical="center"/>
    </xf>
    <xf numFmtId="0" fontId="20" fillId="0" borderId="1" xfId="0" applyFont="1" applyBorder="1" applyAlignment="1">
      <alignment horizontal="center" vertical="center"/>
    </xf>
    <xf numFmtId="0" fontId="18" fillId="7" borderId="1" xfId="0" applyFont="1" applyFill="1" applyBorder="1" applyAlignment="1">
      <alignment horizontal="center" vertical="center"/>
    </xf>
    <xf numFmtId="0" fontId="22" fillId="0" borderId="1" xfId="0" applyFont="1" applyBorder="1" applyAlignment="1">
      <alignment horizontal="left" vertical="center" wrapText="1"/>
    </xf>
    <xf numFmtId="0" fontId="22" fillId="6" borderId="1" xfId="0" applyFont="1" applyFill="1" applyBorder="1" applyAlignment="1">
      <alignment horizontal="left" vertical="top" wrapText="1"/>
    </xf>
    <xf numFmtId="0" fontId="0" fillId="2" borderId="0" xfId="0" applyFill="1" applyAlignment="1" applyProtection="1">
      <alignment horizontal="center"/>
      <protection hidden="1"/>
    </xf>
    <xf numFmtId="0" fontId="0" fillId="3" borderId="0" xfId="0" applyFill="1" applyAlignment="1">
      <alignment horizontal="center"/>
    </xf>
    <xf numFmtId="0" fontId="5" fillId="7" borderId="0" xfId="0" applyFont="1" applyFill="1" applyAlignment="1" applyProtection="1">
      <alignment vertical="center"/>
      <protection hidden="1"/>
    </xf>
    <xf numFmtId="0" fontId="20" fillId="0" borderId="0" xfId="0" applyFont="1"/>
    <xf numFmtId="0" fontId="20" fillId="7" borderId="0" xfId="0" applyFont="1" applyFill="1"/>
    <xf numFmtId="0" fontId="20" fillId="7" borderId="1" xfId="0" applyFont="1" applyFill="1" applyBorder="1"/>
    <xf numFmtId="17" fontId="0" fillId="7" borderId="1" xfId="0" applyNumberFormat="1" applyFill="1" applyBorder="1" applyAlignment="1">
      <alignment horizontal="center" vertical="center"/>
    </xf>
    <xf numFmtId="0" fontId="0" fillId="7" borderId="1" xfId="0" applyFill="1" applyBorder="1"/>
    <xf numFmtId="0" fontId="20" fillId="0" borderId="1" xfId="0" applyFont="1" applyBorder="1"/>
    <xf numFmtId="0" fontId="5" fillId="7" borderId="1" xfId="0" applyFont="1" applyFill="1" applyBorder="1" applyAlignment="1" applyProtection="1">
      <alignment vertical="center"/>
      <protection hidden="1"/>
    </xf>
    <xf numFmtId="0" fontId="0" fillId="0" borderId="1" xfId="0" applyBorder="1"/>
    <xf numFmtId="166" fontId="23" fillId="7" borderId="1" xfId="0" applyNumberFormat="1" applyFont="1" applyFill="1" applyBorder="1" applyAlignment="1" applyProtection="1">
      <alignment horizontal="center" vertical="center" wrapText="1"/>
      <protection hidden="1"/>
    </xf>
    <xf numFmtId="0" fontId="11" fillId="7" borderId="1" xfId="0" applyFont="1" applyFill="1" applyBorder="1" applyAlignment="1" applyProtection="1">
      <alignment horizontal="left" vertical="center" wrapText="1"/>
      <protection hidden="1"/>
    </xf>
    <xf numFmtId="166" fontId="23" fillId="7" borderId="0" xfId="0" applyNumberFormat="1" applyFont="1" applyFill="1" applyAlignment="1" applyProtection="1">
      <alignment horizontal="center" vertical="center" wrapText="1"/>
      <protection hidden="1"/>
    </xf>
    <xf numFmtId="0" fontId="11" fillId="7" borderId="0" xfId="0" applyFont="1" applyFill="1" applyAlignment="1" applyProtection="1">
      <alignment horizontal="left" vertical="center" wrapText="1"/>
      <protection hidden="1"/>
    </xf>
    <xf numFmtId="0" fontId="26" fillId="9" borderId="1" xfId="0" applyFont="1" applyFill="1" applyBorder="1" applyAlignment="1">
      <alignment horizontal="center" vertical="center" wrapText="1"/>
    </xf>
    <xf numFmtId="0" fontId="27" fillId="3" borderId="0" xfId="0" applyFont="1" applyFill="1" applyAlignment="1" applyProtection="1">
      <alignment vertical="center"/>
      <protection hidden="1"/>
    </xf>
    <xf numFmtId="0" fontId="28" fillId="5" borderId="0" xfId="0" applyFont="1" applyFill="1" applyAlignment="1" applyProtection="1">
      <alignment vertical="center"/>
      <protection hidden="1"/>
    </xf>
    <xf numFmtId="0" fontId="27" fillId="2" borderId="0" xfId="0" applyFont="1" applyFill="1" applyAlignment="1">
      <alignment vertical="center"/>
    </xf>
    <xf numFmtId="0" fontId="29" fillId="5" borderId="0" xfId="0" applyFont="1" applyFill="1" applyAlignment="1">
      <alignment vertical="center"/>
    </xf>
    <xf numFmtId="0" fontId="28" fillId="5" borderId="0" xfId="0" applyFont="1" applyFill="1" applyAlignment="1">
      <alignment vertical="center"/>
    </xf>
    <xf numFmtId="0" fontId="28" fillId="5" borderId="0" xfId="0" quotePrefix="1" applyFont="1" applyFill="1" applyAlignment="1">
      <alignment horizontal="left" vertical="center" wrapText="1"/>
    </xf>
    <xf numFmtId="0" fontId="28" fillId="5" borderId="0" xfId="0" quotePrefix="1" applyFont="1" applyFill="1" applyAlignment="1">
      <alignment horizontal="left" vertical="center"/>
    </xf>
    <xf numFmtId="0" fontId="11" fillId="4" borderId="0" xfId="0" applyFont="1" applyFill="1" applyAlignment="1">
      <alignment horizontal="left" vertical="center" wrapText="1"/>
    </xf>
    <xf numFmtId="0" fontId="28" fillId="4" borderId="0" xfId="0" applyFont="1" applyFill="1" applyAlignment="1">
      <alignment horizontal="center" vertical="center"/>
    </xf>
    <xf numFmtId="0" fontId="28" fillId="7" borderId="0" xfId="0" applyFont="1" applyFill="1" applyAlignment="1">
      <alignment horizontal="left" vertical="top" wrapText="1"/>
    </xf>
    <xf numFmtId="0" fontId="31" fillId="9" borderId="1" xfId="0" applyFont="1" applyFill="1" applyBorder="1" applyAlignment="1">
      <alignment horizontal="center" vertical="center" wrapText="1"/>
    </xf>
    <xf numFmtId="0" fontId="28" fillId="5" borderId="0" xfId="0" applyFont="1" applyFill="1" applyAlignment="1">
      <alignment vertical="center" wrapText="1"/>
    </xf>
    <xf numFmtId="165" fontId="28" fillId="5" borderId="0" xfId="0" applyNumberFormat="1" applyFont="1" applyFill="1" applyAlignment="1">
      <alignment horizontal="left" vertical="center" wrapText="1"/>
    </xf>
    <xf numFmtId="0" fontId="28" fillId="7" borderId="0" xfId="0" applyFont="1" applyFill="1" applyAlignment="1">
      <alignment vertical="center" wrapText="1"/>
    </xf>
    <xf numFmtId="0" fontId="27" fillId="7" borderId="0" xfId="0" applyFont="1" applyFill="1" applyAlignment="1">
      <alignment vertical="center"/>
    </xf>
    <xf numFmtId="0" fontId="11" fillId="0" borderId="1" xfId="0" applyFont="1" applyBorder="1" applyAlignment="1">
      <alignment horizontal="left" vertical="center" wrapText="1"/>
    </xf>
    <xf numFmtId="2" fontId="32" fillId="10" borderId="1" xfId="0" applyNumberFormat="1" applyFont="1" applyFill="1" applyBorder="1" applyAlignment="1">
      <alignment horizontal="center" vertical="center" wrapText="1"/>
    </xf>
    <xf numFmtId="0" fontId="31" fillId="10" borderId="1" xfId="0" applyFont="1" applyFill="1" applyBorder="1" applyAlignment="1">
      <alignment vertical="center" wrapText="1"/>
    </xf>
    <xf numFmtId="0" fontId="33" fillId="0" borderId="1" xfId="0" applyFont="1" applyBorder="1" applyAlignment="1">
      <alignment horizontal="left" vertical="center" wrapText="1"/>
    </xf>
    <xf numFmtId="166" fontId="34" fillId="10" borderId="5" xfId="1" applyNumberFormat="1" applyFont="1" applyFill="1" applyBorder="1" applyAlignment="1">
      <alignment horizontal="center" vertical="center" wrapText="1"/>
    </xf>
    <xf numFmtId="0" fontId="35" fillId="10" borderId="1" xfId="0" applyFont="1" applyFill="1" applyBorder="1"/>
    <xf numFmtId="0" fontId="33" fillId="0" borderId="0" xfId="0" applyFont="1" applyAlignment="1">
      <alignment horizontal="left" vertical="center" wrapText="1"/>
    </xf>
    <xf numFmtId="0" fontId="36" fillId="7" borderId="10" xfId="0" applyFont="1" applyFill="1" applyBorder="1" applyAlignment="1" applyProtection="1">
      <alignment horizontal="left" vertical="center"/>
      <protection hidden="1"/>
    </xf>
    <xf numFmtId="0" fontId="36" fillId="7" borderId="0" xfId="0" applyFont="1" applyFill="1" applyAlignment="1" applyProtection="1">
      <alignment horizontal="left" vertical="center"/>
      <protection hidden="1"/>
    </xf>
    <xf numFmtId="1" fontId="28" fillId="5" borderId="0" xfId="0" applyNumberFormat="1" applyFont="1" applyFill="1" applyAlignment="1">
      <alignment horizontal="center" vertical="center"/>
    </xf>
    <xf numFmtId="3" fontId="27" fillId="5" borderId="0" xfId="0" applyNumberFormat="1" applyFont="1" applyFill="1" applyAlignment="1">
      <alignment horizontal="center" vertical="center"/>
    </xf>
    <xf numFmtId="165" fontId="28" fillId="5" borderId="0" xfId="0" applyNumberFormat="1" applyFont="1" applyFill="1" applyAlignment="1">
      <alignment horizontal="center" vertical="center" wrapText="1"/>
    </xf>
    <xf numFmtId="0" fontId="11" fillId="4" borderId="0" xfId="0" applyFont="1" applyFill="1" applyAlignment="1" applyProtection="1">
      <alignment vertical="center"/>
      <protection hidden="1"/>
    </xf>
    <xf numFmtId="0" fontId="11" fillId="4" borderId="0" xfId="0" applyFont="1" applyFill="1" applyAlignment="1" applyProtection="1">
      <alignment vertical="center" wrapText="1"/>
      <protection hidden="1"/>
    </xf>
    <xf numFmtId="0" fontId="28" fillId="2" borderId="0" xfId="0" applyFont="1" applyFill="1" applyAlignment="1" applyProtection="1">
      <alignment vertical="center"/>
      <protection hidden="1"/>
    </xf>
    <xf numFmtId="0" fontId="28" fillId="5" borderId="0" xfId="0" applyFont="1" applyFill="1" applyAlignment="1" applyProtection="1">
      <alignment horizontal="center" vertical="center"/>
      <protection hidden="1"/>
    </xf>
    <xf numFmtId="0" fontId="37" fillId="0" borderId="0" xfId="0" applyFont="1" applyAlignment="1">
      <alignment horizontal="left" vertical="center" indent="1"/>
    </xf>
    <xf numFmtId="0" fontId="28" fillId="5" borderId="0" xfId="1" applyNumberFormat="1" applyFont="1" applyFill="1" applyBorder="1" applyAlignment="1" applyProtection="1">
      <alignment horizontal="right" vertical="center"/>
      <protection hidden="1"/>
    </xf>
    <xf numFmtId="0" fontId="11" fillId="5" borderId="0" xfId="1" applyNumberFormat="1" applyFont="1" applyFill="1" applyBorder="1" applyAlignment="1" applyProtection="1">
      <alignment horizontal="center" vertical="center"/>
      <protection hidden="1"/>
    </xf>
    <xf numFmtId="0" fontId="27" fillId="2" borderId="0" xfId="0" applyFont="1" applyFill="1" applyAlignment="1" applyProtection="1">
      <alignment vertical="center"/>
      <protection hidden="1"/>
    </xf>
    <xf numFmtId="0" fontId="28" fillId="2" borderId="0" xfId="0" applyFont="1" applyFill="1" applyAlignment="1">
      <alignment vertical="center"/>
    </xf>
    <xf numFmtId="0" fontId="38" fillId="2" borderId="0" xfId="0" applyFont="1" applyFill="1" applyAlignment="1">
      <alignment vertical="center"/>
    </xf>
    <xf numFmtId="0" fontId="0" fillId="0" borderId="1" xfId="0" applyBorder="1" applyAlignment="1">
      <alignment horizontal="center"/>
    </xf>
    <xf numFmtId="0" fontId="41" fillId="0" borderId="1" xfId="0" applyFont="1" applyBorder="1" applyAlignment="1">
      <alignment horizontal="center" vertical="center" wrapText="1" readingOrder="1"/>
    </xf>
    <xf numFmtId="0" fontId="41" fillId="0" borderId="5" xfId="0" applyFont="1" applyBorder="1" applyAlignment="1">
      <alignment horizontal="center" vertical="top" wrapText="1" readingOrder="1"/>
    </xf>
    <xf numFmtId="0" fontId="4" fillId="6" borderId="1" xfId="0" applyFont="1" applyFill="1" applyBorder="1" applyAlignment="1">
      <alignment horizontal="center" vertical="center"/>
    </xf>
    <xf numFmtId="0" fontId="4" fillId="6" borderId="1" xfId="0" applyFont="1" applyFill="1" applyBorder="1" applyAlignment="1">
      <alignment horizontal="center" vertical="top" wrapText="1"/>
    </xf>
    <xf numFmtId="0" fontId="41" fillId="0" borderId="2" xfId="0" applyFont="1" applyBorder="1" applyAlignment="1">
      <alignment horizontal="center" vertical="center" wrapText="1" readingOrder="1"/>
    </xf>
    <xf numFmtId="0" fontId="40" fillId="0" borderId="2" xfId="2" applyBorder="1" applyAlignment="1">
      <alignment horizontal="center" vertical="center" wrapText="1" readingOrder="1"/>
    </xf>
    <xf numFmtId="0" fontId="41" fillId="0" borderId="14" xfId="0" applyFont="1" applyBorder="1" applyAlignment="1">
      <alignment horizontal="center" vertical="center" wrapText="1" readingOrder="1"/>
    </xf>
    <xf numFmtId="0" fontId="41" fillId="0" borderId="1" xfId="0" applyFont="1" applyBorder="1" applyAlignment="1">
      <alignment horizontal="left" vertical="center" wrapText="1" readingOrder="1"/>
    </xf>
    <xf numFmtId="0" fontId="41" fillId="0" borderId="2" xfId="0" applyFont="1" applyBorder="1" applyAlignment="1">
      <alignment horizontal="left" vertical="center" wrapText="1" readingOrder="1"/>
    </xf>
    <xf numFmtId="0" fontId="4" fillId="6" borderId="1" xfId="0" applyFont="1" applyFill="1" applyBorder="1" applyAlignment="1">
      <alignment horizontal="left" vertical="top" wrapText="1"/>
    </xf>
    <xf numFmtId="0" fontId="41" fillId="0" borderId="14" xfId="0" applyFont="1" applyBorder="1" applyAlignment="1">
      <alignment vertical="top" wrapText="1" readingOrder="1"/>
    </xf>
    <xf numFmtId="0" fontId="41" fillId="0" borderId="5" xfId="0" applyFont="1" applyBorder="1" applyAlignment="1">
      <alignment horizontal="left" vertical="center" wrapText="1" readingOrder="1"/>
    </xf>
    <xf numFmtId="0" fontId="41" fillId="0" borderId="16" xfId="0" applyFont="1" applyBorder="1" applyAlignment="1">
      <alignment horizontal="left" vertical="center" wrapText="1" readingOrder="1"/>
    </xf>
    <xf numFmtId="0" fontId="41" fillId="0" borderId="7" xfId="0" applyFont="1" applyBorder="1" applyAlignment="1">
      <alignment horizontal="left" vertical="center" wrapText="1" readingOrder="1"/>
    </xf>
    <xf numFmtId="0" fontId="41" fillId="0" borderId="16" xfId="0" applyFont="1" applyBorder="1" applyAlignment="1">
      <alignment vertical="center"/>
    </xf>
    <xf numFmtId="0" fontId="41" fillId="0" borderId="16" xfId="0" applyFont="1" applyBorder="1" applyAlignment="1">
      <alignment horizontal="left" vertical="center"/>
    </xf>
    <xf numFmtId="0" fontId="41" fillId="0" borderId="15" xfId="0" applyFont="1" applyBorder="1" applyAlignment="1">
      <alignment horizontal="left" vertical="center" wrapText="1" readingOrder="1"/>
    </xf>
    <xf numFmtId="0" fontId="41" fillId="0" borderId="14" xfId="0" applyFont="1" applyBorder="1" applyAlignment="1">
      <alignment horizontal="left" vertical="center" wrapText="1" readingOrder="1"/>
    </xf>
    <xf numFmtId="0" fontId="2" fillId="0" borderId="1" xfId="0" applyFont="1" applyBorder="1" applyAlignment="1">
      <alignment horizontal="left" wrapText="1" readingOrder="1"/>
    </xf>
    <xf numFmtId="0" fontId="2" fillId="0" borderId="5" xfId="0" applyFont="1" applyBorder="1" applyAlignment="1">
      <alignment horizontal="left" wrapText="1" readingOrder="1"/>
    </xf>
    <xf numFmtId="0" fontId="41" fillId="0" borderId="5" xfId="0" applyFont="1" applyBorder="1" applyAlignment="1">
      <alignment vertical="top" wrapText="1" readingOrder="1"/>
    </xf>
    <xf numFmtId="0" fontId="0" fillId="0" borderId="0" xfId="0" applyAlignment="1">
      <alignment wrapText="1"/>
    </xf>
    <xf numFmtId="0" fontId="0" fillId="0" borderId="5" xfId="0" applyBorder="1"/>
    <xf numFmtId="0" fontId="4" fillId="6" borderId="5" xfId="0" applyFont="1" applyFill="1" applyBorder="1" applyAlignment="1">
      <alignment horizontal="center" vertical="center"/>
    </xf>
    <xf numFmtId="0" fontId="0" fillId="0" borderId="0" xfId="0" applyAlignment="1">
      <alignment horizontal="center"/>
    </xf>
    <xf numFmtId="0" fontId="10" fillId="5" borderId="0" xfId="0" applyFont="1" applyFill="1" applyAlignment="1" applyProtection="1">
      <alignment horizontal="center"/>
      <protection hidden="1"/>
    </xf>
    <xf numFmtId="0" fontId="10" fillId="7" borderId="0" xfId="0" applyFont="1" applyFill="1" applyAlignment="1" applyProtection="1">
      <alignment horizontal="center"/>
      <protection hidden="1"/>
    </xf>
    <xf numFmtId="0" fontId="47" fillId="0" borderId="8" xfId="0" applyFont="1" applyBorder="1" applyAlignment="1">
      <alignment horizontal="center" vertical="top" wrapText="1"/>
    </xf>
    <xf numFmtId="0" fontId="0" fillId="0" borderId="0" xfId="0" applyAlignment="1">
      <alignment vertical="center"/>
    </xf>
    <xf numFmtId="0" fontId="0" fillId="0" borderId="1" xfId="0" applyBorder="1" applyAlignment="1">
      <alignment horizontal="center" vertical="center"/>
    </xf>
    <xf numFmtId="0" fontId="41" fillId="0" borderId="5" xfId="0" applyFont="1" applyBorder="1" applyAlignment="1">
      <alignment horizontal="center" vertical="center" wrapText="1" readingOrder="1"/>
    </xf>
    <xf numFmtId="0" fontId="0" fillId="0" borderId="0" xfId="0" applyAlignment="1">
      <alignment horizontal="center" vertical="center" wrapText="1"/>
    </xf>
    <xf numFmtId="0" fontId="4" fillId="6" borderId="1" xfId="0" applyFont="1" applyFill="1" applyBorder="1" applyAlignment="1">
      <alignment horizontal="center" vertical="center" wrapText="1"/>
    </xf>
    <xf numFmtId="0" fontId="40" fillId="0" borderId="0" xfId="2" applyAlignment="1">
      <alignment horizontal="center" vertical="center" wrapText="1"/>
    </xf>
    <xf numFmtId="3" fontId="10" fillId="7" borderId="0" xfId="1" applyNumberFormat="1" applyFont="1" applyFill="1" applyBorder="1" applyAlignment="1" applyProtection="1">
      <alignment horizontal="center" vertical="center" wrapText="1"/>
      <protection hidden="1"/>
    </xf>
    <xf numFmtId="0" fontId="21" fillId="3" borderId="0" xfId="0" applyFont="1" applyFill="1" applyAlignment="1">
      <alignment horizontal="left" vertical="top"/>
    </xf>
    <xf numFmtId="0" fontId="21" fillId="7" borderId="0" xfId="0" applyFont="1" applyFill="1" applyAlignment="1">
      <alignment horizontal="left" vertical="top"/>
    </xf>
    <xf numFmtId="0" fontId="0" fillId="7" borderId="0" xfId="0" applyFill="1" applyAlignment="1">
      <alignment wrapText="1"/>
    </xf>
    <xf numFmtId="0" fontId="0" fillId="3" borderId="0" xfId="0" applyFill="1" applyAlignment="1">
      <alignment wrapText="1"/>
    </xf>
    <xf numFmtId="0" fontId="39" fillId="3" borderId="0" xfId="0" applyFont="1" applyFill="1"/>
    <xf numFmtId="0" fontId="0" fillId="7" borderId="0" xfId="0" applyFill="1" applyAlignment="1">
      <alignment horizontal="center"/>
    </xf>
    <xf numFmtId="0" fontId="20" fillId="3" borderId="0" xfId="0" applyFont="1" applyFill="1"/>
    <xf numFmtId="0" fontId="20" fillId="3" borderId="0" xfId="0" applyFont="1" applyFill="1" applyAlignment="1">
      <alignment wrapText="1"/>
    </xf>
    <xf numFmtId="0" fontId="3" fillId="5" borderId="0" xfId="0" applyFont="1" applyFill="1" applyAlignment="1" applyProtection="1">
      <alignment vertical="center" wrapText="1"/>
      <protection hidden="1"/>
    </xf>
    <xf numFmtId="0" fontId="15" fillId="5" borderId="0" xfId="0" applyFont="1" applyFill="1" applyAlignment="1" applyProtection="1">
      <alignment vertical="center" wrapText="1"/>
      <protection hidden="1"/>
    </xf>
    <xf numFmtId="0" fontId="49" fillId="5" borderId="0" xfId="0" applyFont="1" applyFill="1" applyAlignment="1" applyProtection="1">
      <alignment vertical="center"/>
      <protection hidden="1"/>
    </xf>
    <xf numFmtId="0" fontId="3" fillId="7" borderId="0" xfId="0" applyFont="1" applyFill="1" applyAlignment="1" applyProtection="1">
      <alignment vertical="center" wrapText="1"/>
      <protection hidden="1"/>
    </xf>
    <xf numFmtId="0" fontId="0" fillId="7" borderId="0" xfId="0" applyFill="1" applyAlignment="1">
      <alignment horizontal="center" vertical="center"/>
    </xf>
    <xf numFmtId="0" fontId="48" fillId="7" borderId="0" xfId="0" applyFont="1" applyFill="1" applyAlignment="1">
      <alignment wrapText="1"/>
    </xf>
    <xf numFmtId="0" fontId="20" fillId="7" borderId="0" xfId="0" applyFont="1" applyFill="1" applyAlignment="1">
      <alignment wrapText="1"/>
    </xf>
    <xf numFmtId="0" fontId="25" fillId="7" borderId="8" xfId="0" applyFont="1" applyFill="1" applyBorder="1" applyAlignment="1">
      <alignment horizontal="center" vertical="center"/>
    </xf>
    <xf numFmtId="0" fontId="25" fillId="7" borderId="9" xfId="0" applyFont="1" applyFill="1" applyBorder="1" applyAlignment="1">
      <alignment horizontal="center" vertical="center"/>
    </xf>
    <xf numFmtId="0" fontId="25" fillId="7" borderId="13" xfId="0" applyFont="1" applyFill="1" applyBorder="1" applyAlignment="1">
      <alignment horizontal="center" vertical="center"/>
    </xf>
    <xf numFmtId="0" fontId="4" fillId="7" borderId="8" xfId="0" applyFont="1" applyFill="1" applyBorder="1" applyAlignment="1">
      <alignment horizontal="center" vertical="center"/>
    </xf>
    <xf numFmtId="0" fontId="25" fillId="7" borderId="8" xfId="0" applyFont="1" applyFill="1" applyBorder="1" applyAlignment="1">
      <alignment vertical="center"/>
    </xf>
    <xf numFmtId="10" fontId="4" fillId="7" borderId="8" xfId="0" applyNumberFormat="1" applyFont="1" applyFill="1" applyBorder="1" applyAlignment="1">
      <alignment horizontal="center" vertical="center"/>
    </xf>
    <xf numFmtId="2" fontId="25" fillId="7" borderId="9" xfId="0" applyNumberFormat="1" applyFont="1" applyFill="1" applyBorder="1" applyAlignment="1">
      <alignment horizontal="center" vertical="center"/>
    </xf>
    <xf numFmtId="0" fontId="25" fillId="7" borderId="9" xfId="0" applyFont="1" applyFill="1" applyBorder="1" applyAlignment="1">
      <alignment vertical="center"/>
    </xf>
    <xf numFmtId="0" fontId="20" fillId="12" borderId="0" xfId="0" applyFont="1" applyFill="1"/>
    <xf numFmtId="0" fontId="20" fillId="12" borderId="0" xfId="0" applyFont="1" applyFill="1" applyAlignment="1">
      <alignment wrapText="1"/>
    </xf>
    <xf numFmtId="0" fontId="0" fillId="12" borderId="0" xfId="0" applyFill="1"/>
    <xf numFmtId="0" fontId="39" fillId="0" borderId="0" xfId="0" applyFont="1"/>
    <xf numFmtId="0" fontId="39" fillId="7" borderId="0" xfId="0" applyFont="1" applyFill="1" applyAlignment="1">
      <alignment wrapText="1"/>
    </xf>
    <xf numFmtId="0" fontId="51" fillId="5" borderId="0" xfId="0" applyFont="1" applyFill="1" applyAlignment="1" applyProtection="1">
      <alignment vertical="center"/>
      <protection hidden="1"/>
    </xf>
    <xf numFmtId="0" fontId="50" fillId="3" borderId="0" xfId="0" applyFont="1" applyFill="1"/>
    <xf numFmtId="0" fontId="9" fillId="3" borderId="0" xfId="0" applyFont="1" applyFill="1" applyAlignment="1" applyProtection="1">
      <alignment vertical="center"/>
      <protection hidden="1"/>
    </xf>
    <xf numFmtId="0" fontId="2" fillId="3" borderId="0" xfId="0" applyFont="1" applyFill="1" applyAlignment="1" applyProtection="1">
      <alignment vertical="center"/>
      <protection hidden="1"/>
    </xf>
    <xf numFmtId="0" fontId="3" fillId="3" borderId="0" xfId="0" applyFont="1" applyFill="1" applyAlignment="1" applyProtection="1">
      <alignment vertical="center"/>
      <protection hidden="1"/>
    </xf>
    <xf numFmtId="0" fontId="0" fillId="0" borderId="0" xfId="0" applyAlignment="1">
      <alignment horizontal="left"/>
    </xf>
    <xf numFmtId="0" fontId="41" fillId="0" borderId="1" xfId="0" applyFont="1" applyBorder="1" applyAlignment="1">
      <alignment vertical="top" wrapText="1" readingOrder="1"/>
    </xf>
    <xf numFmtId="0" fontId="0" fillId="0" borderId="1" xfId="0" applyBorder="1" applyAlignment="1">
      <alignment wrapText="1"/>
    </xf>
    <xf numFmtId="0" fontId="0" fillId="3" borderId="0" xfId="0" applyFill="1" applyAlignment="1">
      <alignment horizontal="left"/>
    </xf>
    <xf numFmtId="0" fontId="0" fillId="7" borderId="0" xfId="0" applyFill="1" applyAlignment="1">
      <alignment horizontal="left"/>
    </xf>
    <xf numFmtId="0" fontId="0" fillId="0" borderId="1" xfId="0" applyBorder="1" applyAlignment="1">
      <alignment horizontal="left"/>
    </xf>
    <xf numFmtId="0" fontId="4" fillId="7" borderId="0" xfId="0" applyFont="1" applyFill="1" applyAlignment="1">
      <alignment vertical="center"/>
    </xf>
    <xf numFmtId="0" fontId="0" fillId="7" borderId="0" xfId="0" applyFill="1" applyAlignment="1" applyProtection="1">
      <alignment vertical="center"/>
      <protection hidden="1"/>
    </xf>
    <xf numFmtId="0" fontId="52" fillId="7" borderId="0" xfId="0" applyFont="1" applyFill="1" applyAlignment="1">
      <alignment wrapText="1"/>
    </xf>
    <xf numFmtId="0" fontId="52" fillId="7" borderId="0" xfId="0" applyFont="1" applyFill="1" applyAlignment="1">
      <alignment vertical="center" wrapText="1"/>
    </xf>
    <xf numFmtId="0" fontId="48" fillId="7" borderId="0" xfId="0" applyFont="1" applyFill="1" applyAlignment="1">
      <alignment vertical="center" wrapText="1"/>
    </xf>
    <xf numFmtId="0" fontId="54" fillId="5" borderId="0" xfId="0" applyFont="1" applyFill="1" applyAlignment="1" applyProtection="1">
      <alignment vertical="center"/>
      <protection hidden="1"/>
    </xf>
    <xf numFmtId="0" fontId="54" fillId="7" borderId="0" xfId="0" applyFont="1" applyFill="1"/>
    <xf numFmtId="0" fontId="21" fillId="7" borderId="0" xfId="0" applyFont="1" applyFill="1"/>
    <xf numFmtId="0" fontId="41" fillId="0" borderId="0" xfId="0" applyFont="1" applyAlignment="1">
      <alignment horizontal="left" vertical="center" wrapText="1" readingOrder="1"/>
    </xf>
    <xf numFmtId="0" fontId="41" fillId="7" borderId="0" xfId="0" applyFont="1" applyFill="1" applyAlignment="1">
      <alignment horizontal="left" vertical="center" wrapText="1" readingOrder="1"/>
    </xf>
    <xf numFmtId="0" fontId="41" fillId="7" borderId="0" xfId="0" applyFont="1" applyFill="1" applyAlignment="1">
      <alignment vertical="top" wrapText="1" readingOrder="1"/>
    </xf>
    <xf numFmtId="0" fontId="4" fillId="7" borderId="0" xfId="0" applyFont="1" applyFill="1" applyAlignment="1">
      <alignment horizontal="center" vertical="center"/>
    </xf>
    <xf numFmtId="0" fontId="4" fillId="7" borderId="0" xfId="0" applyFont="1" applyFill="1" applyAlignment="1">
      <alignment horizontal="left" vertical="top" wrapText="1"/>
    </xf>
    <xf numFmtId="0" fontId="10" fillId="5" borderId="0" xfId="0" applyFont="1" applyFill="1" applyProtection="1">
      <protection hidden="1"/>
    </xf>
    <xf numFmtId="0" fontId="3" fillId="5" borderId="0" xfId="0" applyFont="1" applyFill="1" applyProtection="1">
      <protection hidden="1"/>
    </xf>
    <xf numFmtId="0" fontId="8" fillId="5" borderId="0" xfId="0" applyFont="1" applyFill="1" applyProtection="1">
      <protection hidden="1"/>
    </xf>
    <xf numFmtId="0" fontId="6" fillId="5" borderId="0" xfId="0" applyFont="1" applyFill="1" applyProtection="1">
      <protection hidden="1"/>
    </xf>
    <xf numFmtId="0" fontId="17" fillId="5" borderId="0" xfId="0" applyFont="1" applyFill="1" applyAlignment="1" applyProtection="1">
      <alignment horizontal="left" vertical="center"/>
      <protection hidden="1"/>
    </xf>
    <xf numFmtId="0" fontId="40" fillId="6" borderId="1" xfId="2" applyFill="1" applyBorder="1" applyAlignment="1">
      <alignment horizontal="left" vertical="center" wrapText="1"/>
    </xf>
    <xf numFmtId="0" fontId="5" fillId="6" borderId="1" xfId="0" quotePrefix="1" applyFont="1" applyFill="1" applyBorder="1" applyAlignment="1">
      <alignment horizontal="left" vertical="center" wrapText="1"/>
    </xf>
    <xf numFmtId="0" fontId="4" fillId="6" borderId="1" xfId="0" applyFont="1" applyFill="1" applyBorder="1" applyAlignment="1">
      <alignment horizontal="left" vertical="center" wrapText="1"/>
    </xf>
    <xf numFmtId="0" fontId="4" fillId="6" borderId="1" xfId="0" applyFont="1" applyFill="1" applyBorder="1" applyAlignment="1">
      <alignment vertical="center" wrapText="1"/>
    </xf>
    <xf numFmtId="0" fontId="41" fillId="6" borderId="1" xfId="0" applyFont="1" applyFill="1" applyBorder="1" applyAlignment="1">
      <alignment horizontal="left" vertical="top" wrapText="1"/>
    </xf>
    <xf numFmtId="0" fontId="57" fillId="6" borderId="1" xfId="0" applyFont="1" applyFill="1" applyBorder="1" applyAlignment="1">
      <alignment horizontal="left" vertical="top" wrapText="1"/>
    </xf>
    <xf numFmtId="0" fontId="2" fillId="14" borderId="16" xfId="0" applyFont="1" applyFill="1" applyBorder="1" applyAlignment="1">
      <alignment wrapText="1"/>
    </xf>
    <xf numFmtId="0" fontId="2" fillId="6" borderId="2" xfId="0" applyFont="1" applyFill="1" applyBorder="1" applyAlignment="1">
      <alignment horizontal="left" vertical="top" wrapText="1"/>
    </xf>
    <xf numFmtId="0" fontId="41" fillId="6" borderId="2" xfId="0" applyFont="1" applyFill="1" applyBorder="1" applyAlignment="1">
      <alignment horizontal="left" vertical="top" wrapText="1"/>
    </xf>
    <xf numFmtId="0" fontId="41" fillId="6" borderId="2" xfId="0" applyFont="1" applyFill="1" applyBorder="1" applyAlignment="1">
      <alignment horizontal="left" vertical="center" wrapText="1" readingOrder="1"/>
    </xf>
    <xf numFmtId="0" fontId="2" fillId="6" borderId="1" xfId="0" applyFont="1" applyFill="1" applyBorder="1" applyAlignment="1">
      <alignment horizontal="left" vertical="top" wrapText="1"/>
    </xf>
    <xf numFmtId="167" fontId="0" fillId="0" borderId="1" xfId="0" applyNumberFormat="1" applyBorder="1" applyAlignment="1">
      <alignment horizontal="center" vertical="center"/>
    </xf>
    <xf numFmtId="0" fontId="2" fillId="14" borderId="3" xfId="0" applyFont="1" applyFill="1" applyBorder="1" applyAlignment="1">
      <alignment wrapText="1"/>
    </xf>
    <xf numFmtId="0" fontId="4" fillId="6" borderId="0" xfId="0" applyFont="1" applyFill="1" applyAlignment="1">
      <alignment horizontal="left" vertical="top" wrapText="1"/>
    </xf>
    <xf numFmtId="0" fontId="41" fillId="14" borderId="0" xfId="0" applyFont="1" applyFill="1" applyAlignment="1">
      <alignment wrapText="1"/>
    </xf>
    <xf numFmtId="0" fontId="2" fillId="6" borderId="2" xfId="0" applyFont="1" applyFill="1" applyBorder="1" applyAlignment="1">
      <alignment horizontal="left" vertical="center" wrapText="1" readingOrder="1"/>
    </xf>
    <xf numFmtId="0" fontId="41" fillId="6" borderId="16" xfId="0" applyFont="1" applyFill="1" applyBorder="1" applyAlignment="1">
      <alignment horizontal="left" vertical="top" wrapText="1"/>
    </xf>
    <xf numFmtId="0" fontId="4" fillId="6" borderId="16" xfId="0" applyFont="1" applyFill="1" applyBorder="1" applyAlignment="1">
      <alignment horizontal="left" vertical="top" wrapText="1"/>
    </xf>
    <xf numFmtId="0" fontId="41" fillId="6" borderId="16" xfId="0" applyFont="1" applyFill="1" applyBorder="1" applyAlignment="1">
      <alignment vertical="top" wrapText="1"/>
    </xf>
    <xf numFmtId="0" fontId="21" fillId="5" borderId="0" xfId="0" applyFont="1" applyFill="1" applyAlignment="1" applyProtection="1">
      <alignment horizontal="center" vertical="center" wrapText="1"/>
      <protection hidden="1"/>
    </xf>
    <xf numFmtId="0" fontId="15" fillId="5" borderId="0" xfId="0" applyFont="1" applyFill="1" applyAlignment="1" applyProtection="1">
      <alignment horizontal="center" vertical="center" wrapText="1"/>
      <protection hidden="1"/>
    </xf>
    <xf numFmtId="0" fontId="21" fillId="5" borderId="0" xfId="0" applyFont="1" applyFill="1" applyAlignment="1" applyProtection="1">
      <alignment vertical="center" wrapText="1"/>
      <protection hidden="1"/>
    </xf>
    <xf numFmtId="0" fontId="3" fillId="5" borderId="0" xfId="0" applyFont="1" applyFill="1" applyAlignment="1" applyProtection="1">
      <alignment vertical="center" wrapText="1"/>
      <protection hidden="1"/>
    </xf>
    <xf numFmtId="0" fontId="3" fillId="8" borderId="2" xfId="0" applyFont="1" applyFill="1" applyBorder="1" applyAlignment="1" applyProtection="1">
      <alignment horizontal="left" vertical="center" wrapText="1"/>
      <protection hidden="1"/>
    </xf>
    <xf numFmtId="0" fontId="3" fillId="8" borderId="1" xfId="0" applyFont="1" applyFill="1" applyBorder="1" applyAlignment="1" applyProtection="1">
      <alignment horizontal="left" vertical="center" wrapText="1"/>
      <protection hidden="1"/>
    </xf>
    <xf numFmtId="0" fontId="6" fillId="5" borderId="0" xfId="0" applyFont="1" applyFill="1" applyAlignment="1" applyProtection="1">
      <alignment horizontal="center" vertical="center"/>
      <protection hidden="1"/>
    </xf>
    <xf numFmtId="0" fontId="8" fillId="5" borderId="0" xfId="0" applyFont="1" applyFill="1" applyAlignment="1" applyProtection="1">
      <alignment horizontal="center" vertical="center"/>
      <protection hidden="1"/>
    </xf>
    <xf numFmtId="0" fontId="3" fillId="5" borderId="0" xfId="0" applyFont="1" applyFill="1" applyAlignment="1" applyProtection="1">
      <alignment horizontal="center" vertical="center"/>
      <protection hidden="1"/>
    </xf>
    <xf numFmtId="0" fontId="10" fillId="5" borderId="0" xfId="0" applyFont="1" applyFill="1" applyAlignment="1" applyProtection="1">
      <alignment horizontal="center" vertical="center"/>
      <protection hidden="1"/>
    </xf>
    <xf numFmtId="0" fontId="11" fillId="4" borderId="0" xfId="0" applyFont="1" applyFill="1" applyAlignment="1" applyProtection="1">
      <alignment horizontal="left" vertical="center" wrapText="1"/>
      <protection hidden="1"/>
    </xf>
    <xf numFmtId="0" fontId="15" fillId="5" borderId="0" xfId="0" applyFont="1" applyFill="1" applyAlignment="1" applyProtection="1">
      <alignment vertical="center" wrapText="1"/>
      <protection hidden="1"/>
    </xf>
    <xf numFmtId="0" fontId="15" fillId="7" borderId="0" xfId="0" applyFont="1" applyFill="1" applyAlignment="1" applyProtection="1">
      <alignment vertical="center" wrapText="1"/>
      <protection hidden="1"/>
    </xf>
    <xf numFmtId="0" fontId="3" fillId="5" borderId="0" xfId="0" applyFont="1" applyFill="1" applyAlignment="1" applyProtection="1">
      <alignment horizontal="left" vertical="center" wrapText="1"/>
      <protection hidden="1"/>
    </xf>
    <xf numFmtId="0" fontId="11" fillId="4" borderId="0" xfId="0" applyFont="1" applyFill="1" applyAlignment="1" applyProtection="1">
      <alignment horizontal="left" vertical="center"/>
      <protection hidden="1"/>
    </xf>
    <xf numFmtId="0" fontId="5" fillId="4" borderId="0" xfId="0" applyFont="1" applyFill="1" applyAlignment="1" applyProtection="1">
      <alignment horizontal="center" vertical="center"/>
      <protection hidden="1"/>
    </xf>
    <xf numFmtId="0" fontId="9" fillId="5" borderId="0" xfId="0" applyFont="1" applyFill="1" applyAlignment="1" applyProtection="1">
      <alignment horizontal="center" vertical="center"/>
      <protection hidden="1"/>
    </xf>
    <xf numFmtId="0" fontId="2" fillId="5" borderId="0" xfId="0" applyFont="1" applyFill="1" applyAlignment="1" applyProtection="1">
      <alignment horizontal="center" vertical="center"/>
      <protection hidden="1"/>
    </xf>
    <xf numFmtId="0" fontId="5" fillId="5" borderId="0" xfId="0" applyFont="1" applyFill="1" applyAlignment="1" applyProtection="1">
      <alignment horizontal="center" vertical="center"/>
      <protection hidden="1"/>
    </xf>
    <xf numFmtId="0" fontId="4" fillId="6" borderId="2" xfId="0" applyFont="1" applyFill="1" applyBorder="1" applyAlignment="1">
      <alignment horizontal="left" vertical="center" wrapText="1"/>
    </xf>
    <xf numFmtId="0" fontId="4" fillId="6" borderId="7" xfId="0" applyFont="1" applyFill="1" applyBorder="1" applyAlignment="1">
      <alignment horizontal="left" vertical="center" wrapText="1"/>
    </xf>
    <xf numFmtId="0" fontId="4" fillId="6" borderId="6" xfId="0" applyFont="1" applyFill="1" applyBorder="1" applyAlignment="1">
      <alignment horizontal="left" vertical="center" wrapText="1"/>
    </xf>
    <xf numFmtId="0" fontId="16" fillId="5" borderId="4" xfId="0" applyFont="1" applyFill="1" applyBorder="1" applyAlignment="1" applyProtection="1">
      <alignment horizontal="left" vertical="center" wrapText="1"/>
      <protection hidden="1"/>
    </xf>
    <xf numFmtId="0" fontId="3" fillId="11" borderId="1" xfId="0" applyFont="1" applyFill="1" applyBorder="1" applyAlignment="1">
      <alignment horizontal="center" vertical="center" wrapText="1" readingOrder="1"/>
    </xf>
    <xf numFmtId="0" fontId="6" fillId="5" borderId="0" xfId="0" applyFont="1" applyFill="1" applyAlignment="1" applyProtection="1">
      <alignment horizontal="center"/>
      <protection hidden="1"/>
    </xf>
    <xf numFmtId="0" fontId="8" fillId="5" borderId="0" xfId="0" applyFont="1" applyFill="1" applyAlignment="1" applyProtection="1">
      <alignment horizontal="center"/>
      <protection hidden="1"/>
    </xf>
    <xf numFmtId="0" fontId="3" fillId="5" borderId="0" xfId="0" applyFont="1" applyFill="1" applyAlignment="1" applyProtection="1">
      <alignment horizontal="center"/>
      <protection hidden="1"/>
    </xf>
    <xf numFmtId="0" fontId="10" fillId="5" borderId="0" xfId="0" applyFont="1" applyFill="1" applyAlignment="1" applyProtection="1">
      <alignment horizontal="center"/>
      <protection hidden="1"/>
    </xf>
    <xf numFmtId="0" fontId="4" fillId="6" borderId="2" xfId="0" applyFont="1" applyFill="1" applyBorder="1" applyAlignment="1">
      <alignment horizontal="left" vertical="top" wrapText="1"/>
    </xf>
    <xf numFmtId="0" fontId="4" fillId="6" borderId="7" xfId="0" applyFont="1" applyFill="1" applyBorder="1" applyAlignment="1">
      <alignment horizontal="left" vertical="top" wrapText="1"/>
    </xf>
    <xf numFmtId="0" fontId="4" fillId="6" borderId="6" xfId="0" applyFont="1" applyFill="1" applyBorder="1" applyAlignment="1">
      <alignment horizontal="left" vertical="top" wrapText="1"/>
    </xf>
    <xf numFmtId="0" fontId="3" fillId="11" borderId="5" xfId="0" applyFont="1" applyFill="1" applyBorder="1" applyAlignment="1">
      <alignment horizontal="center" vertical="center" wrapText="1" readingOrder="1"/>
    </xf>
    <xf numFmtId="0" fontId="3" fillId="11" borderId="15" xfId="0" applyFont="1" applyFill="1" applyBorder="1" applyAlignment="1">
      <alignment horizontal="center" vertical="center" wrapText="1" readingOrder="1"/>
    </xf>
    <xf numFmtId="0" fontId="16" fillId="5" borderId="0" xfId="0" applyFont="1" applyFill="1" applyAlignment="1" applyProtection="1">
      <alignment horizontal="left" vertical="center" wrapText="1"/>
      <protection hidden="1"/>
    </xf>
    <xf numFmtId="0" fontId="4" fillId="6" borderId="2" xfId="0" applyFont="1" applyFill="1" applyBorder="1" applyAlignment="1">
      <alignment horizontal="center" vertical="top" wrapText="1"/>
    </xf>
    <xf numFmtId="0" fontId="4" fillId="6" borderId="7" xfId="0" applyFont="1" applyFill="1" applyBorder="1" applyAlignment="1">
      <alignment horizontal="center" vertical="top" wrapText="1"/>
    </xf>
    <xf numFmtId="0" fontId="4" fillId="6" borderId="6" xfId="0" applyFont="1" applyFill="1" applyBorder="1" applyAlignment="1">
      <alignment horizontal="center" vertical="top" wrapText="1"/>
    </xf>
    <xf numFmtId="0" fontId="16" fillId="7" borderId="0" xfId="0" applyFont="1" applyFill="1" applyAlignment="1" applyProtection="1">
      <alignment horizontal="left" vertical="center" wrapText="1"/>
      <protection hidden="1"/>
    </xf>
    <xf numFmtId="0" fontId="19" fillId="0" borderId="1" xfId="0" applyFont="1" applyBorder="1" applyAlignment="1">
      <alignment horizontal="center" vertical="center" wrapText="1"/>
    </xf>
    <xf numFmtId="0" fontId="4" fillId="6" borderId="1" xfId="0" applyFont="1" applyFill="1" applyBorder="1" applyAlignment="1">
      <alignment horizontal="center" vertical="center"/>
    </xf>
    <xf numFmtId="0" fontId="4" fillId="6" borderId="1" xfId="0" applyFont="1" applyFill="1" applyBorder="1" applyAlignment="1">
      <alignment horizontal="center" vertical="top" wrapText="1"/>
    </xf>
    <xf numFmtId="0" fontId="28" fillId="7" borderId="0" xfId="0" applyFont="1" applyFill="1" applyAlignment="1">
      <alignment horizontal="left" vertical="top" wrapText="1"/>
    </xf>
    <xf numFmtId="0" fontId="28" fillId="5" borderId="0" xfId="0" quotePrefix="1" applyFont="1" applyFill="1" applyAlignment="1">
      <alignment horizontal="left" vertical="center" wrapText="1"/>
    </xf>
    <xf numFmtId="0" fontId="11" fillId="5" borderId="0" xfId="0" applyFont="1" applyFill="1" applyAlignment="1" applyProtection="1">
      <alignment horizontal="center" vertical="center"/>
      <protection hidden="1"/>
    </xf>
    <xf numFmtId="0" fontId="11" fillId="5" borderId="0" xfId="0" applyFont="1" applyFill="1" applyAlignment="1">
      <alignment horizontal="left" vertical="center" wrapText="1"/>
    </xf>
    <xf numFmtId="0" fontId="28" fillId="8" borderId="1" xfId="0" applyFont="1" applyFill="1" applyBorder="1" applyAlignment="1">
      <alignment horizontal="left" vertical="center" wrapText="1"/>
    </xf>
    <xf numFmtId="0" fontId="28" fillId="5" borderId="0" xfId="0" applyFont="1" applyFill="1" applyAlignment="1" applyProtection="1">
      <alignment horizontal="left" vertical="center" wrapText="1"/>
      <protection hidden="1"/>
    </xf>
    <xf numFmtId="0" fontId="28" fillId="8" borderId="1" xfId="0" applyFont="1" applyFill="1" applyBorder="1" applyAlignment="1">
      <alignment horizontal="left" vertical="top" wrapText="1"/>
    </xf>
    <xf numFmtId="0" fontId="52" fillId="7" borderId="0" xfId="0" applyFont="1" applyFill="1" applyAlignment="1">
      <alignment horizontal="left" vertical="center" wrapText="1"/>
    </xf>
    <xf numFmtId="0" fontId="48" fillId="7" borderId="0" xfId="0" applyFont="1" applyFill="1" applyAlignment="1">
      <alignment horizontal="left" wrapText="1"/>
    </xf>
    <xf numFmtId="0" fontId="39" fillId="7" borderId="0" xfId="0" applyFont="1" applyFill="1" applyAlignment="1">
      <alignment horizontal="left" wrapText="1"/>
    </xf>
    <xf numFmtId="0" fontId="52" fillId="7" borderId="0" xfId="0" applyFont="1" applyFill="1" applyAlignment="1">
      <alignment horizontal="left" wrapText="1"/>
    </xf>
    <xf numFmtId="0" fontId="24" fillId="7" borderId="11" xfId="0" applyFont="1" applyFill="1" applyBorder="1" applyAlignment="1">
      <alignment horizontal="center" vertical="center"/>
    </xf>
    <xf numFmtId="0" fontId="24" fillId="7" borderId="10" xfId="0" applyFont="1" applyFill="1" applyBorder="1" applyAlignment="1">
      <alignment horizontal="center" vertical="center"/>
    </xf>
    <xf numFmtId="0" fontId="24" fillId="7" borderId="12" xfId="0" applyFont="1" applyFill="1" applyBorder="1" applyAlignment="1">
      <alignment horizontal="center" vertical="center"/>
    </xf>
    <xf numFmtId="10" fontId="25" fillId="7" borderId="11" xfId="0" applyNumberFormat="1" applyFont="1" applyFill="1" applyBorder="1" applyAlignment="1">
      <alignment horizontal="center" vertical="center"/>
    </xf>
    <xf numFmtId="10" fontId="25" fillId="7" borderId="10" xfId="0" applyNumberFormat="1" applyFont="1" applyFill="1" applyBorder="1" applyAlignment="1">
      <alignment horizontal="center" vertical="center"/>
    </xf>
    <xf numFmtId="0" fontId="50" fillId="7" borderId="0" xfId="0" applyFont="1" applyFill="1" applyAlignment="1">
      <alignment horizontal="center"/>
    </xf>
    <xf numFmtId="0" fontId="10" fillId="13" borderId="1" xfId="0" applyFont="1" applyFill="1" applyBorder="1" applyAlignment="1" applyProtection="1">
      <alignment horizontal="center" vertical="center"/>
      <protection hidden="1"/>
    </xf>
  </cellXfs>
  <cellStyles count="3">
    <cellStyle name="Currency" xfId="1" builtinId="4"/>
    <cellStyle name="Hyperlink" xfId="2" builtinId="8"/>
    <cellStyle name="Normal" xfId="0" builtinId="0"/>
  </cellStyles>
  <dxfs count="0"/>
  <tableStyles count="0" defaultTableStyle="TableStyleMedium2" defaultPivotStyle="PivotStyleLight16"/>
  <colors>
    <mruColors>
      <color rgb="FF0000FF"/>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mailto:ccobley@drreddys.com" TargetMode="External"/><Relationship Id="rId7" Type="http://schemas.openxmlformats.org/officeDocument/2006/relationships/printerSettings" Target="../printerSettings/printerSettings1.bin"/><Relationship Id="rId2" Type="http://schemas.openxmlformats.org/officeDocument/2006/relationships/hyperlink" Target="mailto:rajeevrb@drreddys.com" TargetMode="External"/><Relationship Id="rId1" Type="http://schemas.openxmlformats.org/officeDocument/2006/relationships/hyperlink" Target="mailto:srividyar@aurigeneservices.com" TargetMode="External"/><Relationship Id="rId6" Type="http://schemas.openxmlformats.org/officeDocument/2006/relationships/hyperlink" Target="mailto:ccobley@drreddys.com" TargetMode="External"/><Relationship Id="rId5" Type="http://schemas.openxmlformats.org/officeDocument/2006/relationships/hyperlink" Target="mailto:rajeevrb@drreddys.com" TargetMode="External"/><Relationship Id="rId4" Type="http://schemas.openxmlformats.org/officeDocument/2006/relationships/hyperlink" Target="mailto:srividyar@aurigeneservices.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learning.acsgcipr.org/process-design/route-selection/recap-of-the-select-criteri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72F77-9D8F-42A9-9DBB-21310A140617}">
  <dimension ref="B1:L32"/>
  <sheetViews>
    <sheetView topLeftCell="A18" zoomScale="80" zoomScaleNormal="80" workbookViewId="0">
      <selection activeCell="D33" sqref="D33"/>
    </sheetView>
  </sheetViews>
  <sheetFormatPr defaultColWidth="8.7265625" defaultRowHeight="14.5" x14ac:dyDescent="0.35"/>
  <cols>
    <col min="1" max="1" width="8.7265625" style="45"/>
    <col min="2" max="2" width="3" style="45" customWidth="1"/>
    <col min="3" max="3" width="48" style="45" customWidth="1"/>
    <col min="4" max="12" width="20.453125" style="45" customWidth="1"/>
    <col min="13" max="16384" width="8.7265625" style="45"/>
  </cols>
  <sheetData>
    <row r="1" spans="2:12" s="2" customFormat="1" x14ac:dyDescent="0.35">
      <c r="B1" s="27"/>
      <c r="C1" s="1"/>
      <c r="D1" s="1"/>
      <c r="E1" s="1"/>
      <c r="F1" s="1"/>
      <c r="G1" s="1"/>
      <c r="H1" s="1"/>
      <c r="I1" s="1"/>
      <c r="J1" s="1"/>
      <c r="K1" s="1"/>
      <c r="L1" s="1"/>
    </row>
    <row r="2" spans="2:12" s="2" customFormat="1" x14ac:dyDescent="0.35">
      <c r="B2" s="3"/>
      <c r="C2" s="3"/>
      <c r="D2" s="3"/>
      <c r="E2" s="3"/>
      <c r="F2" s="3"/>
      <c r="G2" s="3"/>
      <c r="H2" s="3"/>
      <c r="I2" s="3"/>
      <c r="J2" s="3"/>
      <c r="K2" s="3"/>
      <c r="L2" s="3"/>
    </row>
    <row r="3" spans="2:12" s="2" customFormat="1" ht="20" x14ac:dyDescent="0.35">
      <c r="B3" s="181"/>
      <c r="C3" s="223" t="s">
        <v>0</v>
      </c>
      <c r="D3" s="223"/>
      <c r="E3" s="223"/>
      <c r="F3" s="223"/>
      <c r="G3" s="223"/>
      <c r="H3" s="223"/>
      <c r="I3" s="223"/>
      <c r="J3" s="223"/>
      <c r="K3" s="223"/>
      <c r="L3" s="223"/>
    </row>
    <row r="4" spans="2:12" s="2" customFormat="1" ht="18" x14ac:dyDescent="0.35">
      <c r="B4" s="181"/>
      <c r="C4" s="224" t="s">
        <v>1</v>
      </c>
      <c r="D4" s="224"/>
      <c r="E4" s="224"/>
      <c r="F4" s="224"/>
      <c r="G4" s="224"/>
      <c r="H4" s="224"/>
      <c r="I4" s="224"/>
      <c r="J4" s="224"/>
      <c r="K4" s="224"/>
      <c r="L4" s="224"/>
    </row>
    <row r="5" spans="2:12" s="2" customFormat="1" x14ac:dyDescent="0.35">
      <c r="B5" s="181"/>
      <c r="C5" s="225" t="s">
        <v>353</v>
      </c>
      <c r="D5" s="225"/>
      <c r="E5" s="225"/>
      <c r="F5" s="225"/>
      <c r="G5" s="225"/>
      <c r="H5" s="225"/>
      <c r="I5" s="225"/>
      <c r="J5" s="225"/>
      <c r="K5" s="225"/>
      <c r="L5" s="225"/>
    </row>
    <row r="6" spans="2:12" s="2" customFormat="1" x14ac:dyDescent="0.35">
      <c r="B6" s="181"/>
      <c r="C6" s="226" t="s">
        <v>2</v>
      </c>
      <c r="D6" s="226"/>
      <c r="E6" s="226"/>
      <c r="F6" s="226"/>
      <c r="G6" s="226"/>
      <c r="H6" s="226"/>
      <c r="I6" s="226"/>
      <c r="J6" s="226"/>
      <c r="K6" s="226"/>
      <c r="L6" s="226"/>
    </row>
    <row r="7" spans="2:12" s="2" customFormat="1" x14ac:dyDescent="0.35">
      <c r="B7" s="181"/>
      <c r="C7" s="226" t="s">
        <v>12</v>
      </c>
      <c r="D7" s="226"/>
      <c r="E7" s="226"/>
      <c r="F7" s="226"/>
      <c r="G7" s="226"/>
      <c r="H7" s="226"/>
      <c r="I7" s="226"/>
      <c r="J7" s="226"/>
      <c r="K7" s="226"/>
      <c r="L7" s="226"/>
    </row>
    <row r="8" spans="2:12" s="2" customFormat="1" ht="20" x14ac:dyDescent="0.35">
      <c r="B8" s="181"/>
      <c r="C8" s="9"/>
      <c r="D8" s="9"/>
      <c r="E8" s="9"/>
      <c r="F8" s="9"/>
      <c r="G8" s="151"/>
      <c r="H8" s="9"/>
      <c r="I8" s="9"/>
      <c r="J8" s="9"/>
      <c r="K8" s="9"/>
      <c r="L8" s="9"/>
    </row>
    <row r="9" spans="2:12" s="2" customFormat="1" ht="15.5" customHeight="1" x14ac:dyDescent="0.35">
      <c r="B9" s="227" t="s">
        <v>3</v>
      </c>
      <c r="C9" s="227"/>
      <c r="D9" s="227"/>
      <c r="E9" s="227"/>
      <c r="F9" s="227"/>
      <c r="G9" s="227"/>
      <c r="H9" s="227"/>
      <c r="I9" s="227"/>
      <c r="J9" s="227"/>
      <c r="K9" s="227"/>
      <c r="L9" s="227"/>
    </row>
    <row r="10" spans="2:12" s="2" customFormat="1" ht="15.5" x14ac:dyDescent="0.35">
      <c r="B10" s="181"/>
      <c r="C10" s="66"/>
      <c r="D10" s="66"/>
      <c r="E10" s="66"/>
      <c r="F10" s="66"/>
      <c r="G10" s="66"/>
      <c r="H10" s="66"/>
      <c r="I10" s="66"/>
      <c r="J10" s="66"/>
      <c r="K10" s="66"/>
      <c r="L10" s="66"/>
    </row>
    <row r="11" spans="2:12" s="2" customFormat="1" ht="23.25" customHeight="1" x14ac:dyDescent="0.35">
      <c r="B11" s="181"/>
      <c r="C11" s="219" t="s">
        <v>418</v>
      </c>
      <c r="D11" s="219"/>
      <c r="E11" s="219"/>
      <c r="F11" s="219"/>
      <c r="G11" s="219"/>
      <c r="H11" s="219"/>
      <c r="I11" s="219"/>
      <c r="J11" s="219"/>
      <c r="K11" s="219"/>
      <c r="L11" s="219"/>
    </row>
    <row r="12" spans="2:12" s="2" customFormat="1" ht="35.25" customHeight="1" x14ac:dyDescent="0.35">
      <c r="B12" s="28"/>
      <c r="C12" s="220" t="s">
        <v>4</v>
      </c>
      <c r="D12" s="220"/>
      <c r="E12" s="220"/>
      <c r="F12" s="220"/>
      <c r="G12" s="220"/>
      <c r="H12" s="220"/>
      <c r="I12" s="220"/>
      <c r="J12" s="220"/>
      <c r="K12" s="220"/>
      <c r="L12" s="220"/>
    </row>
    <row r="13" spans="2:12" ht="35.25" customHeight="1" x14ac:dyDescent="0.35">
      <c r="B13" s="181"/>
      <c r="C13" s="220" t="s">
        <v>5</v>
      </c>
      <c r="D13" s="220"/>
      <c r="E13" s="220"/>
      <c r="F13" s="220"/>
      <c r="G13" s="221" t="s">
        <v>6</v>
      </c>
      <c r="H13" s="221"/>
      <c r="I13" s="221"/>
      <c r="J13" s="221"/>
      <c r="K13" s="222"/>
      <c r="L13" s="149"/>
    </row>
    <row r="14" spans="2:12" ht="16.5" customHeight="1" x14ac:dyDescent="0.35">
      <c r="B14" s="181"/>
      <c r="C14" s="185"/>
      <c r="D14" s="220"/>
      <c r="E14" s="220"/>
      <c r="F14" s="220"/>
      <c r="G14" s="220"/>
      <c r="H14" s="220"/>
      <c r="I14" s="220"/>
      <c r="J14" s="220"/>
      <c r="K14" s="220"/>
      <c r="L14" s="149"/>
    </row>
    <row r="15" spans="2:12" ht="33" customHeight="1" x14ac:dyDescent="0.35">
      <c r="B15" s="181"/>
      <c r="C15" s="229" t="s">
        <v>414</v>
      </c>
      <c r="D15" s="229"/>
      <c r="E15" s="229"/>
      <c r="F15" s="229"/>
      <c r="G15" s="229"/>
      <c r="H15" s="229"/>
      <c r="I15" s="229"/>
      <c r="J15" s="229"/>
      <c r="K15" s="229"/>
      <c r="L15" s="152"/>
    </row>
    <row r="16" spans="2:12" ht="15" customHeight="1" x14ac:dyDescent="0.35">
      <c r="B16" s="181"/>
      <c r="C16" s="186"/>
      <c r="D16" s="186"/>
      <c r="E16" s="186"/>
      <c r="F16" s="186"/>
      <c r="G16" s="186"/>
      <c r="H16" s="186"/>
      <c r="I16" s="186"/>
      <c r="J16" s="186"/>
      <c r="K16" s="186"/>
      <c r="L16" s="186"/>
    </row>
    <row r="17" spans="2:12" ht="15" customHeight="1" x14ac:dyDescent="0.35">
      <c r="B17" s="181"/>
      <c r="C17" s="187" t="s">
        <v>7</v>
      </c>
      <c r="D17" s="186"/>
      <c r="E17" s="186"/>
      <c r="F17" s="186"/>
      <c r="G17" s="186"/>
      <c r="H17" s="186"/>
      <c r="I17" s="186"/>
      <c r="J17" s="186"/>
      <c r="K17" s="186"/>
      <c r="L17" s="186"/>
    </row>
    <row r="18" spans="2:12" ht="15" customHeight="1" x14ac:dyDescent="0.35">
      <c r="B18" s="181"/>
      <c r="C18" s="44"/>
      <c r="D18" s="44"/>
      <c r="E18" s="44"/>
      <c r="F18" s="44"/>
      <c r="G18" s="44"/>
      <c r="H18" s="44"/>
      <c r="I18" s="44"/>
      <c r="J18" s="44"/>
      <c r="K18" s="44"/>
      <c r="L18" s="44"/>
    </row>
    <row r="19" spans="2:12" s="2" customFormat="1" ht="15.5" x14ac:dyDescent="0.35">
      <c r="B19" s="231" t="s">
        <v>8</v>
      </c>
      <c r="C19" s="231"/>
      <c r="D19" s="231"/>
      <c r="E19" s="231"/>
      <c r="F19" s="231"/>
      <c r="G19" s="231"/>
      <c r="H19" s="231"/>
      <c r="I19" s="231"/>
      <c r="J19" s="231"/>
      <c r="K19" s="231"/>
      <c r="L19" s="231"/>
    </row>
    <row r="20" spans="2:12" x14ac:dyDescent="0.35">
      <c r="B20" s="44"/>
      <c r="C20" s="228"/>
      <c r="D20" s="228"/>
      <c r="E20" s="228"/>
      <c r="F20" s="228"/>
      <c r="G20" s="228"/>
      <c r="H20" s="228"/>
      <c r="I20" s="228"/>
      <c r="J20" s="228"/>
      <c r="K20" s="228"/>
      <c r="L20" s="228"/>
    </row>
    <row r="21" spans="2:12" x14ac:dyDescent="0.35">
      <c r="B21" s="44"/>
      <c r="C21" s="220" t="s">
        <v>412</v>
      </c>
      <c r="D21" s="220"/>
      <c r="E21" s="220"/>
      <c r="F21" s="220"/>
      <c r="G21" s="220"/>
      <c r="H21" s="220"/>
      <c r="I21" s="220"/>
      <c r="J21" s="220"/>
      <c r="K21" s="220"/>
      <c r="L21" s="220"/>
    </row>
    <row r="22" spans="2:12" ht="31.5" customHeight="1" x14ac:dyDescent="0.35">
      <c r="B22" s="44"/>
      <c r="C22" s="220" t="s">
        <v>413</v>
      </c>
      <c r="D22" s="220"/>
      <c r="E22" s="220"/>
      <c r="F22" s="220"/>
      <c r="G22" s="220"/>
      <c r="H22" s="220"/>
      <c r="I22" s="220"/>
      <c r="J22" s="220"/>
      <c r="K22" s="220"/>
      <c r="L22" s="220"/>
    </row>
    <row r="23" spans="2:12" ht="31.5" customHeight="1" x14ac:dyDescent="0.35">
      <c r="B23" s="44"/>
      <c r="C23" s="220" t="s">
        <v>408</v>
      </c>
      <c r="D23" s="220"/>
      <c r="E23" s="220"/>
      <c r="F23" s="220"/>
      <c r="G23" s="220"/>
      <c r="H23" s="220"/>
      <c r="I23" s="220"/>
      <c r="J23" s="220"/>
      <c r="K23" s="220"/>
      <c r="L23" s="220"/>
    </row>
    <row r="24" spans="2:12" ht="31.5" customHeight="1" x14ac:dyDescent="0.35">
      <c r="B24" s="44"/>
      <c r="C24" s="220" t="s">
        <v>409</v>
      </c>
      <c r="D24" s="220"/>
      <c r="E24" s="220"/>
      <c r="F24" s="220"/>
      <c r="G24" s="220"/>
      <c r="H24" s="220"/>
      <c r="I24" s="220"/>
      <c r="J24" s="220"/>
      <c r="K24" s="220"/>
      <c r="L24" s="220"/>
    </row>
    <row r="25" spans="2:12" ht="31.5" customHeight="1" x14ac:dyDescent="0.35">
      <c r="B25" s="44"/>
      <c r="C25" s="230" t="s">
        <v>410</v>
      </c>
      <c r="D25" s="230"/>
      <c r="E25" s="230"/>
      <c r="F25" s="230"/>
      <c r="G25" s="230"/>
      <c r="H25" s="230"/>
      <c r="I25" s="230"/>
      <c r="J25" s="230"/>
      <c r="K25" s="150"/>
      <c r="L25" s="150"/>
    </row>
    <row r="26" spans="2:12" ht="31.5" customHeight="1" x14ac:dyDescent="0.35">
      <c r="B26" s="44"/>
      <c r="C26" s="220" t="s">
        <v>411</v>
      </c>
      <c r="D26" s="220"/>
      <c r="E26" s="220"/>
      <c r="F26" s="220"/>
      <c r="G26" s="220"/>
      <c r="H26" s="220"/>
      <c r="I26" s="220"/>
      <c r="J26" s="220"/>
      <c r="K26" s="220"/>
      <c r="L26" s="220"/>
    </row>
    <row r="27" spans="2:12" ht="36" customHeight="1" x14ac:dyDescent="0.35">
      <c r="B27" s="44"/>
      <c r="C27" s="228" t="s">
        <v>9</v>
      </c>
      <c r="D27" s="228"/>
      <c r="E27" s="228"/>
      <c r="F27" s="228"/>
      <c r="G27" s="228"/>
      <c r="H27" s="228"/>
      <c r="I27" s="228"/>
      <c r="J27" s="228"/>
      <c r="K27" s="228"/>
      <c r="L27" s="228"/>
    </row>
    <row r="28" spans="2:12" ht="36" customHeight="1" x14ac:dyDescent="0.35">
      <c r="B28" s="44"/>
      <c r="C28" s="217" t="s">
        <v>424</v>
      </c>
      <c r="D28" s="218"/>
      <c r="E28" s="218"/>
      <c r="F28" s="218"/>
      <c r="G28" s="218"/>
      <c r="H28" s="218"/>
      <c r="I28" s="218"/>
      <c r="J28" s="218"/>
      <c r="K28" s="218"/>
      <c r="L28" s="150"/>
    </row>
    <row r="29" spans="2:12" x14ac:dyDescent="0.35">
      <c r="B29" s="44"/>
      <c r="C29" s="44"/>
      <c r="D29" s="44"/>
      <c r="E29" s="44"/>
      <c r="F29" s="44"/>
      <c r="G29" s="44"/>
      <c r="H29" s="44"/>
      <c r="I29" s="44"/>
      <c r="J29" s="44"/>
      <c r="K29" s="44"/>
      <c r="L29" s="44"/>
    </row>
    <row r="32" spans="2:12" x14ac:dyDescent="0.35">
      <c r="C32" s="45" t="s">
        <v>367</v>
      </c>
    </row>
  </sheetData>
  <mergeCells count="22">
    <mergeCell ref="B9:L9"/>
    <mergeCell ref="D14:K14"/>
    <mergeCell ref="C22:L22"/>
    <mergeCell ref="C23:L23"/>
    <mergeCell ref="C27:L27"/>
    <mergeCell ref="C24:L24"/>
    <mergeCell ref="C15:K15"/>
    <mergeCell ref="C21:L21"/>
    <mergeCell ref="C20:L20"/>
    <mergeCell ref="C26:L26"/>
    <mergeCell ref="C25:J25"/>
    <mergeCell ref="B19:L19"/>
    <mergeCell ref="C3:L3"/>
    <mergeCell ref="C4:L4"/>
    <mergeCell ref="C5:L5"/>
    <mergeCell ref="C6:L6"/>
    <mergeCell ref="C7:L7"/>
    <mergeCell ref="C28:K28"/>
    <mergeCell ref="C11:L11"/>
    <mergeCell ref="C12:L12"/>
    <mergeCell ref="C13:F13"/>
    <mergeCell ref="G13:K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BCBDF-9ABB-4C89-BC5B-7F6616C19E70}">
  <dimension ref="B1:J97"/>
  <sheetViews>
    <sheetView topLeftCell="A14" workbookViewId="0">
      <selection activeCell="E18" sqref="E18"/>
    </sheetView>
  </sheetViews>
  <sheetFormatPr defaultColWidth="8" defaultRowHeight="14.5" x14ac:dyDescent="0.35"/>
  <cols>
    <col min="1" max="1" width="8" style="2"/>
    <col min="2" max="2" width="4.54296875" style="2" customWidth="1"/>
    <col min="3" max="3" width="27.7265625" style="2" customWidth="1"/>
    <col min="4" max="9" width="20.7265625" style="2" customWidth="1"/>
    <col min="10" max="10" width="5.453125" style="2" customWidth="1"/>
    <col min="11" max="16384" width="8" style="2"/>
  </cols>
  <sheetData>
    <row r="1" spans="2:10" x14ac:dyDescent="0.35">
      <c r="B1" s="1"/>
      <c r="C1" s="1"/>
      <c r="D1" s="1"/>
      <c r="E1" s="1"/>
      <c r="F1" s="1"/>
      <c r="G1" s="1"/>
      <c r="H1" s="1"/>
      <c r="I1" s="1"/>
      <c r="J1" s="1"/>
    </row>
    <row r="2" spans="2:10" x14ac:dyDescent="0.35">
      <c r="B2" s="232"/>
      <c r="C2" s="232"/>
      <c r="D2" s="232"/>
      <c r="E2" s="232"/>
      <c r="F2" s="232"/>
      <c r="G2" s="232"/>
      <c r="H2" s="232"/>
      <c r="I2" s="232"/>
      <c r="J2" s="232"/>
    </row>
    <row r="3" spans="2:10" ht="20" x14ac:dyDescent="0.35">
      <c r="B3" s="181"/>
      <c r="C3" s="223" t="s">
        <v>10</v>
      </c>
      <c r="D3" s="223"/>
      <c r="E3" s="223"/>
      <c r="F3" s="223"/>
      <c r="G3" s="223"/>
      <c r="H3" s="223"/>
      <c r="I3" s="223"/>
      <c r="J3" s="4"/>
    </row>
    <row r="4" spans="2:10" ht="18" x14ac:dyDescent="0.35">
      <c r="B4" s="181"/>
      <c r="C4" s="224" t="s">
        <v>11</v>
      </c>
      <c r="D4" s="233"/>
      <c r="E4" s="233"/>
      <c r="F4" s="233"/>
      <c r="G4" s="233"/>
      <c r="H4" s="233"/>
      <c r="I4" s="233"/>
      <c r="J4" s="5"/>
    </row>
    <row r="5" spans="2:10" x14ac:dyDescent="0.35">
      <c r="B5" s="181"/>
      <c r="C5" s="225" t="s">
        <v>354</v>
      </c>
      <c r="D5" s="234"/>
      <c r="E5" s="234"/>
      <c r="F5" s="234"/>
      <c r="G5" s="234"/>
      <c r="H5" s="234"/>
      <c r="I5" s="234"/>
      <c r="J5" s="6"/>
    </row>
    <row r="6" spans="2:10" x14ac:dyDescent="0.35">
      <c r="B6" s="181"/>
      <c r="C6" s="226" t="s">
        <v>2</v>
      </c>
      <c r="D6" s="235"/>
      <c r="E6" s="235"/>
      <c r="F6" s="235"/>
      <c r="G6" s="235"/>
      <c r="H6" s="235"/>
      <c r="I6" s="235"/>
      <c r="J6" s="7"/>
    </row>
    <row r="7" spans="2:10" x14ac:dyDescent="0.35">
      <c r="B7" s="181"/>
      <c r="C7" s="226" t="s">
        <v>12</v>
      </c>
      <c r="D7" s="226"/>
      <c r="E7" s="226"/>
      <c r="F7" s="226"/>
      <c r="G7" s="226"/>
      <c r="H7" s="226"/>
      <c r="I7" s="226"/>
      <c r="J7" s="8"/>
    </row>
    <row r="8" spans="2:10" x14ac:dyDescent="0.35">
      <c r="B8" s="181"/>
      <c r="C8" s="9"/>
      <c r="D8" s="9"/>
      <c r="E8" s="9"/>
      <c r="F8" s="9"/>
      <c r="G8" s="9"/>
      <c r="H8" s="9"/>
      <c r="I8" s="9"/>
      <c r="J8" s="9"/>
    </row>
    <row r="9" spans="2:10" ht="15.5" x14ac:dyDescent="0.35">
      <c r="B9" s="96"/>
      <c r="C9" s="96" t="s">
        <v>11</v>
      </c>
      <c r="D9" s="96"/>
      <c r="E9" s="96"/>
      <c r="F9" s="96"/>
      <c r="G9" s="96"/>
      <c r="H9" s="96"/>
      <c r="I9" s="96"/>
      <c r="J9" s="96"/>
    </row>
    <row r="10" spans="2:10" x14ac:dyDescent="0.35">
      <c r="B10" s="181"/>
      <c r="C10" s="10" t="s">
        <v>358</v>
      </c>
      <c r="D10" s="9"/>
      <c r="E10" s="9"/>
      <c r="F10" s="9"/>
      <c r="G10" s="9"/>
      <c r="H10" s="9"/>
      <c r="I10" s="9"/>
      <c r="J10" s="9"/>
    </row>
    <row r="11" spans="2:10" x14ac:dyDescent="0.35">
      <c r="B11" s="181"/>
      <c r="C11" s="10"/>
      <c r="D11" s="9"/>
      <c r="E11" s="9"/>
      <c r="F11" s="9"/>
      <c r="G11" s="9"/>
      <c r="H11" s="9"/>
      <c r="I11" s="9"/>
      <c r="J11" s="9"/>
    </row>
    <row r="12" spans="2:10" x14ac:dyDescent="0.35">
      <c r="B12" s="181"/>
      <c r="C12" s="197" t="s">
        <v>13</v>
      </c>
      <c r="D12" s="25" t="s">
        <v>359</v>
      </c>
      <c r="E12" s="25"/>
      <c r="F12" s="25"/>
      <c r="G12" s="25"/>
      <c r="H12" s="25"/>
      <c r="I12" s="25"/>
      <c r="J12" s="9"/>
    </row>
    <row r="13" spans="2:10" ht="39" customHeight="1" x14ac:dyDescent="0.35">
      <c r="B13" s="181"/>
      <c r="C13" s="26"/>
      <c r="D13" s="11" t="s">
        <v>14</v>
      </c>
      <c r="E13" s="11" t="s">
        <v>15</v>
      </c>
      <c r="F13" s="11" t="s">
        <v>16</v>
      </c>
      <c r="G13" s="11" t="s">
        <v>17</v>
      </c>
      <c r="H13" s="11" t="s">
        <v>18</v>
      </c>
      <c r="I13" s="11" t="s">
        <v>19</v>
      </c>
      <c r="J13" s="9"/>
    </row>
    <row r="14" spans="2:10" ht="34.5" x14ac:dyDescent="0.35">
      <c r="B14" s="181"/>
      <c r="C14" s="12" t="s">
        <v>20</v>
      </c>
      <c r="D14" s="14" t="s">
        <v>425</v>
      </c>
      <c r="E14" s="14" t="s">
        <v>426</v>
      </c>
      <c r="F14" s="14" t="s">
        <v>439</v>
      </c>
      <c r="G14" s="14" t="s">
        <v>425</v>
      </c>
      <c r="H14" s="14" t="s">
        <v>426</v>
      </c>
      <c r="I14" s="14" t="s">
        <v>439</v>
      </c>
      <c r="J14" s="9"/>
    </row>
    <row r="15" spans="2:10" ht="23" x14ac:dyDescent="0.35">
      <c r="B15" s="181"/>
      <c r="C15" s="13" t="s">
        <v>21</v>
      </c>
      <c r="D15" s="15" t="s">
        <v>427</v>
      </c>
      <c r="E15" s="15" t="s">
        <v>427</v>
      </c>
      <c r="F15" s="15" t="s">
        <v>428</v>
      </c>
      <c r="G15" s="15" t="s">
        <v>427</v>
      </c>
      <c r="H15" s="15" t="s">
        <v>427</v>
      </c>
      <c r="I15" s="15" t="s">
        <v>428</v>
      </c>
      <c r="J15" s="9"/>
    </row>
    <row r="16" spans="2:10" ht="57.5" x14ac:dyDescent="0.35">
      <c r="B16" s="181"/>
      <c r="C16" s="13" t="s">
        <v>22</v>
      </c>
      <c r="D16" s="15" t="s">
        <v>623</v>
      </c>
      <c r="E16" s="15" t="s">
        <v>429</v>
      </c>
      <c r="F16" s="15" t="s">
        <v>624</v>
      </c>
      <c r="G16" s="15" t="s">
        <v>623</v>
      </c>
      <c r="H16" s="15" t="s">
        <v>429</v>
      </c>
      <c r="I16" s="15" t="s">
        <v>624</v>
      </c>
      <c r="J16" s="9"/>
    </row>
    <row r="17" spans="2:10" x14ac:dyDescent="0.35">
      <c r="B17" s="181"/>
      <c r="C17" s="13" t="s">
        <v>23</v>
      </c>
      <c r="D17" s="14" t="s">
        <v>430</v>
      </c>
      <c r="E17" s="14" t="s">
        <v>432</v>
      </c>
      <c r="F17" s="14" t="s">
        <v>431</v>
      </c>
      <c r="G17" s="14" t="s">
        <v>430</v>
      </c>
      <c r="H17" s="14" t="s">
        <v>432</v>
      </c>
      <c r="I17" s="14" t="s">
        <v>431</v>
      </c>
      <c r="J17" s="9"/>
    </row>
    <row r="18" spans="2:10" ht="23" x14ac:dyDescent="0.35">
      <c r="B18" s="181"/>
      <c r="C18" s="13" t="s">
        <v>24</v>
      </c>
      <c r="D18" s="14" t="s">
        <v>440</v>
      </c>
      <c r="E18" s="14" t="s">
        <v>622</v>
      </c>
      <c r="F18" s="14" t="s">
        <v>433</v>
      </c>
      <c r="G18" s="14" t="s">
        <v>440</v>
      </c>
      <c r="H18" s="14" t="s">
        <v>622</v>
      </c>
      <c r="I18" s="14" t="s">
        <v>433</v>
      </c>
      <c r="J18" s="9"/>
    </row>
    <row r="19" spans="2:10" ht="29" x14ac:dyDescent="0.35">
      <c r="B19" s="181"/>
      <c r="C19" s="13" t="s">
        <v>25</v>
      </c>
      <c r="D19" s="198" t="s">
        <v>434</v>
      </c>
      <c r="E19" s="198" t="s">
        <v>436</v>
      </c>
      <c r="F19" s="198" t="s">
        <v>435</v>
      </c>
      <c r="G19" s="198" t="s">
        <v>434</v>
      </c>
      <c r="H19" s="198" t="s">
        <v>436</v>
      </c>
      <c r="I19" s="198" t="s">
        <v>435</v>
      </c>
      <c r="J19" s="9"/>
    </row>
    <row r="20" spans="2:10" x14ac:dyDescent="0.35">
      <c r="B20" s="181"/>
      <c r="C20" s="13" t="s">
        <v>26</v>
      </c>
      <c r="D20" s="199" t="s">
        <v>437</v>
      </c>
      <c r="E20" s="199" t="s">
        <v>438</v>
      </c>
      <c r="F20" s="199"/>
      <c r="G20" s="199" t="s">
        <v>437</v>
      </c>
      <c r="H20" s="199" t="s">
        <v>438</v>
      </c>
      <c r="I20" s="199"/>
      <c r="J20" s="9"/>
    </row>
    <row r="21" spans="2:10" x14ac:dyDescent="0.35">
      <c r="B21" s="28"/>
      <c r="C21" s="180"/>
      <c r="D21" s="180"/>
      <c r="E21" s="180"/>
      <c r="F21" s="180"/>
      <c r="G21" s="180"/>
      <c r="H21" s="180"/>
      <c r="I21" s="180"/>
      <c r="J21" s="180"/>
    </row>
    <row r="22" spans="2:10" x14ac:dyDescent="0.35">
      <c r="C22" s="19"/>
      <c r="D22" s="19"/>
      <c r="E22" s="19"/>
      <c r="F22" s="19"/>
      <c r="G22" s="19"/>
      <c r="H22" s="19"/>
      <c r="I22" s="19"/>
      <c r="J22" s="19"/>
    </row>
    <row r="23" spans="2:10" x14ac:dyDescent="0.35">
      <c r="C23" s="19"/>
      <c r="D23" s="19"/>
      <c r="E23" s="19"/>
      <c r="F23" s="19"/>
      <c r="G23" s="19"/>
      <c r="H23" s="19"/>
      <c r="I23" s="19"/>
      <c r="J23" s="19"/>
    </row>
    <row r="24" spans="2:10" x14ac:dyDescent="0.35">
      <c r="C24" s="19"/>
      <c r="D24" s="19"/>
      <c r="E24" s="19"/>
      <c r="F24" s="19"/>
      <c r="G24" s="19"/>
      <c r="H24" s="19"/>
      <c r="I24" s="19"/>
      <c r="J24" s="19"/>
    </row>
    <row r="25" spans="2:10" x14ac:dyDescent="0.35">
      <c r="C25" s="19"/>
      <c r="D25" s="19"/>
      <c r="E25" s="19"/>
      <c r="F25" s="19"/>
      <c r="G25" s="19"/>
      <c r="H25" s="19"/>
      <c r="I25" s="19"/>
      <c r="J25" s="19"/>
    </row>
    <row r="26" spans="2:10" x14ac:dyDescent="0.35">
      <c r="C26" s="19"/>
      <c r="D26" s="19"/>
      <c r="E26" s="19"/>
      <c r="F26" s="19"/>
      <c r="G26" s="19"/>
      <c r="H26" s="19"/>
      <c r="I26" s="19"/>
      <c r="J26" s="19"/>
    </row>
    <row r="27" spans="2:10" x14ac:dyDescent="0.35">
      <c r="C27" s="19"/>
      <c r="D27" s="19"/>
      <c r="E27" s="19"/>
      <c r="F27" s="19"/>
      <c r="G27" s="19"/>
      <c r="H27" s="19"/>
      <c r="I27" s="19"/>
      <c r="J27" s="19"/>
    </row>
    <row r="28" spans="2:10" x14ac:dyDescent="0.35">
      <c r="C28" s="19"/>
      <c r="D28" s="19"/>
      <c r="E28" s="19"/>
      <c r="F28" s="19"/>
      <c r="G28" s="19"/>
      <c r="H28" s="19"/>
      <c r="I28" s="19"/>
      <c r="J28" s="19"/>
    </row>
    <row r="29" spans="2:10" x14ac:dyDescent="0.35">
      <c r="C29" s="19"/>
      <c r="D29" s="19"/>
      <c r="E29" s="19"/>
      <c r="F29" s="19"/>
      <c r="G29" s="19"/>
      <c r="H29" s="19"/>
      <c r="I29" s="19"/>
      <c r="J29" s="19"/>
    </row>
    <row r="30" spans="2:10" x14ac:dyDescent="0.35">
      <c r="C30" s="19"/>
      <c r="D30" s="19"/>
      <c r="E30" s="19"/>
      <c r="F30" s="19"/>
      <c r="G30" s="19"/>
      <c r="H30" s="19"/>
      <c r="I30" s="19"/>
      <c r="J30" s="19"/>
    </row>
    <row r="31" spans="2:10" x14ac:dyDescent="0.35">
      <c r="C31" s="19"/>
      <c r="D31" s="19"/>
      <c r="E31" s="19"/>
      <c r="F31" s="19"/>
      <c r="G31" s="19"/>
      <c r="H31" s="19"/>
      <c r="I31" s="19"/>
      <c r="J31" s="19"/>
    </row>
    <row r="32" spans="2:10" x14ac:dyDescent="0.35">
      <c r="C32" s="19"/>
      <c r="D32" s="19"/>
      <c r="E32" s="19"/>
      <c r="F32" s="19"/>
      <c r="G32" s="19"/>
      <c r="H32" s="19"/>
      <c r="I32" s="19"/>
      <c r="J32" s="19"/>
    </row>
    <row r="33" spans="3:10" x14ac:dyDescent="0.35">
      <c r="C33" s="19"/>
      <c r="D33" s="19"/>
      <c r="E33" s="19"/>
      <c r="F33" s="19"/>
      <c r="G33" s="19"/>
      <c r="H33" s="19"/>
      <c r="I33" s="19"/>
      <c r="J33" s="19"/>
    </row>
    <row r="34" spans="3:10" x14ac:dyDescent="0.35">
      <c r="C34" s="19"/>
      <c r="D34" s="19"/>
      <c r="E34" s="19"/>
      <c r="F34" s="19"/>
      <c r="G34" s="19"/>
      <c r="H34" s="19"/>
      <c r="I34" s="19"/>
      <c r="J34" s="19"/>
    </row>
    <row r="35" spans="3:10" x14ac:dyDescent="0.35">
      <c r="C35" s="19"/>
      <c r="D35" s="19"/>
      <c r="E35" s="19"/>
      <c r="F35" s="19"/>
      <c r="G35" s="19"/>
      <c r="H35" s="19"/>
      <c r="I35" s="19"/>
      <c r="J35" s="19"/>
    </row>
    <row r="36" spans="3:10" x14ac:dyDescent="0.35">
      <c r="C36" s="19"/>
      <c r="D36" s="19"/>
      <c r="E36" s="19"/>
      <c r="F36" s="19"/>
      <c r="G36" s="19"/>
      <c r="H36" s="19"/>
      <c r="I36" s="19"/>
      <c r="J36" s="19"/>
    </row>
    <row r="37" spans="3:10" x14ac:dyDescent="0.35">
      <c r="C37" s="19"/>
      <c r="D37" s="19"/>
      <c r="E37" s="19"/>
      <c r="F37" s="19"/>
      <c r="G37" s="19"/>
      <c r="H37" s="19"/>
      <c r="I37" s="19"/>
      <c r="J37" s="19"/>
    </row>
    <row r="38" spans="3:10" x14ac:dyDescent="0.35">
      <c r="C38" s="19"/>
      <c r="D38" s="19"/>
      <c r="E38" s="19"/>
      <c r="F38" s="19"/>
      <c r="G38" s="19"/>
      <c r="H38" s="19"/>
      <c r="I38" s="19"/>
      <c r="J38" s="19"/>
    </row>
    <row r="39" spans="3:10" x14ac:dyDescent="0.35">
      <c r="C39" s="19"/>
      <c r="D39" s="19"/>
      <c r="E39" s="19"/>
      <c r="F39" s="19"/>
      <c r="G39" s="19"/>
      <c r="H39" s="19"/>
      <c r="I39" s="19"/>
      <c r="J39" s="19"/>
    </row>
    <row r="40" spans="3:10" x14ac:dyDescent="0.35">
      <c r="C40" s="19"/>
      <c r="D40" s="19"/>
      <c r="E40" s="19"/>
      <c r="F40" s="19"/>
      <c r="G40" s="19"/>
      <c r="H40" s="19"/>
      <c r="I40" s="19"/>
      <c r="J40" s="19"/>
    </row>
    <row r="41" spans="3:10" x14ac:dyDescent="0.35">
      <c r="C41" s="19"/>
      <c r="D41" s="19"/>
      <c r="E41" s="19"/>
      <c r="F41" s="19"/>
      <c r="G41" s="19"/>
      <c r="H41" s="19"/>
      <c r="I41" s="19"/>
      <c r="J41" s="19"/>
    </row>
    <row r="42" spans="3:10" x14ac:dyDescent="0.35">
      <c r="C42" s="19"/>
      <c r="D42" s="19"/>
      <c r="E42" s="19"/>
      <c r="F42" s="19"/>
      <c r="G42" s="19"/>
      <c r="H42" s="19"/>
      <c r="I42" s="19"/>
      <c r="J42" s="19"/>
    </row>
    <row r="43" spans="3:10" x14ac:dyDescent="0.35">
      <c r="C43" s="19"/>
      <c r="D43" s="19"/>
      <c r="E43" s="19"/>
      <c r="F43" s="19"/>
      <c r="G43" s="19"/>
      <c r="H43" s="19"/>
      <c r="I43" s="19"/>
      <c r="J43" s="19"/>
    </row>
    <row r="44" spans="3:10" x14ac:dyDescent="0.35">
      <c r="C44" s="19"/>
      <c r="D44" s="19"/>
      <c r="E44" s="19"/>
      <c r="F44" s="19"/>
      <c r="G44" s="19"/>
      <c r="H44" s="19"/>
      <c r="I44" s="19"/>
      <c r="J44" s="19"/>
    </row>
    <row r="45" spans="3:10" x14ac:dyDescent="0.35">
      <c r="C45" s="19"/>
      <c r="D45" s="19"/>
      <c r="E45" s="19"/>
      <c r="F45" s="19"/>
      <c r="G45" s="19"/>
      <c r="H45" s="19"/>
      <c r="I45" s="19"/>
      <c r="J45" s="19"/>
    </row>
    <row r="46" spans="3:10" x14ac:dyDescent="0.35">
      <c r="C46" s="19"/>
      <c r="D46" s="19"/>
      <c r="E46" s="19"/>
      <c r="F46" s="19"/>
      <c r="G46" s="19"/>
      <c r="H46" s="19"/>
      <c r="I46" s="19"/>
      <c r="J46" s="19"/>
    </row>
    <row r="47" spans="3:10" x14ac:dyDescent="0.35">
      <c r="C47" s="19"/>
      <c r="D47" s="19"/>
      <c r="E47" s="19"/>
      <c r="F47" s="19"/>
      <c r="G47" s="19"/>
      <c r="H47" s="19"/>
      <c r="I47" s="19"/>
      <c r="J47" s="19"/>
    </row>
    <row r="48" spans="3:10" x14ac:dyDescent="0.35">
      <c r="C48" s="19"/>
      <c r="D48" s="19"/>
      <c r="E48" s="19"/>
      <c r="F48" s="19"/>
      <c r="G48" s="19"/>
      <c r="H48" s="19"/>
      <c r="I48" s="19"/>
      <c r="J48" s="19"/>
    </row>
    <row r="49" spans="3:10" x14ac:dyDescent="0.35">
      <c r="C49" s="19"/>
      <c r="D49" s="19"/>
      <c r="E49" s="19"/>
      <c r="F49" s="19"/>
      <c r="G49" s="19"/>
      <c r="H49" s="19"/>
      <c r="I49" s="19"/>
      <c r="J49" s="19"/>
    </row>
    <row r="50" spans="3:10" x14ac:dyDescent="0.35">
      <c r="C50" s="19"/>
      <c r="D50" s="19"/>
      <c r="E50" s="19"/>
      <c r="F50" s="19"/>
      <c r="G50" s="19"/>
      <c r="H50" s="19"/>
      <c r="I50" s="19"/>
      <c r="J50" s="19"/>
    </row>
    <row r="51" spans="3:10" x14ac:dyDescent="0.35">
      <c r="C51" s="19"/>
      <c r="D51" s="19"/>
      <c r="E51" s="19"/>
      <c r="F51" s="19"/>
      <c r="G51" s="19"/>
      <c r="H51" s="19"/>
      <c r="I51" s="19"/>
      <c r="J51" s="19"/>
    </row>
    <row r="52" spans="3:10" x14ac:dyDescent="0.35">
      <c r="C52" s="19"/>
      <c r="D52" s="19" t="s">
        <v>27</v>
      </c>
      <c r="E52" s="19"/>
      <c r="F52" s="19"/>
      <c r="G52" s="19"/>
      <c r="H52" s="19"/>
      <c r="I52" s="19"/>
      <c r="J52" s="19"/>
    </row>
    <row r="53" spans="3:10" x14ac:dyDescent="0.35">
      <c r="C53" s="19"/>
      <c r="D53" s="19" t="s">
        <v>28</v>
      </c>
      <c r="E53" s="19"/>
      <c r="F53" s="19"/>
      <c r="G53" s="19"/>
      <c r="H53" s="19"/>
      <c r="I53" s="19"/>
      <c r="J53" s="19"/>
    </row>
    <row r="54" spans="3:10" x14ac:dyDescent="0.35">
      <c r="C54" s="19"/>
      <c r="D54" s="19"/>
      <c r="E54" s="19"/>
      <c r="F54" s="19"/>
      <c r="G54" s="19"/>
      <c r="H54" s="19"/>
      <c r="I54" s="19"/>
      <c r="J54" s="19"/>
    </row>
    <row r="55" spans="3:10" x14ac:dyDescent="0.35">
      <c r="C55" s="19"/>
      <c r="D55" s="19"/>
      <c r="E55" s="19"/>
      <c r="F55" s="19"/>
      <c r="G55" s="19"/>
      <c r="H55" s="19"/>
      <c r="I55" s="19"/>
      <c r="J55" s="19"/>
    </row>
    <row r="56" spans="3:10" x14ac:dyDescent="0.35">
      <c r="C56" s="19"/>
      <c r="D56" s="19"/>
      <c r="E56" s="19"/>
      <c r="F56" s="19"/>
      <c r="G56" s="19"/>
      <c r="H56" s="19"/>
      <c r="I56" s="19"/>
      <c r="J56" s="19"/>
    </row>
    <row r="57" spans="3:10" x14ac:dyDescent="0.35">
      <c r="C57" s="19"/>
      <c r="D57" s="19"/>
      <c r="E57" s="19"/>
      <c r="F57" s="19"/>
      <c r="G57" s="19"/>
      <c r="H57" s="19"/>
      <c r="I57" s="19"/>
      <c r="J57" s="19"/>
    </row>
    <row r="58" spans="3:10" x14ac:dyDescent="0.35">
      <c r="C58" s="19"/>
      <c r="D58" s="19"/>
      <c r="E58" s="19"/>
      <c r="F58" s="19"/>
      <c r="G58" s="19"/>
      <c r="H58" s="19"/>
      <c r="I58" s="19"/>
      <c r="J58" s="19"/>
    </row>
    <row r="59" spans="3:10" x14ac:dyDescent="0.35">
      <c r="C59" s="19"/>
      <c r="D59" s="19"/>
      <c r="E59" s="19"/>
      <c r="F59" s="19"/>
      <c r="G59" s="19"/>
      <c r="H59" s="19"/>
      <c r="I59" s="19"/>
      <c r="J59" s="19"/>
    </row>
    <row r="60" spans="3:10" x14ac:dyDescent="0.35">
      <c r="C60" s="19"/>
      <c r="D60" s="19"/>
      <c r="E60" s="19"/>
      <c r="F60" s="19"/>
      <c r="G60" s="19"/>
      <c r="H60" s="19"/>
      <c r="I60" s="19"/>
      <c r="J60" s="19"/>
    </row>
    <row r="61" spans="3:10" x14ac:dyDescent="0.35">
      <c r="C61" s="19"/>
      <c r="D61" s="19"/>
      <c r="E61" s="19"/>
      <c r="F61" s="19"/>
      <c r="G61" s="19"/>
      <c r="H61" s="19"/>
      <c r="I61" s="19"/>
      <c r="J61" s="19"/>
    </row>
    <row r="62" spans="3:10" x14ac:dyDescent="0.35">
      <c r="C62" s="19"/>
      <c r="D62" s="19"/>
      <c r="E62" s="19"/>
      <c r="F62" s="19"/>
      <c r="G62" s="19"/>
      <c r="H62" s="19"/>
      <c r="I62" s="19"/>
      <c r="J62" s="19"/>
    </row>
    <row r="63" spans="3:10" x14ac:dyDescent="0.35">
      <c r="C63" s="19"/>
      <c r="D63" s="19"/>
      <c r="E63" s="19"/>
      <c r="F63" s="19"/>
      <c r="G63" s="19"/>
      <c r="H63" s="19"/>
      <c r="I63" s="19"/>
      <c r="J63" s="19"/>
    </row>
    <row r="64" spans="3:10" x14ac:dyDescent="0.35">
      <c r="C64" s="19"/>
      <c r="D64" s="19"/>
      <c r="E64" s="19"/>
      <c r="F64" s="19"/>
      <c r="G64" s="19"/>
      <c r="H64" s="19"/>
      <c r="I64" s="19"/>
      <c r="J64" s="19"/>
    </row>
    <row r="65" spans="3:10" x14ac:dyDescent="0.35">
      <c r="C65" s="19"/>
      <c r="D65" s="19"/>
      <c r="E65" s="19"/>
      <c r="F65" s="19"/>
      <c r="G65" s="19"/>
      <c r="H65" s="19"/>
      <c r="I65" s="19"/>
      <c r="J65" s="19"/>
    </row>
    <row r="66" spans="3:10" x14ac:dyDescent="0.35">
      <c r="C66" s="19"/>
      <c r="D66" s="19"/>
      <c r="E66" s="19"/>
      <c r="F66" s="19"/>
      <c r="G66" s="19"/>
      <c r="H66" s="19"/>
      <c r="I66" s="19"/>
      <c r="J66" s="19"/>
    </row>
    <row r="67" spans="3:10" x14ac:dyDescent="0.35">
      <c r="C67" s="19"/>
      <c r="D67" s="19"/>
      <c r="E67" s="19"/>
      <c r="F67" s="19"/>
      <c r="G67" s="19"/>
      <c r="H67" s="19"/>
      <c r="I67" s="19"/>
      <c r="J67" s="19"/>
    </row>
    <row r="68" spans="3:10" x14ac:dyDescent="0.35">
      <c r="C68" s="19"/>
      <c r="D68" s="19"/>
      <c r="E68" s="19"/>
      <c r="F68" s="19"/>
      <c r="G68" s="19"/>
      <c r="H68" s="19"/>
      <c r="I68" s="19"/>
      <c r="J68" s="19"/>
    </row>
    <row r="69" spans="3:10" x14ac:dyDescent="0.35">
      <c r="C69" s="19"/>
      <c r="D69" s="19"/>
      <c r="E69" s="19"/>
      <c r="F69" s="19"/>
      <c r="G69" s="19"/>
      <c r="H69" s="19"/>
      <c r="I69" s="19"/>
      <c r="J69" s="19"/>
    </row>
    <row r="70" spans="3:10" x14ac:dyDescent="0.35">
      <c r="C70" s="19"/>
      <c r="D70" s="19"/>
      <c r="E70" s="19"/>
      <c r="F70" s="19"/>
      <c r="G70" s="19"/>
      <c r="H70" s="19"/>
      <c r="I70" s="19"/>
      <c r="J70" s="19"/>
    </row>
    <row r="71" spans="3:10" x14ac:dyDescent="0.35">
      <c r="C71" s="19"/>
      <c r="D71" s="19"/>
      <c r="E71" s="19"/>
      <c r="F71" s="19"/>
      <c r="G71" s="19"/>
      <c r="H71" s="19"/>
      <c r="I71" s="19"/>
      <c r="J71" s="19"/>
    </row>
    <row r="72" spans="3:10" x14ac:dyDescent="0.35">
      <c r="C72" s="19"/>
      <c r="D72" s="19"/>
      <c r="E72" s="19"/>
      <c r="F72" s="19"/>
      <c r="G72" s="19"/>
      <c r="H72" s="19"/>
      <c r="I72" s="19"/>
      <c r="J72" s="19"/>
    </row>
    <row r="73" spans="3:10" x14ac:dyDescent="0.35">
      <c r="C73" s="19" t="s">
        <v>29</v>
      </c>
      <c r="D73" s="19"/>
      <c r="E73" s="19"/>
      <c r="F73" s="20" t="s">
        <v>30</v>
      </c>
      <c r="G73" s="19" t="s">
        <v>31</v>
      </c>
      <c r="H73" s="19"/>
      <c r="I73" s="19"/>
      <c r="J73" s="19"/>
    </row>
    <row r="74" spans="3:10" x14ac:dyDescent="0.35">
      <c r="C74" s="19" t="s">
        <v>32</v>
      </c>
      <c r="D74" s="19"/>
      <c r="E74" s="19"/>
      <c r="F74" s="21">
        <v>0.1</v>
      </c>
      <c r="G74" s="19" t="s">
        <v>33</v>
      </c>
      <c r="H74" s="19"/>
      <c r="I74" s="19"/>
      <c r="J74" s="19"/>
    </row>
    <row r="75" spans="3:10" x14ac:dyDescent="0.35">
      <c r="C75" s="19" t="s">
        <v>34</v>
      </c>
      <c r="D75" s="19"/>
      <c r="E75" s="19"/>
      <c r="F75" s="21">
        <v>0.2</v>
      </c>
      <c r="G75" s="19"/>
      <c r="H75" s="19"/>
      <c r="I75" s="19"/>
      <c r="J75" s="19"/>
    </row>
    <row r="76" spans="3:10" x14ac:dyDescent="0.35">
      <c r="C76" s="19" t="s">
        <v>35</v>
      </c>
      <c r="D76" s="19"/>
      <c r="E76" s="19"/>
      <c r="F76" s="21">
        <v>0.3</v>
      </c>
      <c r="G76" s="19"/>
      <c r="H76" s="19"/>
      <c r="I76" s="19"/>
      <c r="J76" s="19"/>
    </row>
    <row r="77" spans="3:10" x14ac:dyDescent="0.35">
      <c r="C77" s="19"/>
      <c r="D77" s="19"/>
      <c r="E77" s="19"/>
      <c r="F77" s="21">
        <v>0.4</v>
      </c>
      <c r="G77" s="19"/>
      <c r="H77" s="19"/>
      <c r="I77" s="19"/>
      <c r="J77" s="19"/>
    </row>
    <row r="78" spans="3:10" x14ac:dyDescent="0.35">
      <c r="C78" s="19"/>
      <c r="D78" s="19"/>
      <c r="E78" s="19"/>
      <c r="F78" s="21">
        <v>0.5</v>
      </c>
      <c r="G78" s="19"/>
      <c r="H78" s="19"/>
      <c r="I78" s="19"/>
      <c r="J78" s="19"/>
    </row>
    <row r="79" spans="3:10" x14ac:dyDescent="0.35">
      <c r="F79" s="22">
        <v>0.6</v>
      </c>
    </row>
    <row r="80" spans="3:10" x14ac:dyDescent="0.35">
      <c r="F80" s="22">
        <v>0.7</v>
      </c>
    </row>
    <row r="81" spans="3:6" x14ac:dyDescent="0.35">
      <c r="F81" s="22">
        <v>0.8</v>
      </c>
    </row>
    <row r="82" spans="3:6" x14ac:dyDescent="0.35">
      <c r="F82" s="22">
        <v>0.9</v>
      </c>
    </row>
    <row r="83" spans="3:6" x14ac:dyDescent="0.35">
      <c r="F83" s="22">
        <v>1</v>
      </c>
    </row>
    <row r="92" spans="3:6" x14ac:dyDescent="0.35">
      <c r="C92" s="23" t="s">
        <v>36</v>
      </c>
    </row>
    <row r="93" spans="3:6" x14ac:dyDescent="0.35">
      <c r="C93" s="23" t="s">
        <v>37</v>
      </c>
    </row>
    <row r="94" spans="3:6" x14ac:dyDescent="0.35">
      <c r="C94" s="23" t="s">
        <v>38</v>
      </c>
    </row>
    <row r="95" spans="3:6" x14ac:dyDescent="0.35">
      <c r="C95" s="23" t="s">
        <v>39</v>
      </c>
    </row>
    <row r="96" spans="3:6" x14ac:dyDescent="0.35">
      <c r="C96" s="23" t="s">
        <v>40</v>
      </c>
    </row>
    <row r="97" spans="3:3" x14ac:dyDescent="0.35">
      <c r="C97" s="23" t="s">
        <v>35</v>
      </c>
    </row>
  </sheetData>
  <protectedRanges>
    <protectedRange sqref="D14:I20" name="Range1_1"/>
  </protectedRanges>
  <mergeCells count="6">
    <mergeCell ref="B2:J2"/>
    <mergeCell ref="C7:I7"/>
    <mergeCell ref="C3:I3"/>
    <mergeCell ref="C4:I4"/>
    <mergeCell ref="C5:I5"/>
    <mergeCell ref="C6:I6"/>
  </mergeCells>
  <hyperlinks>
    <hyperlink ref="D19" r:id="rId1" xr:uid="{D82B08A7-DF1A-453C-ABAF-33BB726E690C}"/>
    <hyperlink ref="E19" r:id="rId2" xr:uid="{70E2C93C-CCB4-4AC1-A3EC-9A95AA60049B}"/>
    <hyperlink ref="F19" r:id="rId3" xr:uid="{601E5EF0-6098-47C4-BECA-900609851F6B}"/>
    <hyperlink ref="G19" r:id="rId4" xr:uid="{179DBF3E-7FBF-40EA-9D29-2316A004B9C2}"/>
    <hyperlink ref="H19" r:id="rId5" xr:uid="{54753FEF-018C-488A-BBBF-3B3087E5176E}"/>
    <hyperlink ref="I19" r:id="rId6" xr:uid="{EBC8E37D-F211-4FE6-972E-BE6D5DE1A36C}"/>
  </hyperlinks>
  <pageMargins left="0.7" right="0.7" top="0.75" bottom="0.75" header="0.3" footer="0.3"/>
  <pageSetup paperSize="9" orientation="portrait" horizontalDpi="90" verticalDpi="90"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63C55-9FA0-4C67-A4DE-6E69D1DDD147}">
  <dimension ref="A1:FB682"/>
  <sheetViews>
    <sheetView topLeftCell="A54" zoomScale="80" zoomScaleNormal="80" workbookViewId="0">
      <selection activeCell="D58" sqref="D58:K58"/>
    </sheetView>
  </sheetViews>
  <sheetFormatPr defaultRowHeight="14.5" x14ac:dyDescent="0.35"/>
  <cols>
    <col min="1" max="1" width="9.1796875" style="45"/>
    <col min="2" max="2" width="7.81640625" customWidth="1"/>
    <col min="3" max="3" width="18.26953125" style="134" bestFit="1" customWidth="1"/>
    <col min="4" max="4" width="10.54296875" style="134" bestFit="1" customWidth="1"/>
    <col min="5" max="5" width="14" style="134" customWidth="1"/>
    <col min="6" max="6" width="10.54296875" style="134" bestFit="1" customWidth="1"/>
    <col min="7" max="7" width="52" style="134" customWidth="1"/>
    <col min="8" max="8" width="11.54296875" style="134" customWidth="1"/>
    <col min="9" max="9" width="51.7265625" style="134" bestFit="1" customWidth="1"/>
    <col min="10" max="10" width="146.1796875" style="134" bestFit="1" customWidth="1"/>
    <col min="11" max="11" width="87.1796875" style="134" bestFit="1" customWidth="1"/>
    <col min="12" max="158" width="9.1796875" style="45"/>
  </cols>
  <sheetData>
    <row r="1" spans="2:12" s="45" customFormat="1" x14ac:dyDescent="0.35">
      <c r="C1" s="2"/>
      <c r="D1" s="2"/>
      <c r="E1" s="2"/>
      <c r="F1" s="2"/>
      <c r="G1" s="2"/>
      <c r="H1" s="2"/>
      <c r="I1" s="2"/>
      <c r="J1" s="2"/>
      <c r="K1" s="2"/>
    </row>
    <row r="2" spans="2:12" ht="20" x14ac:dyDescent="0.35">
      <c r="B2" s="223" t="s">
        <v>10</v>
      </c>
      <c r="C2" s="223"/>
      <c r="D2" s="223"/>
      <c r="E2" s="223"/>
      <c r="F2" s="223"/>
      <c r="G2" s="223"/>
      <c r="H2" s="223"/>
      <c r="I2" s="223"/>
      <c r="J2" s="223"/>
      <c r="K2" s="223"/>
      <c r="L2" s="223"/>
    </row>
    <row r="3" spans="2:12" ht="18" x14ac:dyDescent="0.35">
      <c r="B3" s="224" t="s">
        <v>41</v>
      </c>
      <c r="C3" s="224"/>
      <c r="D3" s="224"/>
      <c r="E3" s="224"/>
      <c r="F3" s="224"/>
      <c r="G3" s="224"/>
      <c r="H3" s="224"/>
      <c r="I3" s="224"/>
      <c r="J3" s="224"/>
      <c r="K3" s="224"/>
      <c r="L3" s="224"/>
    </row>
    <row r="4" spans="2:12" ht="15" customHeight="1" x14ac:dyDescent="0.35">
      <c r="B4" s="225" t="s">
        <v>354</v>
      </c>
      <c r="C4" s="225"/>
      <c r="D4" s="225"/>
      <c r="E4" s="225"/>
      <c r="F4" s="225"/>
      <c r="G4" s="225"/>
      <c r="H4" s="225"/>
      <c r="I4" s="225"/>
      <c r="J4" s="225"/>
      <c r="K4" s="225"/>
      <c r="L4" s="225"/>
    </row>
    <row r="5" spans="2:12" ht="15" customHeight="1" x14ac:dyDescent="0.35">
      <c r="B5" s="226" t="s">
        <v>2</v>
      </c>
      <c r="C5" s="226"/>
      <c r="D5" s="226"/>
      <c r="E5" s="226"/>
      <c r="F5" s="226"/>
      <c r="G5" s="226"/>
      <c r="H5" s="226"/>
      <c r="I5" s="226"/>
      <c r="J5" s="226"/>
      <c r="K5" s="226"/>
      <c r="L5" s="226"/>
    </row>
    <row r="6" spans="2:12" ht="15" customHeight="1" x14ac:dyDescent="0.35">
      <c r="B6" s="226" t="s">
        <v>12</v>
      </c>
      <c r="C6" s="226"/>
      <c r="D6" s="226"/>
      <c r="E6" s="226"/>
      <c r="F6" s="226"/>
      <c r="G6" s="226"/>
      <c r="H6" s="226"/>
      <c r="I6" s="226"/>
      <c r="J6" s="226"/>
      <c r="K6" s="226"/>
      <c r="L6" s="226"/>
    </row>
    <row r="7" spans="2:12" ht="15" customHeight="1" x14ac:dyDescent="0.35">
      <c r="B7" s="46"/>
      <c r="C7" s="153"/>
      <c r="D7" s="153"/>
      <c r="E7" s="153"/>
      <c r="F7" s="153"/>
      <c r="G7" s="153"/>
      <c r="H7" s="46"/>
      <c r="I7" s="28"/>
      <c r="J7" s="28"/>
      <c r="K7" s="28"/>
      <c r="L7" s="44"/>
    </row>
    <row r="8" spans="2:12" ht="15" customHeight="1" x14ac:dyDescent="0.35">
      <c r="B8" s="56"/>
      <c r="C8" s="240" t="s">
        <v>42</v>
      </c>
      <c r="D8" s="240" t="s">
        <v>43</v>
      </c>
      <c r="E8" s="240" t="s">
        <v>44</v>
      </c>
      <c r="F8" s="240" t="s">
        <v>45</v>
      </c>
      <c r="G8" s="240" t="s">
        <v>46</v>
      </c>
      <c r="H8" s="240" t="s">
        <v>47</v>
      </c>
      <c r="I8" s="240" t="s">
        <v>48</v>
      </c>
      <c r="J8" s="240" t="s">
        <v>400</v>
      </c>
      <c r="K8" s="240" t="s">
        <v>49</v>
      </c>
      <c r="L8" s="44"/>
    </row>
    <row r="9" spans="2:12" ht="77.25" customHeight="1" x14ac:dyDescent="0.35">
      <c r="B9" s="56"/>
      <c r="C9" s="240"/>
      <c r="D9" s="240"/>
      <c r="E9" s="240"/>
      <c r="F9" s="240"/>
      <c r="G9" s="240"/>
      <c r="H9" s="240"/>
      <c r="I9" s="240"/>
      <c r="J9" s="240"/>
      <c r="K9" s="240"/>
      <c r="L9" s="44"/>
    </row>
    <row r="10" spans="2:12" ht="112.5" customHeight="1" x14ac:dyDescent="0.35">
      <c r="B10" s="44"/>
      <c r="C10" s="135" t="s">
        <v>50</v>
      </c>
      <c r="D10" s="106" t="s">
        <v>51</v>
      </c>
      <c r="E10" s="106" t="s">
        <v>52</v>
      </c>
      <c r="F10" s="106" t="s">
        <v>53</v>
      </c>
      <c r="G10" s="136" t="s">
        <v>54</v>
      </c>
      <c r="H10" s="137" t="s">
        <v>55</v>
      </c>
      <c r="I10" s="108"/>
      <c r="J10" s="200" t="s">
        <v>565</v>
      </c>
      <c r="K10" s="138"/>
      <c r="L10" s="44"/>
    </row>
    <row r="11" spans="2:12" ht="150" x14ac:dyDescent="0.35">
      <c r="B11" s="44"/>
      <c r="C11" s="135" t="s">
        <v>56</v>
      </c>
      <c r="D11" s="106" t="s">
        <v>51</v>
      </c>
      <c r="E11" s="106" t="s">
        <v>57</v>
      </c>
      <c r="F11" s="106" t="s">
        <v>58</v>
      </c>
      <c r="G11" s="136" t="s">
        <v>59</v>
      </c>
      <c r="H11" s="110"/>
      <c r="I11" s="108"/>
      <c r="J11" s="200" t="s">
        <v>566</v>
      </c>
      <c r="K11" s="138"/>
      <c r="L11" s="44"/>
    </row>
    <row r="12" spans="2:12" ht="125" x14ac:dyDescent="0.35">
      <c r="B12" s="44"/>
      <c r="C12" s="135" t="s">
        <v>60</v>
      </c>
      <c r="D12" s="106" t="s">
        <v>61</v>
      </c>
      <c r="E12" s="106" t="s">
        <v>62</v>
      </c>
      <c r="F12" s="106" t="s">
        <v>53</v>
      </c>
      <c r="G12" s="136" t="s">
        <v>63</v>
      </c>
      <c r="H12" s="110"/>
      <c r="I12" s="108"/>
      <c r="J12" s="200" t="s">
        <v>567</v>
      </c>
      <c r="K12" s="138"/>
      <c r="L12" s="44"/>
    </row>
    <row r="13" spans="2:12" ht="225" x14ac:dyDescent="0.35">
      <c r="B13" s="44"/>
      <c r="C13" s="135" t="s">
        <v>56</v>
      </c>
      <c r="D13" s="106" t="s">
        <v>51</v>
      </c>
      <c r="E13" s="106" t="s">
        <v>64</v>
      </c>
      <c r="F13" s="106" t="s">
        <v>53</v>
      </c>
      <c r="G13" s="110" t="s">
        <v>65</v>
      </c>
      <c r="H13" s="110"/>
      <c r="I13" s="108"/>
      <c r="J13" s="200" t="s">
        <v>568</v>
      </c>
      <c r="K13" s="138"/>
      <c r="L13" s="44"/>
    </row>
    <row r="14" spans="2:12" ht="150" x14ac:dyDescent="0.35">
      <c r="B14" s="44"/>
      <c r="C14" s="135" t="s">
        <v>66</v>
      </c>
      <c r="D14" s="106" t="s">
        <v>51</v>
      </c>
      <c r="E14" s="106" t="s">
        <v>67</v>
      </c>
      <c r="F14" s="106" t="s">
        <v>58</v>
      </c>
      <c r="G14" s="110" t="s">
        <v>68</v>
      </c>
      <c r="H14" s="110"/>
      <c r="I14" s="108"/>
      <c r="J14" s="200" t="s">
        <v>569</v>
      </c>
      <c r="K14" s="138"/>
      <c r="L14" s="44"/>
    </row>
    <row r="15" spans="2:12" ht="62.5" x14ac:dyDescent="0.35">
      <c r="B15" s="44"/>
      <c r="C15" s="135">
        <v>2</v>
      </c>
      <c r="D15" s="106" t="s">
        <v>51</v>
      </c>
      <c r="E15" s="106" t="s">
        <v>69</v>
      </c>
      <c r="F15" s="106" t="s">
        <v>70</v>
      </c>
      <c r="G15" s="110" t="s">
        <v>71</v>
      </c>
      <c r="H15" s="110" t="s">
        <v>72</v>
      </c>
      <c r="I15" s="108"/>
      <c r="J15" s="200" t="s">
        <v>442</v>
      </c>
      <c r="K15" s="138"/>
      <c r="L15" s="44"/>
    </row>
    <row r="16" spans="2:12" ht="37.5" x14ac:dyDescent="0.35">
      <c r="B16" s="44"/>
      <c r="C16" s="135" t="s">
        <v>66</v>
      </c>
      <c r="D16" s="106" t="s">
        <v>51</v>
      </c>
      <c r="E16" s="106" t="s">
        <v>73</v>
      </c>
      <c r="F16" s="106" t="s">
        <v>53</v>
      </c>
      <c r="G16" s="110" t="s">
        <v>74</v>
      </c>
      <c r="H16" s="110"/>
      <c r="I16" s="108"/>
      <c r="J16" s="200" t="s">
        <v>625</v>
      </c>
      <c r="K16" s="138"/>
      <c r="L16" s="44"/>
    </row>
    <row r="17" spans="2:12" ht="37.5" x14ac:dyDescent="0.35">
      <c r="B17" s="44"/>
      <c r="C17" s="135" t="s">
        <v>56</v>
      </c>
      <c r="D17" s="106" t="s">
        <v>51</v>
      </c>
      <c r="E17" s="106" t="s">
        <v>73</v>
      </c>
      <c r="F17" s="106" t="s">
        <v>53</v>
      </c>
      <c r="G17" s="110" t="s">
        <v>75</v>
      </c>
      <c r="H17" s="110"/>
      <c r="I17" s="108"/>
      <c r="J17" s="200" t="s">
        <v>626</v>
      </c>
      <c r="K17" s="138"/>
      <c r="L17" s="44"/>
    </row>
    <row r="18" spans="2:12" ht="37.5" x14ac:dyDescent="0.35">
      <c r="B18" s="44"/>
      <c r="C18" s="135" t="s">
        <v>56</v>
      </c>
      <c r="D18" s="106" t="s">
        <v>51</v>
      </c>
      <c r="E18" s="106" t="s">
        <v>76</v>
      </c>
      <c r="F18" s="106" t="s">
        <v>70</v>
      </c>
      <c r="G18" s="110" t="s">
        <v>77</v>
      </c>
      <c r="H18" s="110"/>
      <c r="I18" s="108"/>
      <c r="J18" s="200" t="s">
        <v>443</v>
      </c>
      <c r="K18" s="138"/>
      <c r="L18" s="44"/>
    </row>
    <row r="19" spans="2:12" ht="37.5" x14ac:dyDescent="0.35">
      <c r="B19" s="44"/>
      <c r="C19" s="135" t="s">
        <v>56</v>
      </c>
      <c r="D19" s="106" t="s">
        <v>51</v>
      </c>
      <c r="E19" s="106" t="s">
        <v>76</v>
      </c>
      <c r="F19" s="106" t="s">
        <v>70</v>
      </c>
      <c r="G19" s="110" t="s">
        <v>78</v>
      </c>
      <c r="H19" s="110"/>
      <c r="I19" s="108"/>
      <c r="J19" s="200" t="s">
        <v>444</v>
      </c>
      <c r="K19" s="138"/>
      <c r="L19" s="44"/>
    </row>
    <row r="20" spans="2:12" ht="325" x14ac:dyDescent="0.35">
      <c r="B20" s="44"/>
      <c r="C20" s="135" t="s">
        <v>60</v>
      </c>
      <c r="D20" s="106" t="s">
        <v>79</v>
      </c>
      <c r="E20" s="106" t="s">
        <v>80</v>
      </c>
      <c r="F20" s="106" t="s">
        <v>53</v>
      </c>
      <c r="G20" s="110" t="s">
        <v>81</v>
      </c>
      <c r="H20" s="110"/>
      <c r="I20" s="108"/>
      <c r="J20" s="115" t="s">
        <v>570</v>
      </c>
      <c r="K20" s="138"/>
      <c r="L20" s="44"/>
    </row>
    <row r="21" spans="2:12" ht="150" x14ac:dyDescent="0.35">
      <c r="B21" s="44"/>
      <c r="C21" s="135" t="s">
        <v>66</v>
      </c>
      <c r="D21" s="106" t="s">
        <v>79</v>
      </c>
      <c r="E21" s="106" t="s">
        <v>82</v>
      </c>
      <c r="F21" s="106" t="s">
        <v>53</v>
      </c>
      <c r="G21" s="110" t="s">
        <v>83</v>
      </c>
      <c r="H21" s="110"/>
      <c r="I21" s="108"/>
      <c r="J21" s="200" t="s">
        <v>445</v>
      </c>
      <c r="K21" s="138"/>
      <c r="L21" s="44"/>
    </row>
    <row r="22" spans="2:12" ht="200" x14ac:dyDescent="0.35">
      <c r="B22" s="44"/>
      <c r="C22" s="135" t="s">
        <v>60</v>
      </c>
      <c r="D22" s="106" t="s">
        <v>79</v>
      </c>
      <c r="E22" s="106" t="s">
        <v>84</v>
      </c>
      <c r="F22" s="106" t="s">
        <v>53</v>
      </c>
      <c r="G22" s="110" t="s">
        <v>85</v>
      </c>
      <c r="H22" s="110"/>
      <c r="I22" s="108"/>
      <c r="J22" s="115" t="s">
        <v>446</v>
      </c>
      <c r="K22" s="138"/>
      <c r="L22" s="44"/>
    </row>
    <row r="23" spans="2:12" ht="162.5" x14ac:dyDescent="0.35">
      <c r="B23" s="44"/>
      <c r="C23" s="135" t="s">
        <v>60</v>
      </c>
      <c r="D23" s="106" t="s">
        <v>79</v>
      </c>
      <c r="E23" s="106" t="s">
        <v>86</v>
      </c>
      <c r="F23" s="106" t="s">
        <v>70</v>
      </c>
      <c r="G23" s="110" t="s">
        <v>87</v>
      </c>
      <c r="H23" s="110"/>
      <c r="I23" s="108"/>
      <c r="J23" s="115" t="s">
        <v>447</v>
      </c>
      <c r="K23" s="138"/>
      <c r="L23" s="44"/>
    </row>
    <row r="24" spans="2:12" ht="137.5" x14ac:dyDescent="0.35">
      <c r="B24" s="44"/>
      <c r="C24" s="135" t="s">
        <v>66</v>
      </c>
      <c r="D24" s="106" t="s">
        <v>88</v>
      </c>
      <c r="E24" s="106" t="s">
        <v>89</v>
      </c>
      <c r="F24" s="106" t="s">
        <v>58</v>
      </c>
      <c r="G24" s="110" t="s">
        <v>627</v>
      </c>
      <c r="H24" s="110"/>
      <c r="I24" s="108"/>
      <c r="J24" s="200" t="s">
        <v>628</v>
      </c>
      <c r="K24" s="138"/>
      <c r="L24" s="44"/>
    </row>
    <row r="25" spans="2:12" ht="87.5" x14ac:dyDescent="0.35">
      <c r="B25" s="44"/>
      <c r="C25" s="135" t="s">
        <v>66</v>
      </c>
      <c r="D25" s="106" t="s">
        <v>88</v>
      </c>
      <c r="E25" s="106" t="s">
        <v>91</v>
      </c>
      <c r="F25" s="106" t="s">
        <v>53</v>
      </c>
      <c r="G25" s="110" t="s">
        <v>92</v>
      </c>
      <c r="H25" s="110"/>
      <c r="I25" s="108"/>
      <c r="J25" s="200" t="s">
        <v>629</v>
      </c>
      <c r="K25" s="138"/>
      <c r="L25" s="44"/>
    </row>
    <row r="26" spans="2:12" ht="150" x14ac:dyDescent="0.35">
      <c r="B26" s="44"/>
      <c r="C26" s="135" t="s">
        <v>66</v>
      </c>
      <c r="D26" s="106" t="s">
        <v>88</v>
      </c>
      <c r="E26" s="106" t="s">
        <v>93</v>
      </c>
      <c r="F26" s="106" t="s">
        <v>53</v>
      </c>
      <c r="G26" s="110" t="s">
        <v>94</v>
      </c>
      <c r="H26" s="110"/>
      <c r="I26" s="108"/>
      <c r="J26" s="200" t="s">
        <v>448</v>
      </c>
      <c r="K26" s="138"/>
      <c r="L26" s="44"/>
    </row>
    <row r="27" spans="2:12" ht="62.5" x14ac:dyDescent="0.35">
      <c r="B27" s="44"/>
      <c r="C27" s="135" t="s">
        <v>95</v>
      </c>
      <c r="D27" s="106" t="s">
        <v>51</v>
      </c>
      <c r="E27" s="106" t="s">
        <v>96</v>
      </c>
      <c r="F27" s="106" t="s">
        <v>53</v>
      </c>
      <c r="G27" s="136" t="s">
        <v>97</v>
      </c>
      <c r="H27" s="111"/>
      <c r="I27" s="108"/>
      <c r="J27" s="200" t="s">
        <v>449</v>
      </c>
      <c r="K27" s="138"/>
      <c r="L27" s="44"/>
    </row>
    <row r="28" spans="2:12" ht="112.5" x14ac:dyDescent="0.35">
      <c r="B28" s="44"/>
      <c r="C28" s="135" t="s">
        <v>95</v>
      </c>
      <c r="D28" s="106" t="s">
        <v>51</v>
      </c>
      <c r="E28" s="106" t="s">
        <v>98</v>
      </c>
      <c r="F28" s="106" t="s">
        <v>53</v>
      </c>
      <c r="G28" s="110" t="s">
        <v>99</v>
      </c>
      <c r="H28" s="111"/>
      <c r="I28" s="108"/>
      <c r="J28" s="200" t="s">
        <v>450</v>
      </c>
      <c r="K28" s="138"/>
      <c r="L28" s="44"/>
    </row>
    <row r="29" spans="2:12" ht="37.5" x14ac:dyDescent="0.35">
      <c r="B29" s="44"/>
      <c r="C29" s="135" t="s">
        <v>95</v>
      </c>
      <c r="D29" s="106" t="s">
        <v>61</v>
      </c>
      <c r="E29" s="106" t="s">
        <v>100</v>
      </c>
      <c r="F29" s="106" t="s">
        <v>70</v>
      </c>
      <c r="G29" s="112" t="s">
        <v>101</v>
      </c>
      <c r="H29" s="111"/>
      <c r="I29" s="108"/>
      <c r="J29" s="200" t="s">
        <v>451</v>
      </c>
      <c r="K29" s="138"/>
      <c r="L29" s="44"/>
    </row>
    <row r="30" spans="2:12" ht="62.5" x14ac:dyDescent="0.35">
      <c r="B30" s="44"/>
      <c r="C30" s="135" t="s">
        <v>95</v>
      </c>
      <c r="D30" s="106" t="s">
        <v>61</v>
      </c>
      <c r="E30" s="106" t="s">
        <v>102</v>
      </c>
      <c r="F30" s="106" t="s">
        <v>70</v>
      </c>
      <c r="G30" s="112" t="s">
        <v>103</v>
      </c>
      <c r="H30" s="111"/>
      <c r="I30" s="108"/>
      <c r="J30" s="200" t="s">
        <v>451</v>
      </c>
      <c r="K30" s="138"/>
      <c r="L30" s="44"/>
    </row>
    <row r="31" spans="2:12" ht="162.5" x14ac:dyDescent="0.35">
      <c r="B31" s="44"/>
      <c r="C31" s="135" t="s">
        <v>95</v>
      </c>
      <c r="D31" s="106" t="s">
        <v>61</v>
      </c>
      <c r="E31" s="106" t="s">
        <v>62</v>
      </c>
      <c r="F31" s="106" t="s">
        <v>58</v>
      </c>
      <c r="G31" s="136" t="s">
        <v>104</v>
      </c>
      <c r="H31" s="110"/>
      <c r="I31" s="108"/>
      <c r="J31" s="200" t="s">
        <v>452</v>
      </c>
      <c r="K31" s="138"/>
      <c r="L31" s="44"/>
    </row>
    <row r="32" spans="2:12" ht="225" x14ac:dyDescent="0.35">
      <c r="B32" s="44"/>
      <c r="C32" s="135" t="s">
        <v>95</v>
      </c>
      <c r="D32" s="106" t="s">
        <v>51</v>
      </c>
      <c r="E32" s="106" t="s">
        <v>105</v>
      </c>
      <c r="F32" s="106" t="s">
        <v>58</v>
      </c>
      <c r="G32" s="112" t="s">
        <v>106</v>
      </c>
      <c r="H32" s="110"/>
      <c r="I32" s="108"/>
      <c r="J32" s="200" t="s">
        <v>453</v>
      </c>
      <c r="K32" s="138"/>
      <c r="L32" s="44"/>
    </row>
    <row r="33" spans="2:12" ht="37.5" x14ac:dyDescent="0.35">
      <c r="B33" s="44"/>
      <c r="C33" s="135" t="s">
        <v>107</v>
      </c>
      <c r="D33" s="106" t="s">
        <v>51</v>
      </c>
      <c r="E33" s="106" t="s">
        <v>108</v>
      </c>
      <c r="F33" s="106" t="s">
        <v>53</v>
      </c>
      <c r="G33" s="110" t="s">
        <v>109</v>
      </c>
      <c r="H33" s="110"/>
      <c r="I33" s="108"/>
      <c r="J33" s="200" t="s">
        <v>451</v>
      </c>
      <c r="K33" s="138"/>
      <c r="L33" s="44"/>
    </row>
    <row r="34" spans="2:12" ht="112.5" x14ac:dyDescent="0.35">
      <c r="B34" s="44"/>
      <c r="C34" s="135" t="s">
        <v>66</v>
      </c>
      <c r="D34" s="106" t="s">
        <v>51</v>
      </c>
      <c r="E34" s="106" t="s">
        <v>67</v>
      </c>
      <c r="F34" s="106" t="s">
        <v>58</v>
      </c>
      <c r="G34" s="110" t="s">
        <v>110</v>
      </c>
      <c r="H34" s="110"/>
      <c r="I34" s="108"/>
      <c r="J34" s="201" t="s">
        <v>454</v>
      </c>
      <c r="K34" s="138"/>
      <c r="L34" s="44"/>
    </row>
    <row r="35" spans="2:12" ht="130.5" x14ac:dyDescent="0.35">
      <c r="B35" s="44"/>
      <c r="C35" s="135" t="s">
        <v>111</v>
      </c>
      <c r="D35" s="106" t="s">
        <v>51</v>
      </c>
      <c r="E35" s="106" t="s">
        <v>112</v>
      </c>
      <c r="F35" s="106" t="s">
        <v>53</v>
      </c>
      <c r="G35" s="110" t="s">
        <v>113</v>
      </c>
      <c r="H35" s="139" t="s">
        <v>114</v>
      </c>
      <c r="I35" s="108"/>
      <c r="J35" s="200" t="s">
        <v>455</v>
      </c>
      <c r="K35" s="138"/>
      <c r="L35" s="44"/>
    </row>
    <row r="36" spans="2:12" ht="62.5" x14ac:dyDescent="0.35">
      <c r="B36" s="44"/>
      <c r="C36" s="135" t="s">
        <v>111</v>
      </c>
      <c r="D36" s="106" t="s">
        <v>51</v>
      </c>
      <c r="E36" s="106" t="s">
        <v>115</v>
      </c>
      <c r="F36" s="106" t="s">
        <v>53</v>
      </c>
      <c r="G36" s="110" t="s">
        <v>116</v>
      </c>
      <c r="H36" s="110"/>
      <c r="I36" s="108"/>
      <c r="J36" s="200" t="s">
        <v>451</v>
      </c>
      <c r="K36" s="138"/>
      <c r="L36" s="44"/>
    </row>
    <row r="37" spans="2:12" ht="50" x14ac:dyDescent="0.35">
      <c r="B37" s="44"/>
      <c r="C37" s="135">
        <v>3</v>
      </c>
      <c r="D37" s="106" t="s">
        <v>51</v>
      </c>
      <c r="E37" s="106" t="s">
        <v>117</v>
      </c>
      <c r="F37" s="106" t="s">
        <v>53</v>
      </c>
      <c r="G37" s="110" t="s">
        <v>118</v>
      </c>
      <c r="H37" s="110"/>
      <c r="I37" s="108"/>
      <c r="J37" s="200" t="s">
        <v>456</v>
      </c>
      <c r="K37" s="138"/>
      <c r="L37" s="44"/>
    </row>
    <row r="38" spans="2:12" ht="150" x14ac:dyDescent="0.35">
      <c r="B38" s="44"/>
      <c r="C38" s="135" t="s">
        <v>95</v>
      </c>
      <c r="D38" s="106" t="s">
        <v>88</v>
      </c>
      <c r="E38" s="106" t="s">
        <v>119</v>
      </c>
      <c r="F38" s="106" t="s">
        <v>53</v>
      </c>
      <c r="G38" s="110" t="s">
        <v>120</v>
      </c>
      <c r="H38" s="110"/>
      <c r="I38" s="108"/>
      <c r="J38" s="200" t="s">
        <v>457</v>
      </c>
      <c r="K38" s="138"/>
      <c r="L38" s="44"/>
    </row>
    <row r="39" spans="2:12" ht="87.5" x14ac:dyDescent="0.35">
      <c r="B39" s="44"/>
      <c r="C39" s="135" t="s">
        <v>111</v>
      </c>
      <c r="D39" s="106" t="s">
        <v>121</v>
      </c>
      <c r="E39" s="106" t="s">
        <v>122</v>
      </c>
      <c r="F39" s="106" t="s">
        <v>53</v>
      </c>
      <c r="G39" s="110" t="s">
        <v>123</v>
      </c>
      <c r="H39" s="110"/>
      <c r="I39" s="108"/>
      <c r="J39" s="200" t="s">
        <v>458</v>
      </c>
      <c r="K39" s="138"/>
      <c r="L39" s="44"/>
    </row>
    <row r="40" spans="2:12" ht="50" x14ac:dyDescent="0.35">
      <c r="B40" s="44"/>
      <c r="C40" s="135" t="s">
        <v>66</v>
      </c>
      <c r="D40" s="106" t="s">
        <v>121</v>
      </c>
      <c r="E40" s="106" t="s">
        <v>124</v>
      </c>
      <c r="F40" s="106" t="s">
        <v>58</v>
      </c>
      <c r="G40" s="110" t="s">
        <v>125</v>
      </c>
      <c r="H40" s="110"/>
      <c r="I40" s="108"/>
      <c r="J40" s="200" t="s">
        <v>459</v>
      </c>
      <c r="K40" s="138"/>
      <c r="L40" s="44"/>
    </row>
    <row r="41" spans="2:12" ht="62.5" x14ac:dyDescent="0.35">
      <c r="B41" s="44"/>
      <c r="C41" s="135" t="s">
        <v>95</v>
      </c>
      <c r="D41" s="106" t="s">
        <v>126</v>
      </c>
      <c r="E41" s="106" t="s">
        <v>86</v>
      </c>
      <c r="F41" s="106" t="s">
        <v>53</v>
      </c>
      <c r="G41" s="110" t="s">
        <v>127</v>
      </c>
      <c r="H41" s="110"/>
      <c r="I41" s="108"/>
      <c r="J41" s="200" t="s">
        <v>460</v>
      </c>
      <c r="K41" s="138"/>
      <c r="L41" s="44"/>
    </row>
    <row r="42" spans="2:12" ht="50" x14ac:dyDescent="0.35">
      <c r="B42" s="44"/>
      <c r="C42" s="135" t="s">
        <v>66</v>
      </c>
      <c r="D42" s="106" t="s">
        <v>121</v>
      </c>
      <c r="E42" s="106" t="s">
        <v>82</v>
      </c>
      <c r="F42" s="106" t="s">
        <v>53</v>
      </c>
      <c r="G42" s="110" t="s">
        <v>128</v>
      </c>
      <c r="H42" s="110"/>
      <c r="I42" s="108"/>
      <c r="J42" s="200" t="s">
        <v>461</v>
      </c>
      <c r="K42" s="138"/>
      <c r="L42" s="44"/>
    </row>
    <row r="43" spans="2:12" ht="75" x14ac:dyDescent="0.35">
      <c r="B43" s="44"/>
      <c r="C43" s="135" t="s">
        <v>111</v>
      </c>
      <c r="D43" s="106" t="s">
        <v>121</v>
      </c>
      <c r="E43" s="106" t="s">
        <v>129</v>
      </c>
      <c r="F43" s="106" t="s">
        <v>53</v>
      </c>
      <c r="G43" s="110" t="s">
        <v>130</v>
      </c>
      <c r="H43" s="110"/>
      <c r="I43" s="108"/>
      <c r="J43" s="200" t="s">
        <v>462</v>
      </c>
      <c r="K43" s="138"/>
      <c r="L43" s="44"/>
    </row>
    <row r="44" spans="2:12" ht="112.5" x14ac:dyDescent="0.35">
      <c r="B44" s="44"/>
      <c r="C44" s="135" t="s">
        <v>66</v>
      </c>
      <c r="D44" s="106" t="s">
        <v>121</v>
      </c>
      <c r="E44" s="106" t="s">
        <v>131</v>
      </c>
      <c r="F44" s="106" t="s">
        <v>53</v>
      </c>
      <c r="G44" s="110" t="s">
        <v>132</v>
      </c>
      <c r="H44" s="110"/>
      <c r="I44" s="108"/>
      <c r="J44" s="115" t="s">
        <v>463</v>
      </c>
      <c r="K44" s="138"/>
      <c r="L44" s="44"/>
    </row>
    <row r="45" spans="2:12" ht="50" x14ac:dyDescent="0.35">
      <c r="B45" s="44"/>
      <c r="C45" s="135" t="s">
        <v>111</v>
      </c>
      <c r="D45" s="106" t="s">
        <v>88</v>
      </c>
      <c r="E45" s="106" t="s">
        <v>89</v>
      </c>
      <c r="F45" s="106" t="s">
        <v>58</v>
      </c>
      <c r="G45" s="110" t="s">
        <v>133</v>
      </c>
      <c r="H45" s="110"/>
      <c r="I45" s="108"/>
      <c r="J45" s="200" t="s">
        <v>464</v>
      </c>
      <c r="K45" s="138"/>
      <c r="L45" s="44"/>
    </row>
    <row r="46" spans="2:12" ht="50" x14ac:dyDescent="0.35">
      <c r="B46" s="44"/>
      <c r="C46" s="135" t="s">
        <v>95</v>
      </c>
      <c r="D46" s="106" t="s">
        <v>51</v>
      </c>
      <c r="E46" s="106" t="s">
        <v>134</v>
      </c>
      <c r="F46" s="106" t="s">
        <v>53</v>
      </c>
      <c r="G46" s="136" t="s">
        <v>135</v>
      </c>
      <c r="H46" s="111"/>
      <c r="I46" s="108"/>
      <c r="J46" s="200" t="s">
        <v>465</v>
      </c>
      <c r="K46" s="138"/>
      <c r="L46" s="44"/>
    </row>
    <row r="47" spans="2:12" ht="87.5" x14ac:dyDescent="0.35">
      <c r="B47" s="44"/>
      <c r="C47" s="135" t="s">
        <v>95</v>
      </c>
      <c r="D47" s="106" t="s">
        <v>51</v>
      </c>
      <c r="E47" s="106" t="s">
        <v>136</v>
      </c>
      <c r="F47" s="106" t="s">
        <v>58</v>
      </c>
      <c r="G47" s="136" t="s">
        <v>137</v>
      </c>
      <c r="H47" s="111"/>
      <c r="I47" s="108"/>
      <c r="J47" s="200" t="s">
        <v>466</v>
      </c>
      <c r="K47" s="138"/>
      <c r="L47" s="44"/>
    </row>
    <row r="48" spans="2:12" ht="87.5" x14ac:dyDescent="0.35">
      <c r="B48" s="44"/>
      <c r="C48" s="135" t="s">
        <v>95</v>
      </c>
      <c r="D48" s="106" t="s">
        <v>51</v>
      </c>
      <c r="E48" s="106" t="s">
        <v>138</v>
      </c>
      <c r="F48" s="106" t="s">
        <v>53</v>
      </c>
      <c r="G48" s="136" t="s">
        <v>139</v>
      </c>
      <c r="H48" s="110"/>
      <c r="I48" s="108"/>
      <c r="J48" s="200" t="s">
        <v>467</v>
      </c>
      <c r="K48" s="138"/>
      <c r="L48" s="44"/>
    </row>
    <row r="49" spans="2:12" ht="37.5" x14ac:dyDescent="0.35">
      <c r="B49" s="44"/>
      <c r="C49" s="135" t="s">
        <v>95</v>
      </c>
      <c r="D49" s="106" t="s">
        <v>51</v>
      </c>
      <c r="E49" s="106" t="s">
        <v>140</v>
      </c>
      <c r="F49" s="106" t="s">
        <v>53</v>
      </c>
      <c r="G49" s="112" t="s">
        <v>141</v>
      </c>
      <c r="H49" s="110"/>
      <c r="I49" s="108"/>
      <c r="J49" s="200" t="s">
        <v>468</v>
      </c>
      <c r="K49" s="138"/>
      <c r="L49" s="44"/>
    </row>
    <row r="50" spans="2:12" ht="225" x14ac:dyDescent="0.35">
      <c r="B50" s="44"/>
      <c r="C50" s="135" t="s">
        <v>95</v>
      </c>
      <c r="D50" s="106" t="s">
        <v>51</v>
      </c>
      <c r="E50" s="106" t="s">
        <v>142</v>
      </c>
      <c r="F50" s="106" t="s">
        <v>53</v>
      </c>
      <c r="G50" s="110" t="s">
        <v>143</v>
      </c>
      <c r="H50" s="110"/>
      <c r="I50" s="108"/>
      <c r="J50" s="200" t="s">
        <v>469</v>
      </c>
      <c r="K50" s="138"/>
      <c r="L50" s="44"/>
    </row>
    <row r="51" spans="2:12" ht="312.5" x14ac:dyDescent="0.35">
      <c r="B51" s="44"/>
      <c r="C51" s="135" t="s">
        <v>66</v>
      </c>
      <c r="D51" s="106" t="s">
        <v>51</v>
      </c>
      <c r="E51" s="106" t="s">
        <v>67</v>
      </c>
      <c r="F51" s="106" t="s">
        <v>58</v>
      </c>
      <c r="G51" s="110" t="s">
        <v>144</v>
      </c>
      <c r="H51" s="110"/>
      <c r="I51" s="108"/>
      <c r="J51" s="200" t="s">
        <v>470</v>
      </c>
      <c r="K51" s="138"/>
      <c r="L51" s="44"/>
    </row>
    <row r="52" spans="2:12" ht="75" x14ac:dyDescent="0.35">
      <c r="B52" s="44"/>
      <c r="C52" s="135" t="s">
        <v>66</v>
      </c>
      <c r="D52" s="106" t="s">
        <v>51</v>
      </c>
      <c r="E52" s="106" t="s">
        <v>145</v>
      </c>
      <c r="F52" s="106" t="s">
        <v>53</v>
      </c>
      <c r="G52" s="110" t="s">
        <v>146</v>
      </c>
      <c r="H52" s="110"/>
      <c r="I52" s="108"/>
      <c r="J52" s="200" t="s">
        <v>471</v>
      </c>
      <c r="K52" s="138"/>
      <c r="L52" s="44"/>
    </row>
    <row r="53" spans="2:12" ht="37.5" x14ac:dyDescent="0.35">
      <c r="B53" s="44"/>
      <c r="C53" s="135" t="s">
        <v>111</v>
      </c>
      <c r="D53" s="106" t="s">
        <v>147</v>
      </c>
      <c r="E53" s="106" t="s">
        <v>148</v>
      </c>
      <c r="F53" s="106" t="s">
        <v>53</v>
      </c>
      <c r="G53" s="110" t="s">
        <v>149</v>
      </c>
      <c r="H53" s="110"/>
      <c r="I53" s="108"/>
      <c r="J53" s="200" t="s">
        <v>471</v>
      </c>
      <c r="K53" s="138"/>
      <c r="L53" s="44"/>
    </row>
    <row r="54" spans="2:12" ht="75" x14ac:dyDescent="0.35">
      <c r="B54" s="44"/>
      <c r="C54" s="135" t="s">
        <v>95</v>
      </c>
      <c r="D54" s="106" t="s">
        <v>121</v>
      </c>
      <c r="E54" s="106" t="s">
        <v>129</v>
      </c>
      <c r="F54" s="106" t="s">
        <v>53</v>
      </c>
      <c r="G54" s="110" t="s">
        <v>150</v>
      </c>
      <c r="H54" s="110"/>
      <c r="I54" s="108"/>
      <c r="J54" s="200" t="s">
        <v>471</v>
      </c>
      <c r="K54" s="138"/>
      <c r="L54" s="44"/>
    </row>
    <row r="55" spans="2:12" x14ac:dyDescent="0.35">
      <c r="B55" s="44"/>
      <c r="C55" s="28"/>
      <c r="D55" s="28"/>
      <c r="E55" s="28"/>
      <c r="F55" s="28"/>
      <c r="G55" s="28"/>
      <c r="H55" s="28"/>
      <c r="I55" s="28"/>
      <c r="J55" s="28"/>
      <c r="K55" s="28"/>
      <c r="L55" s="44"/>
    </row>
    <row r="56" spans="2:12" x14ac:dyDescent="0.35">
      <c r="B56" s="44"/>
      <c r="C56" s="28"/>
      <c r="D56" s="28"/>
      <c r="E56" s="28"/>
      <c r="F56" s="28"/>
      <c r="G56" s="28"/>
      <c r="H56" s="28"/>
      <c r="I56" s="28"/>
      <c r="J56" s="28"/>
      <c r="K56" s="28"/>
      <c r="L56" s="44"/>
    </row>
    <row r="57" spans="2:12" ht="40.5" customHeight="1" x14ac:dyDescent="0.35">
      <c r="B57" s="44"/>
      <c r="C57" s="28"/>
      <c r="D57" s="239" t="s">
        <v>151</v>
      </c>
      <c r="E57" s="239"/>
      <c r="F57" s="239"/>
      <c r="G57" s="239"/>
      <c r="H57" s="239"/>
      <c r="I57" s="239"/>
      <c r="J57" s="239"/>
      <c r="K57" s="239"/>
      <c r="L57" s="44"/>
    </row>
    <row r="58" spans="2:12" ht="110.25" customHeight="1" x14ac:dyDescent="0.35">
      <c r="B58" s="44"/>
      <c r="C58" s="28"/>
      <c r="D58" s="236" t="s">
        <v>630</v>
      </c>
      <c r="E58" s="237"/>
      <c r="F58" s="237"/>
      <c r="G58" s="237"/>
      <c r="H58" s="237"/>
      <c r="I58" s="237"/>
      <c r="J58" s="237"/>
      <c r="K58" s="238"/>
      <c r="L58" s="44"/>
    </row>
    <row r="59" spans="2:12" x14ac:dyDescent="0.35">
      <c r="B59" s="44"/>
      <c r="C59" s="28"/>
      <c r="D59" s="16"/>
      <c r="E59" s="16"/>
      <c r="F59" s="16"/>
      <c r="G59" s="16"/>
      <c r="H59" s="16"/>
      <c r="I59" s="18"/>
      <c r="J59" s="18"/>
      <c r="K59" s="17"/>
      <c r="L59" s="44"/>
    </row>
    <row r="60" spans="2:12" ht="35.25" customHeight="1" x14ac:dyDescent="0.35">
      <c r="B60" s="44"/>
      <c r="C60" s="28"/>
      <c r="D60" s="239" t="s">
        <v>152</v>
      </c>
      <c r="E60" s="239"/>
      <c r="F60" s="239"/>
      <c r="G60" s="239"/>
      <c r="H60" s="239"/>
      <c r="I60" s="239"/>
      <c r="J60" s="239"/>
      <c r="K60" s="239"/>
      <c r="L60" s="44"/>
    </row>
    <row r="61" spans="2:12" ht="125.25" customHeight="1" x14ac:dyDescent="0.35">
      <c r="B61" s="44"/>
      <c r="C61" s="28"/>
      <c r="D61" s="236"/>
      <c r="E61" s="237"/>
      <c r="F61" s="237"/>
      <c r="G61" s="237"/>
      <c r="H61" s="237"/>
      <c r="I61" s="237"/>
      <c r="J61" s="237"/>
      <c r="K61" s="238"/>
      <c r="L61" s="44"/>
    </row>
    <row r="62" spans="2:12" x14ac:dyDescent="0.35">
      <c r="B62" s="44"/>
      <c r="C62" s="28"/>
      <c r="D62" s="28"/>
      <c r="E62" s="28"/>
      <c r="F62" s="28"/>
      <c r="G62" s="28"/>
      <c r="H62" s="28"/>
      <c r="I62" s="28"/>
      <c r="J62" s="28"/>
      <c r="K62" s="28"/>
      <c r="L62" s="44"/>
    </row>
    <row r="63" spans="2:12" x14ac:dyDescent="0.35">
      <c r="B63" s="45"/>
      <c r="C63" s="2"/>
      <c r="D63" s="2"/>
      <c r="E63" s="2"/>
      <c r="F63" s="2"/>
      <c r="G63" s="2"/>
      <c r="H63" s="2"/>
      <c r="I63" s="2"/>
      <c r="J63" s="2"/>
      <c r="K63" s="2"/>
    </row>
    <row r="64" spans="2:12" x14ac:dyDescent="0.35">
      <c r="B64" s="45"/>
      <c r="C64" s="2"/>
      <c r="D64" s="2"/>
      <c r="E64" s="2"/>
      <c r="F64" s="2"/>
      <c r="G64" s="2"/>
      <c r="H64" s="2"/>
      <c r="I64" s="2"/>
      <c r="J64" s="2"/>
      <c r="K64" s="2"/>
    </row>
    <row r="65" spans="2:11" x14ac:dyDescent="0.35">
      <c r="B65" s="45"/>
      <c r="C65" s="2"/>
      <c r="D65" s="2"/>
      <c r="E65" s="2"/>
      <c r="F65" s="2"/>
      <c r="G65" s="2"/>
      <c r="H65" s="2"/>
      <c r="I65" s="2"/>
      <c r="J65" s="2"/>
      <c r="K65" s="2"/>
    </row>
    <row r="66" spans="2:11" x14ac:dyDescent="0.35">
      <c r="B66" s="45"/>
      <c r="C66" s="2"/>
      <c r="D66" s="2"/>
      <c r="E66" s="2"/>
      <c r="F66" s="2"/>
      <c r="G66" s="2"/>
      <c r="H66" s="2"/>
      <c r="I66" s="2"/>
      <c r="J66" s="2"/>
      <c r="K66" s="2"/>
    </row>
    <row r="67" spans="2:11" x14ac:dyDescent="0.35">
      <c r="B67" s="45"/>
      <c r="C67" s="2"/>
      <c r="D67" s="2"/>
      <c r="E67" s="2"/>
      <c r="F67" s="2"/>
      <c r="G67" s="2"/>
      <c r="H67" s="2"/>
      <c r="I67" s="2"/>
      <c r="J67" s="2"/>
      <c r="K67" s="2"/>
    </row>
    <row r="68" spans="2:11" x14ac:dyDescent="0.35">
      <c r="B68" s="45"/>
      <c r="C68" s="2"/>
      <c r="D68" s="2"/>
      <c r="E68" s="2"/>
      <c r="F68" s="2"/>
      <c r="G68" s="2"/>
      <c r="H68" s="2"/>
      <c r="I68" s="2"/>
      <c r="J68" s="2"/>
      <c r="K68" s="2"/>
    </row>
    <row r="69" spans="2:11" x14ac:dyDescent="0.35">
      <c r="B69" s="45"/>
      <c r="C69" s="2"/>
      <c r="D69" s="2"/>
      <c r="E69" s="2"/>
      <c r="F69" s="2"/>
      <c r="G69" s="2"/>
      <c r="H69" s="2"/>
      <c r="I69" s="2"/>
      <c r="J69" s="2"/>
      <c r="K69" s="2"/>
    </row>
    <row r="70" spans="2:11" x14ac:dyDescent="0.35">
      <c r="B70" s="45"/>
      <c r="C70" s="2"/>
      <c r="D70" s="2"/>
      <c r="E70" s="2"/>
      <c r="F70" s="2"/>
      <c r="G70" s="2"/>
      <c r="H70" s="2"/>
      <c r="I70" s="2"/>
      <c r="J70" s="2"/>
      <c r="K70" s="2"/>
    </row>
    <row r="71" spans="2:11" x14ac:dyDescent="0.35">
      <c r="B71" s="45"/>
      <c r="C71" s="2"/>
      <c r="D71" s="2"/>
      <c r="E71" s="2"/>
      <c r="F71" s="2"/>
      <c r="G71" s="2"/>
      <c r="H71" s="2"/>
      <c r="I71" s="2"/>
      <c r="J71" s="2"/>
      <c r="K71" s="2"/>
    </row>
    <row r="72" spans="2:11" x14ac:dyDescent="0.35">
      <c r="B72" s="45"/>
      <c r="C72" s="2"/>
      <c r="D72" s="2"/>
      <c r="E72" s="2"/>
      <c r="F72" s="2"/>
      <c r="G72" s="2"/>
      <c r="H72" s="2"/>
      <c r="I72" s="2"/>
      <c r="J72" s="2"/>
      <c r="K72" s="2"/>
    </row>
    <row r="73" spans="2:11" x14ac:dyDescent="0.35">
      <c r="B73" s="45"/>
      <c r="C73" s="2"/>
      <c r="D73" s="2"/>
      <c r="E73" s="2"/>
      <c r="F73" s="2"/>
      <c r="G73" s="2"/>
      <c r="H73" s="2"/>
      <c r="I73" s="2"/>
      <c r="J73" s="2"/>
      <c r="K73" s="2"/>
    </row>
    <row r="74" spans="2:11" x14ac:dyDescent="0.35">
      <c r="B74" s="45"/>
      <c r="C74" s="2"/>
      <c r="D74" s="2"/>
      <c r="E74" s="2"/>
      <c r="F74" s="2"/>
      <c r="G74" s="2"/>
      <c r="H74" s="2"/>
      <c r="I74" s="2"/>
      <c r="J74" s="2"/>
      <c r="K74" s="2"/>
    </row>
    <row r="75" spans="2:11" x14ac:dyDescent="0.35">
      <c r="B75" s="45"/>
      <c r="C75" s="2"/>
      <c r="D75" s="2"/>
      <c r="E75" s="2"/>
      <c r="F75" s="2"/>
      <c r="G75" s="2"/>
      <c r="H75" s="2"/>
      <c r="I75" s="2"/>
      <c r="J75" s="2"/>
      <c r="K75" s="2"/>
    </row>
    <row r="76" spans="2:11" x14ac:dyDescent="0.35">
      <c r="B76" s="45"/>
      <c r="C76" s="2"/>
      <c r="D76" s="2"/>
      <c r="E76" s="2"/>
      <c r="F76" s="2"/>
      <c r="G76" s="2"/>
      <c r="H76" s="2"/>
      <c r="I76" s="2"/>
      <c r="J76" s="2"/>
      <c r="K76" s="2"/>
    </row>
    <row r="77" spans="2:11" x14ac:dyDescent="0.35">
      <c r="B77" s="45"/>
      <c r="C77" s="2"/>
      <c r="D77" s="2"/>
      <c r="E77" s="2"/>
      <c r="F77" s="2"/>
      <c r="G77" s="2"/>
      <c r="H77" s="2"/>
      <c r="I77" s="2"/>
      <c r="J77" s="2"/>
      <c r="K77" s="2"/>
    </row>
    <row r="78" spans="2:11" x14ac:dyDescent="0.35">
      <c r="B78" s="45"/>
      <c r="C78" s="2"/>
      <c r="D78" s="2"/>
      <c r="E78" s="2"/>
      <c r="F78" s="2"/>
      <c r="G78" s="2"/>
      <c r="H78" s="2"/>
      <c r="I78" s="2"/>
      <c r="J78" s="2"/>
      <c r="K78" s="2"/>
    </row>
    <row r="79" spans="2:11" x14ac:dyDescent="0.35">
      <c r="B79" s="45"/>
      <c r="C79" s="2"/>
      <c r="D79" s="2"/>
      <c r="E79" s="2"/>
      <c r="F79" s="2"/>
      <c r="G79" s="2"/>
      <c r="H79" s="2"/>
      <c r="I79" s="2"/>
      <c r="J79" s="2"/>
      <c r="K79" s="2"/>
    </row>
    <row r="80" spans="2:11" x14ac:dyDescent="0.35">
      <c r="B80" s="45"/>
      <c r="C80" s="2"/>
      <c r="D80" s="2"/>
      <c r="E80" s="2"/>
      <c r="F80" s="2"/>
      <c r="G80" s="2"/>
      <c r="H80" s="2"/>
      <c r="I80" s="2"/>
      <c r="J80" s="2"/>
      <c r="K80" s="2"/>
    </row>
    <row r="81" spans="2:11" x14ac:dyDescent="0.35">
      <c r="B81" s="45"/>
      <c r="C81" s="2"/>
      <c r="D81" s="2"/>
      <c r="E81" s="2"/>
      <c r="F81" s="2"/>
      <c r="G81" s="2"/>
      <c r="H81" s="2"/>
      <c r="I81" s="2"/>
      <c r="J81" s="2"/>
      <c r="K81" s="2"/>
    </row>
    <row r="82" spans="2:11" x14ac:dyDescent="0.35">
      <c r="B82" s="45"/>
      <c r="C82" s="2"/>
      <c r="D82" s="2"/>
      <c r="E82" s="2"/>
      <c r="F82" s="2"/>
      <c r="G82" s="2"/>
      <c r="H82" s="2"/>
      <c r="I82" s="2"/>
      <c r="J82" s="2"/>
      <c r="K82" s="2"/>
    </row>
    <row r="83" spans="2:11" x14ac:dyDescent="0.35">
      <c r="B83" s="45"/>
      <c r="C83" s="2"/>
      <c r="D83" s="2"/>
      <c r="E83" s="2"/>
      <c r="F83" s="2"/>
      <c r="G83" s="2"/>
      <c r="H83" s="2"/>
      <c r="I83" s="2"/>
      <c r="J83" s="2"/>
      <c r="K83" s="2"/>
    </row>
    <row r="84" spans="2:11" x14ac:dyDescent="0.35">
      <c r="B84" s="45"/>
      <c r="C84" s="2"/>
      <c r="D84" s="2"/>
      <c r="E84" s="2"/>
      <c r="F84" s="2"/>
      <c r="G84" s="2"/>
      <c r="H84" s="2"/>
      <c r="I84" s="2"/>
      <c r="J84" s="2"/>
      <c r="K84" s="2"/>
    </row>
    <row r="85" spans="2:11" x14ac:dyDescent="0.35">
      <c r="B85" s="45"/>
      <c r="C85" s="2"/>
      <c r="D85" s="2"/>
      <c r="E85" s="2"/>
      <c r="F85" s="2"/>
      <c r="G85" s="2"/>
      <c r="H85" s="2"/>
      <c r="I85" s="2"/>
      <c r="J85" s="2"/>
      <c r="K85" s="2"/>
    </row>
    <row r="86" spans="2:11" x14ac:dyDescent="0.35">
      <c r="B86" s="45"/>
      <c r="C86" s="2"/>
      <c r="D86" s="2"/>
      <c r="E86" s="2"/>
      <c r="F86" s="2"/>
      <c r="G86" s="2"/>
      <c r="H86" s="2"/>
      <c r="I86" s="2"/>
      <c r="J86" s="2"/>
      <c r="K86" s="2"/>
    </row>
    <row r="87" spans="2:11" x14ac:dyDescent="0.35">
      <c r="B87" s="45"/>
      <c r="C87" s="2"/>
      <c r="D87" s="2"/>
      <c r="E87" s="2"/>
      <c r="F87" s="2"/>
      <c r="G87" s="2"/>
      <c r="H87" s="2"/>
      <c r="I87" s="2"/>
      <c r="J87" s="2"/>
      <c r="K87" s="2"/>
    </row>
    <row r="88" spans="2:11" x14ac:dyDescent="0.35">
      <c r="B88" s="45"/>
      <c r="C88" s="2"/>
      <c r="D88" s="2"/>
      <c r="E88" s="2"/>
      <c r="F88" s="2"/>
      <c r="G88" s="2"/>
      <c r="H88" s="2"/>
      <c r="I88" s="2"/>
      <c r="J88" s="2"/>
      <c r="K88" s="2"/>
    </row>
    <row r="89" spans="2:11" x14ac:dyDescent="0.35">
      <c r="B89" s="45"/>
      <c r="C89" s="2"/>
      <c r="D89" s="2"/>
      <c r="E89" s="2"/>
      <c r="F89" s="2"/>
      <c r="G89" s="2"/>
      <c r="H89" s="2"/>
      <c r="I89" s="2"/>
      <c r="J89" s="2"/>
      <c r="K89" s="2"/>
    </row>
    <row r="90" spans="2:11" x14ac:dyDescent="0.35">
      <c r="B90" s="45"/>
      <c r="C90" s="2"/>
      <c r="D90" s="2"/>
      <c r="E90" s="2"/>
      <c r="F90" s="2"/>
      <c r="G90" s="2"/>
      <c r="H90" s="2"/>
      <c r="I90" s="2"/>
      <c r="J90" s="2"/>
      <c r="K90" s="2"/>
    </row>
    <row r="91" spans="2:11" x14ac:dyDescent="0.35">
      <c r="B91" s="45"/>
      <c r="C91" s="2"/>
      <c r="D91" s="2"/>
      <c r="E91" s="2"/>
      <c r="F91" s="2"/>
      <c r="G91" s="2"/>
      <c r="H91" s="2"/>
      <c r="I91" s="2"/>
      <c r="J91" s="2"/>
      <c r="K91" s="2"/>
    </row>
    <row r="92" spans="2:11" x14ac:dyDescent="0.35">
      <c r="B92" s="45"/>
      <c r="C92" s="2"/>
      <c r="D92" s="2"/>
      <c r="E92" s="2"/>
      <c r="F92" s="2"/>
      <c r="G92" s="2"/>
      <c r="H92" s="2"/>
      <c r="I92" s="2"/>
      <c r="J92" s="2"/>
      <c r="K92" s="2"/>
    </row>
    <row r="93" spans="2:11" x14ac:dyDescent="0.35">
      <c r="B93" s="45"/>
      <c r="C93" s="2"/>
      <c r="D93" s="2"/>
      <c r="E93" s="2"/>
      <c r="F93" s="2"/>
      <c r="G93" s="2"/>
      <c r="H93" s="2"/>
      <c r="I93" s="2"/>
      <c r="J93" s="2"/>
      <c r="K93" s="2"/>
    </row>
    <row r="94" spans="2:11" x14ac:dyDescent="0.35">
      <c r="B94" s="45"/>
      <c r="C94" s="2"/>
      <c r="D94" s="2"/>
      <c r="E94" s="2"/>
      <c r="F94" s="2"/>
      <c r="G94" s="2"/>
      <c r="H94" s="2"/>
      <c r="I94" s="2"/>
      <c r="J94" s="2"/>
      <c r="K94" s="2"/>
    </row>
    <row r="95" spans="2:11" x14ac:dyDescent="0.35">
      <c r="B95" s="45"/>
      <c r="C95" s="2"/>
      <c r="D95" s="2"/>
      <c r="E95" s="2"/>
      <c r="F95" s="2"/>
      <c r="G95" s="2"/>
      <c r="H95" s="2"/>
      <c r="I95" s="2"/>
      <c r="J95" s="2"/>
      <c r="K95" s="2"/>
    </row>
    <row r="96" spans="2:11" x14ac:dyDescent="0.35">
      <c r="B96" s="45"/>
      <c r="C96" s="2"/>
      <c r="D96" s="2"/>
      <c r="E96" s="2"/>
      <c r="F96" s="2"/>
      <c r="G96" s="2"/>
      <c r="H96" s="2"/>
      <c r="I96" s="2"/>
      <c r="J96" s="2"/>
      <c r="K96" s="2"/>
    </row>
    <row r="97" spans="2:11" x14ac:dyDescent="0.35">
      <c r="B97" s="45"/>
      <c r="C97" s="2"/>
      <c r="D97" s="2"/>
      <c r="E97" s="2"/>
      <c r="F97" s="2"/>
      <c r="G97" s="2"/>
      <c r="H97" s="2"/>
      <c r="I97" s="2"/>
      <c r="J97" s="2"/>
      <c r="K97" s="2"/>
    </row>
    <row r="98" spans="2:11" x14ac:dyDescent="0.35">
      <c r="B98" s="45"/>
      <c r="C98" s="2"/>
      <c r="D98" s="2"/>
      <c r="E98" s="2"/>
      <c r="F98" s="2"/>
      <c r="G98" s="2"/>
      <c r="H98" s="2"/>
      <c r="I98" s="2"/>
      <c r="J98" s="2"/>
      <c r="K98" s="2"/>
    </row>
    <row r="99" spans="2:11" x14ac:dyDescent="0.35">
      <c r="B99" s="45"/>
      <c r="C99" s="2"/>
      <c r="D99" s="2"/>
      <c r="E99" s="2"/>
      <c r="F99" s="2"/>
      <c r="G99" s="2"/>
      <c r="H99" s="2"/>
      <c r="I99" s="2"/>
      <c r="J99" s="2"/>
      <c r="K99" s="2"/>
    </row>
    <row r="100" spans="2:11" x14ac:dyDescent="0.35">
      <c r="B100" s="45"/>
      <c r="C100" s="2"/>
      <c r="D100" s="2"/>
      <c r="E100" s="2"/>
      <c r="F100" s="2"/>
      <c r="G100" s="2"/>
      <c r="H100" s="2"/>
      <c r="I100" s="2"/>
      <c r="J100" s="2"/>
      <c r="K100" s="2"/>
    </row>
    <row r="101" spans="2:11" x14ac:dyDescent="0.35">
      <c r="B101" s="45"/>
      <c r="C101" s="2"/>
      <c r="D101" s="2"/>
      <c r="E101" s="2"/>
      <c r="F101" s="2"/>
      <c r="G101" s="2"/>
      <c r="H101" s="2"/>
      <c r="I101" s="2"/>
      <c r="J101" s="2"/>
      <c r="K101" s="2"/>
    </row>
    <row r="102" spans="2:11" x14ac:dyDescent="0.35">
      <c r="B102" s="45"/>
      <c r="C102" s="2"/>
      <c r="D102" s="2"/>
      <c r="E102" s="2"/>
      <c r="F102" s="2"/>
      <c r="G102" s="2"/>
      <c r="H102" s="2"/>
      <c r="I102" s="2"/>
      <c r="J102" s="2"/>
      <c r="K102" s="2"/>
    </row>
    <row r="103" spans="2:11" x14ac:dyDescent="0.35">
      <c r="B103" s="45"/>
      <c r="C103" s="2"/>
      <c r="D103" s="2"/>
      <c r="E103" s="2"/>
      <c r="F103" s="2"/>
      <c r="G103" s="2"/>
      <c r="H103" s="2"/>
      <c r="I103" s="2"/>
      <c r="J103" s="2"/>
      <c r="K103" s="2"/>
    </row>
    <row r="104" spans="2:11" x14ac:dyDescent="0.35">
      <c r="B104" s="45"/>
      <c r="C104" s="2"/>
      <c r="D104" s="2"/>
      <c r="E104" s="2"/>
      <c r="F104" s="2"/>
      <c r="G104" s="2"/>
      <c r="H104" s="2"/>
      <c r="I104" s="2"/>
      <c r="J104" s="2"/>
      <c r="K104" s="2"/>
    </row>
    <row r="105" spans="2:11" x14ac:dyDescent="0.35">
      <c r="B105" s="45"/>
      <c r="C105" s="2"/>
      <c r="D105" s="2"/>
      <c r="E105" s="2"/>
      <c r="F105" s="2"/>
      <c r="G105" s="2"/>
      <c r="H105" s="2"/>
      <c r="I105" s="2"/>
      <c r="J105" s="2"/>
      <c r="K105" s="2"/>
    </row>
    <row r="106" spans="2:11" x14ac:dyDescent="0.35">
      <c r="B106" s="45"/>
      <c r="C106" s="2"/>
      <c r="D106" s="2"/>
      <c r="E106" s="2"/>
      <c r="F106" s="2"/>
      <c r="G106" s="2"/>
      <c r="H106" s="2"/>
      <c r="I106" s="2"/>
      <c r="J106" s="2"/>
      <c r="K106" s="2"/>
    </row>
    <row r="107" spans="2:11" x14ac:dyDescent="0.35">
      <c r="B107" s="45"/>
      <c r="C107" s="2"/>
      <c r="D107" s="2"/>
      <c r="E107" s="2"/>
      <c r="F107" s="2"/>
      <c r="G107" s="2"/>
      <c r="H107" s="2"/>
      <c r="I107" s="2"/>
      <c r="J107" s="2"/>
      <c r="K107" s="2"/>
    </row>
    <row r="108" spans="2:11" x14ac:dyDescent="0.35">
      <c r="B108" s="45"/>
      <c r="C108" s="2"/>
      <c r="D108" s="2"/>
      <c r="E108" s="2"/>
      <c r="F108" s="2"/>
      <c r="G108" s="2"/>
      <c r="H108" s="2"/>
      <c r="I108" s="2"/>
      <c r="J108" s="2"/>
      <c r="K108" s="2"/>
    </row>
    <row r="109" spans="2:11" x14ac:dyDescent="0.35">
      <c r="B109" s="45"/>
      <c r="C109" s="2"/>
      <c r="D109" s="2"/>
      <c r="E109" s="2"/>
      <c r="F109" s="2"/>
      <c r="G109" s="2"/>
      <c r="H109" s="2"/>
      <c r="I109" s="2"/>
      <c r="J109" s="2"/>
      <c r="K109" s="2"/>
    </row>
    <row r="110" spans="2:11" x14ac:dyDescent="0.35">
      <c r="B110" s="45"/>
      <c r="C110" s="2"/>
      <c r="D110" s="2"/>
      <c r="E110" s="2"/>
      <c r="F110" s="2"/>
      <c r="G110" s="2"/>
      <c r="H110" s="2"/>
      <c r="I110" s="2"/>
      <c r="J110" s="2"/>
      <c r="K110" s="2"/>
    </row>
    <row r="111" spans="2:11" x14ac:dyDescent="0.35">
      <c r="B111" s="45"/>
      <c r="C111" s="2"/>
      <c r="D111" s="2"/>
      <c r="E111" s="2"/>
      <c r="F111" s="2"/>
      <c r="G111" s="2"/>
      <c r="H111" s="2"/>
      <c r="I111" s="2"/>
      <c r="J111" s="2"/>
      <c r="K111" s="2"/>
    </row>
    <row r="112" spans="2:11" x14ac:dyDescent="0.35">
      <c r="B112" s="45"/>
      <c r="C112" s="2"/>
      <c r="D112" s="2"/>
      <c r="E112" s="2"/>
      <c r="F112" s="2"/>
      <c r="G112" s="2"/>
      <c r="H112" s="2"/>
      <c r="I112" s="2"/>
      <c r="J112" s="2"/>
      <c r="K112" s="2"/>
    </row>
    <row r="113" spans="2:11" x14ac:dyDescent="0.35">
      <c r="B113" s="45"/>
      <c r="C113" s="2"/>
      <c r="D113" s="2"/>
      <c r="E113" s="2"/>
      <c r="F113" s="2"/>
      <c r="G113" s="2"/>
      <c r="H113" s="2"/>
      <c r="I113" s="2"/>
      <c r="J113" s="2"/>
      <c r="K113" s="2"/>
    </row>
    <row r="114" spans="2:11" x14ac:dyDescent="0.35">
      <c r="B114" s="45"/>
      <c r="C114" s="2"/>
      <c r="D114" s="2"/>
      <c r="E114" s="2"/>
      <c r="F114" s="2"/>
      <c r="G114" s="2"/>
      <c r="H114" s="2"/>
      <c r="I114" s="2"/>
      <c r="J114" s="2"/>
      <c r="K114" s="2"/>
    </row>
    <row r="115" spans="2:11" x14ac:dyDescent="0.35">
      <c r="B115" s="45"/>
      <c r="C115" s="2"/>
      <c r="D115" s="2"/>
      <c r="E115" s="2"/>
      <c r="F115" s="2"/>
      <c r="G115" s="2"/>
      <c r="H115" s="2"/>
      <c r="I115" s="2"/>
      <c r="J115" s="2"/>
      <c r="K115" s="2"/>
    </row>
    <row r="116" spans="2:11" x14ac:dyDescent="0.35">
      <c r="B116" s="45"/>
      <c r="C116" s="2"/>
      <c r="D116" s="2"/>
      <c r="E116" s="2"/>
      <c r="F116" s="2"/>
      <c r="G116" s="2"/>
      <c r="H116" s="2"/>
      <c r="I116" s="2"/>
      <c r="J116" s="2"/>
      <c r="K116" s="2"/>
    </row>
    <row r="117" spans="2:11" x14ac:dyDescent="0.35">
      <c r="B117" s="45"/>
      <c r="C117" s="2"/>
      <c r="D117" s="2"/>
      <c r="E117" s="2"/>
      <c r="F117" s="2"/>
      <c r="G117" s="2"/>
      <c r="H117" s="2"/>
      <c r="I117" s="2"/>
      <c r="J117" s="2"/>
      <c r="K117" s="2"/>
    </row>
    <row r="118" spans="2:11" x14ac:dyDescent="0.35">
      <c r="B118" s="45"/>
      <c r="C118" s="2"/>
      <c r="D118" s="2"/>
      <c r="E118" s="2"/>
      <c r="F118" s="2"/>
      <c r="G118" s="2"/>
      <c r="H118" s="2"/>
      <c r="I118" s="2"/>
      <c r="J118" s="2"/>
      <c r="K118" s="2"/>
    </row>
    <row r="119" spans="2:11" x14ac:dyDescent="0.35">
      <c r="B119" s="45"/>
      <c r="C119" s="2"/>
      <c r="D119" s="2"/>
      <c r="E119" s="2"/>
      <c r="F119" s="2"/>
      <c r="G119" s="2"/>
      <c r="H119" s="2"/>
      <c r="I119" s="2"/>
      <c r="J119" s="2"/>
      <c r="K119" s="2"/>
    </row>
    <row r="120" spans="2:11" x14ac:dyDescent="0.35">
      <c r="B120" s="45"/>
      <c r="C120" s="2"/>
      <c r="D120" s="2"/>
      <c r="E120" s="2"/>
      <c r="F120" s="2"/>
      <c r="G120" s="2"/>
      <c r="H120" s="2"/>
      <c r="I120" s="2"/>
      <c r="J120" s="2"/>
      <c r="K120" s="2"/>
    </row>
    <row r="121" spans="2:11" x14ac:dyDescent="0.35">
      <c r="B121" s="45"/>
      <c r="C121" s="2"/>
      <c r="D121" s="2"/>
      <c r="E121" s="2"/>
      <c r="F121" s="2"/>
      <c r="G121" s="2"/>
      <c r="H121" s="2"/>
      <c r="I121" s="2"/>
      <c r="J121" s="2"/>
      <c r="K121" s="2"/>
    </row>
    <row r="122" spans="2:11" x14ac:dyDescent="0.35">
      <c r="B122" s="45"/>
      <c r="C122" s="2"/>
      <c r="D122" s="2"/>
      <c r="E122" s="2"/>
      <c r="F122" s="2"/>
      <c r="G122" s="2"/>
      <c r="H122" s="2"/>
      <c r="I122" s="2"/>
      <c r="J122" s="2"/>
      <c r="K122" s="2"/>
    </row>
    <row r="123" spans="2:11" x14ac:dyDescent="0.35">
      <c r="B123" s="45"/>
      <c r="C123" s="2"/>
      <c r="D123" s="2"/>
      <c r="E123" s="2"/>
      <c r="F123" s="2"/>
      <c r="G123" s="2"/>
      <c r="H123" s="2"/>
      <c r="I123" s="2"/>
      <c r="J123" s="2"/>
      <c r="K123" s="2"/>
    </row>
    <row r="124" spans="2:11" x14ac:dyDescent="0.35">
      <c r="B124" s="45"/>
      <c r="C124" s="2"/>
      <c r="D124" s="2"/>
      <c r="E124" s="2"/>
      <c r="F124" s="2"/>
      <c r="G124" s="2"/>
      <c r="H124" s="2"/>
      <c r="I124" s="2"/>
      <c r="J124" s="2"/>
      <c r="K124" s="2"/>
    </row>
    <row r="125" spans="2:11" x14ac:dyDescent="0.35">
      <c r="B125" s="45"/>
      <c r="C125" s="2"/>
      <c r="D125" s="2"/>
      <c r="E125" s="2"/>
      <c r="F125" s="2"/>
      <c r="G125" s="2"/>
      <c r="H125" s="2"/>
      <c r="I125" s="2"/>
      <c r="J125" s="2"/>
      <c r="K125" s="2"/>
    </row>
    <row r="126" spans="2:11" x14ac:dyDescent="0.35">
      <c r="B126" s="45"/>
      <c r="C126" s="2"/>
      <c r="D126" s="2"/>
      <c r="E126" s="2"/>
      <c r="F126" s="2"/>
      <c r="G126" s="2"/>
      <c r="H126" s="2"/>
      <c r="I126" s="2"/>
      <c r="J126" s="2"/>
      <c r="K126" s="2"/>
    </row>
    <row r="127" spans="2:11" x14ac:dyDescent="0.35">
      <c r="B127" s="45"/>
      <c r="C127" s="2"/>
      <c r="D127" s="2"/>
      <c r="E127" s="2"/>
      <c r="F127" s="2"/>
      <c r="G127" s="2"/>
      <c r="H127" s="2"/>
      <c r="I127" s="2"/>
      <c r="J127" s="2"/>
      <c r="K127" s="2"/>
    </row>
    <row r="128" spans="2:11" x14ac:dyDescent="0.35">
      <c r="B128" s="45"/>
      <c r="C128" s="2"/>
      <c r="D128" s="2"/>
      <c r="E128" s="2"/>
      <c r="F128" s="2"/>
      <c r="G128" s="2"/>
      <c r="H128" s="2"/>
      <c r="I128" s="2"/>
      <c r="J128" s="2"/>
      <c r="K128" s="2"/>
    </row>
    <row r="129" spans="2:11" x14ac:dyDescent="0.35">
      <c r="B129" s="45"/>
      <c r="C129" s="2"/>
      <c r="D129" s="2"/>
      <c r="E129" s="2"/>
      <c r="F129" s="2"/>
      <c r="G129" s="2"/>
      <c r="H129" s="2"/>
      <c r="I129" s="2"/>
      <c r="J129" s="2"/>
      <c r="K129" s="2"/>
    </row>
    <row r="130" spans="2:11" x14ac:dyDescent="0.35">
      <c r="B130" s="45"/>
      <c r="C130" s="2"/>
      <c r="D130" s="2"/>
      <c r="E130" s="2"/>
      <c r="F130" s="2"/>
      <c r="G130" s="2"/>
      <c r="H130" s="2"/>
      <c r="I130" s="2"/>
      <c r="J130" s="2"/>
      <c r="K130" s="2"/>
    </row>
    <row r="131" spans="2:11" x14ac:dyDescent="0.35">
      <c r="B131" s="45"/>
      <c r="C131" s="2"/>
      <c r="D131" s="2"/>
      <c r="E131" s="2"/>
      <c r="F131" s="2"/>
      <c r="G131" s="2"/>
      <c r="H131" s="2"/>
      <c r="I131" s="2"/>
      <c r="J131" s="2"/>
      <c r="K131" s="2"/>
    </row>
    <row r="132" spans="2:11" x14ac:dyDescent="0.35">
      <c r="B132" s="45"/>
      <c r="C132" s="2"/>
      <c r="D132" s="2"/>
      <c r="E132" s="2"/>
      <c r="F132" s="2"/>
      <c r="G132" s="2"/>
      <c r="H132" s="2"/>
      <c r="I132" s="2"/>
      <c r="J132" s="2"/>
      <c r="K132" s="2"/>
    </row>
    <row r="133" spans="2:11" x14ac:dyDescent="0.35">
      <c r="B133" s="45"/>
      <c r="C133" s="2"/>
      <c r="D133" s="2"/>
      <c r="E133" s="2"/>
      <c r="F133" s="2"/>
      <c r="G133" s="2"/>
      <c r="H133" s="2"/>
      <c r="I133" s="2"/>
      <c r="J133" s="2"/>
      <c r="K133" s="2"/>
    </row>
    <row r="134" spans="2:11" x14ac:dyDescent="0.35">
      <c r="B134" s="45"/>
      <c r="C134" s="2"/>
      <c r="D134" s="2"/>
      <c r="E134" s="2"/>
      <c r="F134" s="2"/>
      <c r="G134" s="2"/>
      <c r="H134" s="2"/>
      <c r="I134" s="2"/>
      <c r="J134" s="2"/>
      <c r="K134" s="2"/>
    </row>
    <row r="135" spans="2:11" x14ac:dyDescent="0.35">
      <c r="B135" s="45"/>
      <c r="C135" s="2"/>
      <c r="D135" s="2"/>
      <c r="E135" s="2"/>
      <c r="F135" s="2"/>
      <c r="G135" s="2"/>
      <c r="H135" s="2"/>
      <c r="I135" s="2"/>
      <c r="J135" s="2"/>
      <c r="K135" s="2"/>
    </row>
    <row r="136" spans="2:11" x14ac:dyDescent="0.35">
      <c r="B136" s="45"/>
      <c r="C136" s="2"/>
      <c r="D136" s="2"/>
      <c r="E136" s="2"/>
      <c r="F136" s="2"/>
      <c r="G136" s="2"/>
      <c r="H136" s="2"/>
      <c r="I136" s="2"/>
      <c r="J136" s="2"/>
      <c r="K136" s="2"/>
    </row>
    <row r="137" spans="2:11" x14ac:dyDescent="0.35">
      <c r="B137" s="45"/>
      <c r="C137" s="2"/>
      <c r="D137" s="2"/>
      <c r="E137" s="2"/>
      <c r="F137" s="2"/>
      <c r="G137" s="2"/>
      <c r="H137" s="2"/>
      <c r="I137" s="2"/>
      <c r="J137" s="2"/>
      <c r="K137" s="2"/>
    </row>
    <row r="138" spans="2:11" x14ac:dyDescent="0.35">
      <c r="B138" s="45"/>
      <c r="C138" s="2"/>
      <c r="D138" s="2"/>
      <c r="E138" s="2"/>
      <c r="F138" s="2"/>
      <c r="G138" s="2"/>
      <c r="H138" s="2"/>
      <c r="I138" s="2"/>
      <c r="J138" s="2"/>
      <c r="K138" s="2"/>
    </row>
    <row r="139" spans="2:11" x14ac:dyDescent="0.35">
      <c r="B139" s="45"/>
      <c r="C139" s="2"/>
      <c r="D139" s="2"/>
      <c r="E139" s="2"/>
      <c r="F139" s="2"/>
      <c r="G139" s="2"/>
      <c r="H139" s="2"/>
      <c r="I139" s="2"/>
      <c r="J139" s="2"/>
      <c r="K139" s="2"/>
    </row>
    <row r="140" spans="2:11" x14ac:dyDescent="0.35">
      <c r="B140" s="45"/>
      <c r="C140" s="2"/>
      <c r="D140" s="2"/>
      <c r="E140" s="2"/>
      <c r="F140" s="2"/>
      <c r="G140" s="2"/>
      <c r="H140" s="2"/>
      <c r="I140" s="2"/>
      <c r="J140" s="2"/>
      <c r="K140" s="2"/>
    </row>
    <row r="141" spans="2:11" x14ac:dyDescent="0.35">
      <c r="B141" s="45"/>
      <c r="C141" s="2"/>
      <c r="D141" s="2"/>
      <c r="E141" s="2"/>
      <c r="F141" s="2"/>
      <c r="G141" s="2"/>
      <c r="H141" s="2"/>
      <c r="I141" s="2"/>
      <c r="J141" s="2"/>
      <c r="K141" s="2"/>
    </row>
    <row r="142" spans="2:11" x14ac:dyDescent="0.35">
      <c r="B142" s="45"/>
      <c r="C142" s="2"/>
      <c r="D142" s="2"/>
      <c r="E142" s="2"/>
      <c r="F142" s="2"/>
      <c r="G142" s="2"/>
      <c r="H142" s="2"/>
      <c r="I142" s="2"/>
      <c r="J142" s="2"/>
      <c r="K142" s="2"/>
    </row>
    <row r="143" spans="2:11" x14ac:dyDescent="0.35">
      <c r="B143" s="45"/>
      <c r="C143" s="2"/>
      <c r="D143" s="2"/>
      <c r="E143" s="2"/>
      <c r="F143" s="2"/>
      <c r="G143" s="2"/>
      <c r="H143" s="2"/>
      <c r="I143" s="2"/>
      <c r="J143" s="2"/>
      <c r="K143" s="2"/>
    </row>
    <row r="144" spans="2:11" x14ac:dyDescent="0.35">
      <c r="B144" s="45"/>
      <c r="C144" s="2"/>
      <c r="D144" s="2"/>
      <c r="E144" s="2"/>
      <c r="F144" s="2"/>
      <c r="G144" s="2"/>
      <c r="H144" s="2"/>
      <c r="I144" s="2"/>
      <c r="J144" s="2"/>
      <c r="K144" s="2"/>
    </row>
    <row r="145" spans="2:11" x14ac:dyDescent="0.35">
      <c r="B145" s="45"/>
      <c r="C145" s="2"/>
      <c r="D145" s="2"/>
      <c r="E145" s="2"/>
      <c r="F145" s="2"/>
      <c r="G145" s="2"/>
      <c r="H145" s="2"/>
      <c r="I145" s="2"/>
      <c r="J145" s="2"/>
      <c r="K145" s="2"/>
    </row>
    <row r="146" spans="2:11" x14ac:dyDescent="0.35">
      <c r="B146" s="45"/>
      <c r="C146" s="2"/>
      <c r="D146" s="2"/>
      <c r="E146" s="2"/>
      <c r="F146" s="2"/>
      <c r="G146" s="2"/>
      <c r="H146" s="2"/>
      <c r="I146" s="2"/>
      <c r="J146" s="2"/>
      <c r="K146" s="2"/>
    </row>
    <row r="147" spans="2:11" x14ac:dyDescent="0.35">
      <c r="B147" s="45"/>
      <c r="C147" s="2"/>
      <c r="D147" s="2"/>
      <c r="E147" s="2"/>
      <c r="F147" s="2"/>
      <c r="G147" s="2"/>
      <c r="H147" s="2"/>
      <c r="I147" s="2"/>
      <c r="J147" s="2"/>
      <c r="K147" s="2"/>
    </row>
    <row r="148" spans="2:11" x14ac:dyDescent="0.35">
      <c r="B148" s="45"/>
      <c r="C148" s="2"/>
      <c r="D148" s="2"/>
      <c r="E148" s="2"/>
      <c r="F148" s="2"/>
      <c r="G148" s="2"/>
      <c r="H148" s="2"/>
      <c r="I148" s="2"/>
      <c r="J148" s="2"/>
      <c r="K148" s="2"/>
    </row>
    <row r="149" spans="2:11" x14ac:dyDescent="0.35">
      <c r="B149" s="45"/>
      <c r="C149" s="2"/>
      <c r="D149" s="2"/>
      <c r="E149" s="2"/>
      <c r="F149" s="2"/>
      <c r="G149" s="2"/>
      <c r="H149" s="2"/>
      <c r="I149" s="2"/>
      <c r="J149" s="2"/>
      <c r="K149" s="2"/>
    </row>
    <row r="150" spans="2:11" x14ac:dyDescent="0.35">
      <c r="B150" s="45"/>
      <c r="C150" s="2"/>
      <c r="D150" s="2"/>
      <c r="E150" s="2"/>
      <c r="F150" s="2"/>
      <c r="G150" s="2"/>
      <c r="H150" s="2"/>
      <c r="I150" s="2"/>
      <c r="J150" s="2"/>
      <c r="K150" s="2"/>
    </row>
    <row r="151" spans="2:11" x14ac:dyDescent="0.35">
      <c r="B151" s="45"/>
      <c r="C151" s="2"/>
      <c r="D151" s="2"/>
      <c r="E151" s="2"/>
      <c r="F151" s="2"/>
      <c r="G151" s="2"/>
      <c r="H151" s="2"/>
      <c r="I151" s="2"/>
      <c r="J151" s="2"/>
      <c r="K151" s="2"/>
    </row>
    <row r="152" spans="2:11" x14ac:dyDescent="0.35">
      <c r="B152" s="45"/>
      <c r="C152" s="2"/>
      <c r="D152" s="2"/>
      <c r="E152" s="2"/>
      <c r="F152" s="2"/>
      <c r="G152" s="2"/>
      <c r="H152" s="2"/>
      <c r="I152" s="2"/>
      <c r="J152" s="2"/>
      <c r="K152" s="2"/>
    </row>
    <row r="153" spans="2:11" x14ac:dyDescent="0.35">
      <c r="B153" s="45"/>
      <c r="C153" s="2"/>
      <c r="D153" s="2"/>
      <c r="E153" s="2"/>
      <c r="F153" s="2"/>
      <c r="G153" s="2"/>
      <c r="H153" s="2"/>
      <c r="I153" s="2"/>
      <c r="J153" s="2"/>
      <c r="K153" s="2"/>
    </row>
    <row r="154" spans="2:11" x14ac:dyDescent="0.35">
      <c r="B154" s="45"/>
      <c r="C154" s="2"/>
      <c r="D154" s="2"/>
      <c r="E154" s="2"/>
      <c r="F154" s="2"/>
      <c r="G154" s="2"/>
      <c r="H154" s="2"/>
      <c r="I154" s="2"/>
      <c r="J154" s="2"/>
      <c r="K154" s="2"/>
    </row>
    <row r="155" spans="2:11" x14ac:dyDescent="0.35">
      <c r="B155" s="45"/>
      <c r="C155" s="2"/>
      <c r="D155" s="2"/>
      <c r="E155" s="2"/>
      <c r="F155" s="2"/>
      <c r="G155" s="2"/>
      <c r="H155" s="2"/>
      <c r="I155" s="2"/>
      <c r="J155" s="2"/>
      <c r="K155" s="2"/>
    </row>
    <row r="156" spans="2:11" x14ac:dyDescent="0.35">
      <c r="B156" s="45"/>
      <c r="C156" s="2"/>
      <c r="D156" s="2"/>
      <c r="E156" s="2"/>
      <c r="F156" s="2"/>
      <c r="G156" s="2"/>
      <c r="H156" s="2"/>
      <c r="I156" s="2"/>
      <c r="J156" s="2"/>
      <c r="K156" s="2"/>
    </row>
    <row r="157" spans="2:11" x14ac:dyDescent="0.35">
      <c r="B157" s="45"/>
      <c r="C157" s="2"/>
      <c r="D157" s="2"/>
      <c r="E157" s="2"/>
      <c r="F157" s="2"/>
      <c r="G157" s="2"/>
      <c r="H157" s="2"/>
      <c r="I157" s="2"/>
      <c r="J157" s="2"/>
      <c r="K157" s="2"/>
    </row>
    <row r="158" spans="2:11" x14ac:dyDescent="0.35">
      <c r="B158" s="45"/>
      <c r="C158" s="2"/>
      <c r="D158" s="2"/>
      <c r="E158" s="2"/>
      <c r="F158" s="2"/>
      <c r="G158" s="2"/>
      <c r="H158" s="2"/>
      <c r="I158" s="2"/>
      <c r="J158" s="2"/>
      <c r="K158" s="2"/>
    </row>
    <row r="159" spans="2:11" x14ac:dyDescent="0.35">
      <c r="B159" s="45"/>
      <c r="C159" s="2"/>
      <c r="D159" s="2"/>
      <c r="E159" s="2"/>
      <c r="F159" s="2"/>
      <c r="G159" s="2"/>
      <c r="H159" s="2"/>
      <c r="I159" s="2"/>
      <c r="J159" s="2"/>
      <c r="K159" s="2"/>
    </row>
    <row r="160" spans="2:11" x14ac:dyDescent="0.35">
      <c r="B160" s="45"/>
      <c r="C160" s="2"/>
      <c r="D160" s="2"/>
      <c r="E160" s="2"/>
      <c r="F160" s="2"/>
      <c r="G160" s="2"/>
      <c r="H160" s="2"/>
      <c r="I160" s="2"/>
      <c r="J160" s="2"/>
      <c r="K160" s="2"/>
    </row>
    <row r="161" spans="2:11" x14ac:dyDescent="0.35">
      <c r="B161" s="45"/>
      <c r="C161" s="2"/>
      <c r="D161" s="2"/>
      <c r="E161" s="2"/>
      <c r="F161" s="2"/>
      <c r="G161" s="2"/>
      <c r="H161" s="2"/>
      <c r="I161" s="2"/>
      <c r="J161" s="2"/>
      <c r="K161" s="2"/>
    </row>
    <row r="162" spans="2:11" x14ac:dyDescent="0.35">
      <c r="B162" s="45"/>
      <c r="C162" s="2"/>
      <c r="D162" s="2"/>
      <c r="E162" s="2"/>
      <c r="F162" s="2"/>
      <c r="G162" s="2"/>
      <c r="H162" s="2"/>
      <c r="I162" s="2"/>
      <c r="J162" s="2"/>
      <c r="K162" s="2"/>
    </row>
    <row r="163" spans="2:11" x14ac:dyDescent="0.35">
      <c r="B163" s="45"/>
      <c r="C163" s="2"/>
      <c r="D163" s="2"/>
      <c r="E163" s="2"/>
      <c r="F163" s="2"/>
      <c r="G163" s="2"/>
      <c r="H163" s="2"/>
      <c r="I163" s="2"/>
      <c r="J163" s="2"/>
      <c r="K163" s="2"/>
    </row>
    <row r="164" spans="2:11" x14ac:dyDescent="0.35">
      <c r="B164" s="45"/>
      <c r="C164" s="2"/>
      <c r="D164" s="2"/>
      <c r="E164" s="2"/>
      <c r="F164" s="2"/>
      <c r="G164" s="2"/>
      <c r="H164" s="2"/>
      <c r="I164" s="2"/>
      <c r="J164" s="2"/>
      <c r="K164" s="2"/>
    </row>
    <row r="165" spans="2:11" x14ac:dyDescent="0.35">
      <c r="B165" s="45"/>
      <c r="C165" s="2"/>
      <c r="D165" s="2"/>
      <c r="E165" s="2"/>
      <c r="F165" s="2"/>
      <c r="G165" s="2"/>
      <c r="H165" s="2"/>
      <c r="I165" s="2"/>
      <c r="J165" s="2"/>
      <c r="K165" s="2"/>
    </row>
    <row r="166" spans="2:11" x14ac:dyDescent="0.35">
      <c r="B166" s="45"/>
      <c r="C166" s="2"/>
      <c r="D166" s="2"/>
      <c r="E166" s="2"/>
      <c r="F166" s="2"/>
      <c r="G166" s="2"/>
      <c r="H166" s="2"/>
      <c r="I166" s="2"/>
      <c r="J166" s="2"/>
      <c r="K166" s="2"/>
    </row>
    <row r="167" spans="2:11" x14ac:dyDescent="0.35">
      <c r="B167" s="45"/>
      <c r="C167" s="2"/>
      <c r="D167" s="2"/>
      <c r="E167" s="2"/>
      <c r="F167" s="2"/>
      <c r="G167" s="2"/>
      <c r="H167" s="2"/>
      <c r="I167" s="2"/>
      <c r="J167" s="2"/>
      <c r="K167" s="2"/>
    </row>
    <row r="168" spans="2:11" x14ac:dyDescent="0.35">
      <c r="B168" s="45"/>
      <c r="C168" s="2"/>
      <c r="D168" s="2"/>
      <c r="E168" s="2"/>
      <c r="F168" s="2"/>
      <c r="G168" s="2"/>
      <c r="H168" s="2"/>
      <c r="I168" s="2"/>
      <c r="J168" s="2"/>
      <c r="K168" s="2"/>
    </row>
    <row r="169" spans="2:11" x14ac:dyDescent="0.35">
      <c r="B169" s="45"/>
      <c r="C169" s="2"/>
      <c r="D169" s="2"/>
      <c r="E169" s="2"/>
      <c r="F169" s="2"/>
      <c r="G169" s="2"/>
      <c r="H169" s="2"/>
      <c r="I169" s="2"/>
      <c r="J169" s="2"/>
      <c r="K169" s="2"/>
    </row>
    <row r="170" spans="2:11" x14ac:dyDescent="0.35">
      <c r="B170" s="45"/>
      <c r="C170" s="2"/>
      <c r="D170" s="2"/>
      <c r="E170" s="2"/>
      <c r="F170" s="2"/>
      <c r="G170" s="2"/>
      <c r="H170" s="2"/>
      <c r="I170" s="2"/>
      <c r="J170" s="2"/>
      <c r="K170" s="2"/>
    </row>
    <row r="171" spans="2:11" x14ac:dyDescent="0.35">
      <c r="B171" s="45"/>
      <c r="C171" s="2"/>
      <c r="D171" s="2"/>
      <c r="E171" s="2"/>
      <c r="F171" s="2"/>
      <c r="G171" s="2"/>
      <c r="H171" s="2"/>
      <c r="I171" s="2"/>
      <c r="J171" s="2"/>
      <c r="K171" s="2"/>
    </row>
    <row r="172" spans="2:11" x14ac:dyDescent="0.35">
      <c r="B172" s="45"/>
      <c r="C172" s="2"/>
      <c r="D172" s="2"/>
      <c r="E172" s="2"/>
      <c r="F172" s="2"/>
      <c r="G172" s="2"/>
      <c r="H172" s="2"/>
      <c r="I172" s="2"/>
      <c r="J172" s="2"/>
      <c r="K172" s="2"/>
    </row>
    <row r="173" spans="2:11" x14ac:dyDescent="0.35">
      <c r="B173" s="45"/>
      <c r="C173" s="2"/>
      <c r="D173" s="2"/>
      <c r="E173" s="2"/>
      <c r="F173" s="2"/>
      <c r="G173" s="2"/>
      <c r="H173" s="2"/>
      <c r="I173" s="2"/>
      <c r="J173" s="2"/>
      <c r="K173" s="2"/>
    </row>
    <row r="174" spans="2:11" x14ac:dyDescent="0.35">
      <c r="B174" s="45"/>
      <c r="C174" s="2"/>
      <c r="D174" s="2"/>
      <c r="E174" s="2"/>
      <c r="F174" s="2"/>
      <c r="G174" s="2"/>
      <c r="H174" s="2"/>
      <c r="I174" s="2"/>
      <c r="J174" s="2"/>
      <c r="K174" s="2"/>
    </row>
    <row r="175" spans="2:11" x14ac:dyDescent="0.35">
      <c r="B175" s="45"/>
      <c r="C175" s="2"/>
      <c r="D175" s="2"/>
      <c r="E175" s="2"/>
      <c r="F175" s="2"/>
      <c r="G175" s="2"/>
      <c r="H175" s="2"/>
      <c r="I175" s="2"/>
      <c r="J175" s="2"/>
      <c r="K175" s="2"/>
    </row>
    <row r="176" spans="2:11" x14ac:dyDescent="0.35">
      <c r="B176" s="45"/>
      <c r="C176" s="2"/>
      <c r="D176" s="2"/>
      <c r="E176" s="2"/>
      <c r="F176" s="2"/>
      <c r="G176" s="2"/>
      <c r="H176" s="2"/>
      <c r="I176" s="2"/>
      <c r="J176" s="2"/>
      <c r="K176" s="2"/>
    </row>
    <row r="177" spans="2:11" x14ac:dyDescent="0.35">
      <c r="B177" s="45"/>
      <c r="C177" s="2"/>
      <c r="D177" s="2"/>
      <c r="E177" s="2"/>
      <c r="F177" s="2"/>
      <c r="G177" s="2"/>
      <c r="H177" s="2"/>
      <c r="I177" s="2"/>
      <c r="J177" s="2"/>
      <c r="K177" s="2"/>
    </row>
    <row r="178" spans="2:11" x14ac:dyDescent="0.35">
      <c r="B178" s="45"/>
      <c r="C178" s="2"/>
      <c r="D178" s="2"/>
      <c r="E178" s="2"/>
      <c r="F178" s="2"/>
      <c r="G178" s="2"/>
      <c r="H178" s="2"/>
      <c r="I178" s="2"/>
      <c r="J178" s="2"/>
      <c r="K178" s="2"/>
    </row>
    <row r="179" spans="2:11" x14ac:dyDescent="0.35">
      <c r="B179" s="45"/>
      <c r="C179" s="2"/>
      <c r="D179" s="2"/>
      <c r="E179" s="2"/>
      <c r="F179" s="2"/>
      <c r="G179" s="2"/>
      <c r="H179" s="2"/>
      <c r="I179" s="2"/>
      <c r="J179" s="2"/>
      <c r="K179" s="2"/>
    </row>
    <row r="180" spans="2:11" x14ac:dyDescent="0.35">
      <c r="B180" s="45"/>
      <c r="C180" s="2"/>
      <c r="D180" s="2"/>
      <c r="E180" s="2"/>
      <c r="F180" s="2"/>
      <c r="G180" s="2"/>
      <c r="H180" s="2"/>
      <c r="I180" s="2"/>
      <c r="J180" s="2"/>
      <c r="K180" s="2"/>
    </row>
    <row r="181" spans="2:11" x14ac:dyDescent="0.35">
      <c r="B181" s="45"/>
      <c r="C181" s="2"/>
      <c r="D181" s="2"/>
      <c r="E181" s="2"/>
      <c r="F181" s="2"/>
      <c r="G181" s="2"/>
      <c r="H181" s="2"/>
      <c r="I181" s="2"/>
      <c r="J181" s="2"/>
      <c r="K181" s="2"/>
    </row>
    <row r="182" spans="2:11" x14ac:dyDescent="0.35">
      <c r="B182" s="45"/>
      <c r="C182" s="2"/>
      <c r="D182" s="2"/>
      <c r="E182" s="2"/>
      <c r="F182" s="2"/>
      <c r="G182" s="2"/>
      <c r="H182" s="2"/>
      <c r="I182" s="2"/>
      <c r="J182" s="2"/>
      <c r="K182" s="2"/>
    </row>
    <row r="183" spans="2:11" x14ac:dyDescent="0.35">
      <c r="B183" s="45"/>
      <c r="C183" s="2"/>
      <c r="D183" s="2"/>
      <c r="E183" s="2"/>
      <c r="F183" s="2"/>
      <c r="G183" s="2"/>
      <c r="H183" s="2"/>
      <c r="I183" s="2"/>
      <c r="J183" s="2"/>
      <c r="K183" s="2"/>
    </row>
    <row r="184" spans="2:11" x14ac:dyDescent="0.35">
      <c r="B184" s="45"/>
      <c r="C184" s="2"/>
      <c r="D184" s="2"/>
      <c r="E184" s="2"/>
      <c r="F184" s="2"/>
      <c r="G184" s="2"/>
      <c r="H184" s="2"/>
      <c r="I184" s="2"/>
      <c r="J184" s="2"/>
      <c r="K184" s="2"/>
    </row>
    <row r="185" spans="2:11" x14ac:dyDescent="0.35">
      <c r="B185" s="45"/>
      <c r="C185" s="2"/>
      <c r="D185" s="2"/>
      <c r="E185" s="2"/>
      <c r="F185" s="2"/>
      <c r="G185" s="2"/>
      <c r="H185" s="2"/>
      <c r="I185" s="2"/>
      <c r="J185" s="2"/>
      <c r="K185" s="2"/>
    </row>
    <row r="186" spans="2:11" x14ac:dyDescent="0.35">
      <c r="B186" s="45"/>
      <c r="C186" s="2"/>
      <c r="D186" s="2"/>
      <c r="E186" s="2"/>
      <c r="F186" s="2"/>
      <c r="G186" s="2"/>
      <c r="H186" s="2"/>
      <c r="I186" s="2"/>
      <c r="J186" s="2"/>
      <c r="K186" s="2"/>
    </row>
    <row r="187" spans="2:11" x14ac:dyDescent="0.35">
      <c r="B187" s="45"/>
      <c r="C187" s="2"/>
      <c r="D187" s="2"/>
      <c r="E187" s="2"/>
      <c r="F187" s="2"/>
      <c r="G187" s="2"/>
      <c r="H187" s="2"/>
      <c r="I187" s="2"/>
      <c r="J187" s="2"/>
      <c r="K187" s="2"/>
    </row>
    <row r="188" spans="2:11" x14ac:dyDescent="0.35">
      <c r="B188" s="45"/>
      <c r="C188" s="2"/>
      <c r="D188" s="2"/>
      <c r="E188" s="2"/>
      <c r="F188" s="2"/>
      <c r="G188" s="2"/>
      <c r="H188" s="2"/>
      <c r="I188" s="2"/>
      <c r="J188" s="2"/>
      <c r="K188" s="2"/>
    </row>
    <row r="189" spans="2:11" x14ac:dyDescent="0.35">
      <c r="B189" s="45"/>
      <c r="C189" s="2"/>
      <c r="D189" s="2"/>
      <c r="E189" s="2"/>
      <c r="F189" s="2"/>
      <c r="G189" s="2"/>
      <c r="H189" s="2"/>
      <c r="I189" s="2"/>
      <c r="J189" s="2"/>
      <c r="K189" s="2"/>
    </row>
    <row r="190" spans="2:11" x14ac:dyDescent="0.35">
      <c r="B190" s="45"/>
      <c r="C190" s="2"/>
      <c r="D190" s="2"/>
      <c r="E190" s="2"/>
      <c r="F190" s="2"/>
      <c r="G190" s="2"/>
      <c r="H190" s="2"/>
      <c r="I190" s="2"/>
      <c r="J190" s="2"/>
      <c r="K190" s="2"/>
    </row>
    <row r="191" spans="2:11" x14ac:dyDescent="0.35">
      <c r="B191" s="45"/>
      <c r="C191" s="2"/>
      <c r="D191" s="2"/>
      <c r="E191" s="2"/>
      <c r="F191" s="2"/>
      <c r="G191" s="2"/>
      <c r="H191" s="2"/>
      <c r="I191" s="2"/>
      <c r="J191" s="2"/>
      <c r="K191" s="2"/>
    </row>
    <row r="192" spans="2:11" x14ac:dyDescent="0.35">
      <c r="B192" s="45"/>
      <c r="C192" s="2"/>
      <c r="D192" s="2"/>
      <c r="E192" s="2"/>
      <c r="F192" s="2"/>
      <c r="G192" s="2"/>
      <c r="H192" s="2"/>
      <c r="I192" s="2"/>
      <c r="J192" s="2"/>
      <c r="K192" s="2"/>
    </row>
    <row r="193" spans="2:11" x14ac:dyDescent="0.35">
      <c r="B193" s="45"/>
      <c r="C193" s="2"/>
      <c r="D193" s="2"/>
      <c r="E193" s="2"/>
      <c r="F193" s="2"/>
      <c r="G193" s="2"/>
      <c r="H193" s="2"/>
      <c r="I193" s="2"/>
      <c r="J193" s="2"/>
      <c r="K193" s="2"/>
    </row>
    <row r="194" spans="2:11" x14ac:dyDescent="0.35">
      <c r="B194" s="45"/>
      <c r="C194" s="2"/>
      <c r="D194" s="2"/>
      <c r="E194" s="2"/>
      <c r="F194" s="2"/>
      <c r="G194" s="2"/>
      <c r="H194" s="2"/>
      <c r="I194" s="2"/>
      <c r="J194" s="2"/>
      <c r="K194" s="2"/>
    </row>
    <row r="195" spans="2:11" x14ac:dyDescent="0.35">
      <c r="B195" s="45"/>
      <c r="C195" s="2"/>
      <c r="D195" s="2"/>
      <c r="E195" s="2"/>
      <c r="F195" s="2"/>
      <c r="G195" s="2"/>
      <c r="H195" s="2"/>
      <c r="I195" s="2"/>
      <c r="J195" s="2"/>
      <c r="K195" s="2"/>
    </row>
    <row r="196" spans="2:11" x14ac:dyDescent="0.35">
      <c r="B196" s="45"/>
      <c r="C196" s="2"/>
      <c r="D196" s="2"/>
      <c r="E196" s="2"/>
      <c r="F196" s="2"/>
      <c r="G196" s="2"/>
      <c r="H196" s="2"/>
      <c r="I196" s="2"/>
      <c r="J196" s="2"/>
      <c r="K196" s="2"/>
    </row>
    <row r="197" spans="2:11" x14ac:dyDescent="0.35">
      <c r="B197" s="45"/>
      <c r="C197" s="2"/>
      <c r="D197" s="2"/>
      <c r="E197" s="2"/>
      <c r="F197" s="2"/>
      <c r="G197" s="2"/>
      <c r="H197" s="2"/>
      <c r="I197" s="2"/>
      <c r="J197" s="2"/>
      <c r="K197" s="2"/>
    </row>
    <row r="198" spans="2:11" x14ac:dyDescent="0.35">
      <c r="B198" s="45"/>
      <c r="C198" s="2"/>
      <c r="D198" s="2"/>
      <c r="E198" s="2"/>
      <c r="F198" s="2"/>
      <c r="G198" s="2"/>
      <c r="H198" s="2"/>
      <c r="I198" s="2"/>
      <c r="J198" s="2"/>
      <c r="K198" s="2"/>
    </row>
    <row r="199" spans="2:11" x14ac:dyDescent="0.35">
      <c r="B199" s="45"/>
      <c r="C199" s="2"/>
      <c r="D199" s="2"/>
      <c r="E199" s="2"/>
      <c r="F199" s="2"/>
      <c r="G199" s="2"/>
      <c r="H199" s="2"/>
      <c r="I199" s="2"/>
      <c r="J199" s="2"/>
      <c r="K199" s="2"/>
    </row>
    <row r="200" spans="2:11" x14ac:dyDescent="0.35">
      <c r="B200" s="45"/>
      <c r="C200" s="2"/>
      <c r="D200" s="2"/>
      <c r="E200" s="2"/>
      <c r="F200" s="2"/>
      <c r="G200" s="2"/>
      <c r="H200" s="2"/>
      <c r="I200" s="2"/>
      <c r="J200" s="2"/>
      <c r="K200" s="2"/>
    </row>
    <row r="201" spans="2:11" x14ac:dyDescent="0.35">
      <c r="B201" s="45"/>
      <c r="C201" s="2"/>
      <c r="D201" s="2"/>
      <c r="E201" s="2"/>
      <c r="F201" s="2"/>
      <c r="G201" s="2"/>
      <c r="H201" s="2"/>
      <c r="I201" s="2"/>
      <c r="J201" s="2"/>
      <c r="K201" s="2"/>
    </row>
    <row r="202" spans="2:11" x14ac:dyDescent="0.35">
      <c r="B202" s="45"/>
      <c r="C202" s="2"/>
      <c r="D202" s="2"/>
      <c r="E202" s="2"/>
      <c r="F202" s="2"/>
      <c r="G202" s="2"/>
      <c r="H202" s="2"/>
      <c r="I202" s="2"/>
      <c r="J202" s="2"/>
      <c r="K202" s="2"/>
    </row>
    <row r="203" spans="2:11" x14ac:dyDescent="0.35">
      <c r="B203" s="45"/>
      <c r="C203" s="2"/>
      <c r="D203" s="2"/>
      <c r="E203" s="2"/>
      <c r="F203" s="2"/>
      <c r="G203" s="2"/>
      <c r="H203" s="2"/>
      <c r="I203" s="2"/>
      <c r="J203" s="2"/>
      <c r="K203" s="2"/>
    </row>
    <row r="204" spans="2:11" x14ac:dyDescent="0.35">
      <c r="B204" s="45"/>
      <c r="C204" s="2"/>
      <c r="D204" s="2"/>
      <c r="E204" s="2"/>
      <c r="F204" s="2"/>
      <c r="G204" s="2"/>
      <c r="H204" s="2"/>
      <c r="I204" s="2"/>
      <c r="J204" s="2"/>
      <c r="K204" s="2"/>
    </row>
    <row r="205" spans="2:11" x14ac:dyDescent="0.35">
      <c r="B205" s="45"/>
      <c r="C205" s="2"/>
      <c r="D205" s="2"/>
      <c r="E205" s="2"/>
      <c r="F205" s="2"/>
      <c r="G205" s="2"/>
      <c r="H205" s="2"/>
      <c r="I205" s="2"/>
      <c r="J205" s="2"/>
      <c r="K205" s="2"/>
    </row>
    <row r="206" spans="2:11" x14ac:dyDescent="0.35">
      <c r="B206" s="45"/>
      <c r="C206" s="2"/>
      <c r="D206" s="2"/>
      <c r="E206" s="2"/>
      <c r="F206" s="2"/>
      <c r="G206" s="2"/>
      <c r="H206" s="2"/>
      <c r="I206" s="2"/>
      <c r="J206" s="2"/>
      <c r="K206" s="2"/>
    </row>
    <row r="207" spans="2:11" x14ac:dyDescent="0.35">
      <c r="B207" s="45"/>
      <c r="C207" s="2"/>
      <c r="D207" s="2"/>
      <c r="E207" s="2"/>
      <c r="F207" s="2"/>
      <c r="G207" s="2"/>
      <c r="H207" s="2"/>
      <c r="I207" s="2"/>
      <c r="J207" s="2"/>
      <c r="K207" s="2"/>
    </row>
    <row r="208" spans="2:11" x14ac:dyDescent="0.35">
      <c r="B208" s="45"/>
      <c r="C208" s="2"/>
      <c r="D208" s="2"/>
      <c r="E208" s="2"/>
      <c r="F208" s="2"/>
      <c r="G208" s="2"/>
      <c r="H208" s="2"/>
      <c r="I208" s="2"/>
      <c r="J208" s="2"/>
      <c r="K208" s="2"/>
    </row>
    <row r="209" spans="2:11" x14ac:dyDescent="0.35">
      <c r="B209" s="45"/>
      <c r="C209" s="2"/>
      <c r="D209" s="2"/>
      <c r="E209" s="2"/>
      <c r="F209" s="2"/>
      <c r="G209" s="2"/>
      <c r="H209" s="2"/>
      <c r="I209" s="2"/>
      <c r="J209" s="2"/>
      <c r="K209" s="2"/>
    </row>
    <row r="210" spans="2:11" x14ac:dyDescent="0.35">
      <c r="B210" s="45"/>
      <c r="C210" s="2"/>
      <c r="D210" s="2"/>
      <c r="E210" s="2"/>
      <c r="F210" s="2"/>
      <c r="G210" s="2"/>
      <c r="H210" s="2"/>
      <c r="I210" s="2"/>
      <c r="J210" s="2"/>
      <c r="K210" s="2"/>
    </row>
    <row r="211" spans="2:11" x14ac:dyDescent="0.35">
      <c r="B211" s="45"/>
      <c r="C211" s="2"/>
      <c r="D211" s="2"/>
      <c r="E211" s="2"/>
      <c r="F211" s="2"/>
      <c r="G211" s="2"/>
      <c r="H211" s="2"/>
      <c r="I211" s="2"/>
      <c r="J211" s="2"/>
      <c r="K211" s="2"/>
    </row>
    <row r="212" spans="2:11" x14ac:dyDescent="0.35">
      <c r="B212" s="45"/>
      <c r="C212" s="2"/>
      <c r="D212" s="2"/>
      <c r="E212" s="2"/>
      <c r="F212" s="2"/>
      <c r="G212" s="2"/>
      <c r="H212" s="2"/>
      <c r="I212" s="2"/>
      <c r="J212" s="2"/>
      <c r="K212" s="2"/>
    </row>
    <row r="213" spans="2:11" x14ac:dyDescent="0.35">
      <c r="B213" s="45"/>
      <c r="C213" s="2"/>
      <c r="D213" s="2"/>
      <c r="E213" s="2"/>
      <c r="F213" s="2"/>
      <c r="G213" s="2"/>
      <c r="H213" s="2"/>
      <c r="I213" s="2"/>
      <c r="J213" s="2"/>
      <c r="K213" s="2"/>
    </row>
    <row r="214" spans="2:11" x14ac:dyDescent="0.35">
      <c r="B214" s="45"/>
      <c r="C214" s="2"/>
      <c r="D214" s="2"/>
      <c r="E214" s="2"/>
      <c r="F214" s="2"/>
      <c r="G214" s="2"/>
      <c r="H214" s="2"/>
      <c r="I214" s="2"/>
      <c r="J214" s="2"/>
      <c r="K214" s="2"/>
    </row>
    <row r="215" spans="2:11" x14ac:dyDescent="0.35">
      <c r="B215" s="45"/>
      <c r="C215" s="2"/>
      <c r="D215" s="2"/>
      <c r="E215" s="2"/>
      <c r="F215" s="2"/>
      <c r="G215" s="2"/>
      <c r="H215" s="2"/>
      <c r="I215" s="2"/>
      <c r="J215" s="2"/>
      <c r="K215" s="2"/>
    </row>
    <row r="216" spans="2:11" x14ac:dyDescent="0.35">
      <c r="B216" s="45"/>
      <c r="C216" s="2"/>
      <c r="D216" s="2"/>
      <c r="E216" s="2"/>
      <c r="F216" s="2"/>
      <c r="G216" s="2"/>
      <c r="H216" s="2"/>
      <c r="I216" s="2"/>
      <c r="J216" s="2"/>
      <c r="K216" s="2"/>
    </row>
    <row r="217" spans="2:11" x14ac:dyDescent="0.35">
      <c r="B217" s="45"/>
      <c r="C217" s="2"/>
      <c r="D217" s="2"/>
      <c r="E217" s="2"/>
      <c r="F217" s="2"/>
      <c r="G217" s="2"/>
      <c r="H217" s="2"/>
      <c r="I217" s="2"/>
      <c r="J217" s="2"/>
      <c r="K217" s="2"/>
    </row>
    <row r="218" spans="2:11" x14ac:dyDescent="0.35">
      <c r="B218" s="45"/>
      <c r="C218" s="2"/>
      <c r="D218" s="2"/>
      <c r="E218" s="2"/>
      <c r="F218" s="2"/>
      <c r="G218" s="2"/>
      <c r="H218" s="2"/>
      <c r="I218" s="2"/>
      <c r="J218" s="2"/>
      <c r="K218" s="2"/>
    </row>
    <row r="219" spans="2:11" x14ac:dyDescent="0.35">
      <c r="B219" s="45"/>
      <c r="C219" s="2"/>
      <c r="D219" s="2"/>
      <c r="E219" s="2"/>
      <c r="F219" s="2"/>
      <c r="G219" s="2"/>
      <c r="H219" s="2"/>
      <c r="I219" s="2"/>
      <c r="J219" s="2"/>
      <c r="K219" s="2"/>
    </row>
    <row r="220" spans="2:11" x14ac:dyDescent="0.35">
      <c r="B220" s="45"/>
      <c r="C220" s="2"/>
      <c r="D220" s="2"/>
      <c r="E220" s="2"/>
      <c r="F220" s="2"/>
      <c r="G220" s="2"/>
      <c r="H220" s="2"/>
      <c r="I220" s="2"/>
      <c r="J220" s="2"/>
      <c r="K220" s="2"/>
    </row>
    <row r="221" spans="2:11" x14ac:dyDescent="0.35">
      <c r="B221" s="45"/>
      <c r="C221" s="2"/>
      <c r="D221" s="2"/>
      <c r="E221" s="2"/>
      <c r="F221" s="2"/>
      <c r="G221" s="2"/>
      <c r="H221" s="2"/>
      <c r="I221" s="2"/>
      <c r="J221" s="2"/>
      <c r="K221" s="2"/>
    </row>
    <row r="222" spans="2:11" x14ac:dyDescent="0.35">
      <c r="B222" s="45"/>
      <c r="C222" s="2"/>
      <c r="D222" s="2"/>
      <c r="E222" s="2"/>
      <c r="F222" s="2"/>
      <c r="G222" s="2"/>
      <c r="H222" s="2"/>
      <c r="I222" s="2"/>
      <c r="J222" s="2"/>
      <c r="K222" s="2"/>
    </row>
    <row r="223" spans="2:11" x14ac:dyDescent="0.35">
      <c r="B223" s="45"/>
      <c r="C223" s="2"/>
      <c r="D223" s="2"/>
      <c r="E223" s="2"/>
      <c r="F223" s="2"/>
      <c r="G223" s="2"/>
      <c r="H223" s="2"/>
      <c r="I223" s="2"/>
      <c r="J223" s="2"/>
      <c r="K223" s="2"/>
    </row>
    <row r="224" spans="2:11" x14ac:dyDescent="0.35">
      <c r="B224" s="45"/>
      <c r="C224" s="2"/>
      <c r="D224" s="2"/>
      <c r="E224" s="2"/>
      <c r="F224" s="2"/>
      <c r="G224" s="2"/>
      <c r="H224" s="2"/>
      <c r="I224" s="2"/>
      <c r="J224" s="2"/>
      <c r="K224" s="2"/>
    </row>
    <row r="225" spans="2:11" x14ac:dyDescent="0.35">
      <c r="B225" s="45"/>
      <c r="C225" s="2"/>
      <c r="D225" s="2"/>
      <c r="E225" s="2"/>
      <c r="F225" s="2"/>
      <c r="G225" s="2"/>
      <c r="H225" s="2"/>
      <c r="I225" s="2"/>
      <c r="J225" s="2"/>
      <c r="K225" s="2"/>
    </row>
    <row r="226" spans="2:11" x14ac:dyDescent="0.35">
      <c r="B226" s="45"/>
      <c r="C226" s="2"/>
      <c r="D226" s="2"/>
      <c r="E226" s="2"/>
      <c r="F226" s="2"/>
      <c r="G226" s="2"/>
      <c r="H226" s="2"/>
      <c r="I226" s="2"/>
      <c r="J226" s="2"/>
      <c r="K226" s="2"/>
    </row>
    <row r="227" spans="2:11" x14ac:dyDescent="0.35">
      <c r="B227" s="45"/>
      <c r="C227" s="2"/>
      <c r="D227" s="2"/>
      <c r="E227" s="2"/>
      <c r="F227" s="2"/>
      <c r="G227" s="2"/>
      <c r="H227" s="2"/>
      <c r="I227" s="2"/>
      <c r="J227" s="2"/>
      <c r="K227" s="2"/>
    </row>
    <row r="228" spans="2:11" x14ac:dyDescent="0.35">
      <c r="B228" s="45"/>
      <c r="C228" s="2"/>
      <c r="D228" s="2"/>
      <c r="E228" s="2"/>
      <c r="F228" s="2"/>
      <c r="G228" s="2"/>
      <c r="H228" s="2"/>
      <c r="I228" s="2"/>
      <c r="J228" s="2"/>
      <c r="K228" s="2"/>
    </row>
    <row r="229" spans="2:11" x14ac:dyDescent="0.35">
      <c r="B229" s="45"/>
      <c r="C229" s="2"/>
      <c r="D229" s="2"/>
      <c r="E229" s="2"/>
      <c r="F229" s="2"/>
      <c r="G229" s="2"/>
      <c r="H229" s="2"/>
      <c r="I229" s="2"/>
      <c r="J229" s="2"/>
      <c r="K229" s="2"/>
    </row>
    <row r="230" spans="2:11" x14ac:dyDescent="0.35">
      <c r="B230" s="45"/>
      <c r="C230" s="2"/>
      <c r="D230" s="2"/>
      <c r="E230" s="2"/>
      <c r="F230" s="2"/>
      <c r="G230" s="2"/>
      <c r="H230" s="2"/>
      <c r="I230" s="2"/>
      <c r="J230" s="2"/>
      <c r="K230" s="2"/>
    </row>
    <row r="231" spans="2:11" x14ac:dyDescent="0.35">
      <c r="B231" s="45"/>
      <c r="C231" s="2"/>
      <c r="D231" s="2"/>
      <c r="E231" s="2"/>
      <c r="F231" s="2"/>
      <c r="G231" s="2"/>
      <c r="H231" s="2"/>
      <c r="I231" s="2"/>
      <c r="J231" s="2"/>
      <c r="K231" s="2"/>
    </row>
    <row r="232" spans="2:11" x14ac:dyDescent="0.35">
      <c r="B232" s="45"/>
      <c r="C232" s="2"/>
      <c r="D232" s="2"/>
      <c r="E232" s="2"/>
      <c r="F232" s="2"/>
      <c r="G232" s="2"/>
      <c r="H232" s="2"/>
      <c r="I232" s="2"/>
      <c r="J232" s="2"/>
      <c r="K232" s="2"/>
    </row>
    <row r="233" spans="2:11" x14ac:dyDescent="0.35">
      <c r="B233" s="45"/>
      <c r="C233" s="2"/>
      <c r="D233" s="2"/>
      <c r="E233" s="2"/>
      <c r="F233" s="2"/>
      <c r="G233" s="2"/>
      <c r="H233" s="2"/>
      <c r="I233" s="2"/>
      <c r="J233" s="2"/>
      <c r="K233" s="2"/>
    </row>
    <row r="234" spans="2:11" x14ac:dyDescent="0.35">
      <c r="B234" s="45"/>
      <c r="C234" s="2"/>
      <c r="D234" s="2"/>
      <c r="E234" s="2"/>
      <c r="F234" s="2"/>
      <c r="G234" s="2"/>
      <c r="H234" s="2"/>
      <c r="I234" s="2"/>
      <c r="J234" s="2"/>
      <c r="K234" s="2"/>
    </row>
    <row r="235" spans="2:11" x14ac:dyDescent="0.35">
      <c r="B235" s="45"/>
      <c r="C235" s="2"/>
      <c r="D235" s="2"/>
      <c r="E235" s="2"/>
      <c r="F235" s="2"/>
      <c r="G235" s="2"/>
      <c r="H235" s="2"/>
      <c r="I235" s="2"/>
      <c r="J235" s="2"/>
      <c r="K235" s="2"/>
    </row>
    <row r="236" spans="2:11" x14ac:dyDescent="0.35">
      <c r="B236" s="45"/>
      <c r="C236" s="2"/>
      <c r="D236" s="2"/>
      <c r="E236" s="2"/>
      <c r="F236" s="2"/>
      <c r="G236" s="2"/>
      <c r="H236" s="2"/>
      <c r="I236" s="2"/>
      <c r="J236" s="2"/>
      <c r="K236" s="2"/>
    </row>
    <row r="237" spans="2:11" x14ac:dyDescent="0.35">
      <c r="B237" s="45"/>
      <c r="C237" s="2"/>
      <c r="D237" s="2"/>
      <c r="E237" s="2"/>
      <c r="F237" s="2"/>
      <c r="G237" s="2"/>
      <c r="H237" s="2"/>
      <c r="I237" s="2"/>
      <c r="J237" s="2"/>
      <c r="K237" s="2"/>
    </row>
    <row r="238" spans="2:11" x14ac:dyDescent="0.35">
      <c r="B238" s="45"/>
      <c r="C238" s="2"/>
      <c r="D238" s="2"/>
      <c r="E238" s="2"/>
      <c r="F238" s="2"/>
      <c r="G238" s="2"/>
      <c r="H238" s="2"/>
      <c r="I238" s="2"/>
      <c r="J238" s="2"/>
      <c r="K238" s="2"/>
    </row>
    <row r="239" spans="2:11" x14ac:dyDescent="0.35">
      <c r="B239" s="45"/>
      <c r="C239" s="2"/>
      <c r="D239" s="2"/>
      <c r="E239" s="2"/>
      <c r="F239" s="2"/>
      <c r="G239" s="2"/>
      <c r="H239" s="2"/>
      <c r="I239" s="2"/>
      <c r="J239" s="2"/>
      <c r="K239" s="2"/>
    </row>
    <row r="240" spans="2:11" x14ac:dyDescent="0.35">
      <c r="B240" s="45"/>
      <c r="C240" s="2"/>
      <c r="D240" s="2"/>
      <c r="E240" s="2"/>
      <c r="F240" s="2"/>
      <c r="G240" s="2"/>
      <c r="H240" s="2"/>
      <c r="I240" s="2"/>
      <c r="J240" s="2"/>
      <c r="K240" s="2"/>
    </row>
    <row r="241" spans="2:11" x14ac:dyDescent="0.35">
      <c r="B241" s="45"/>
      <c r="C241" s="2"/>
      <c r="D241" s="2"/>
      <c r="E241" s="2"/>
      <c r="F241" s="2"/>
      <c r="G241" s="2"/>
      <c r="H241" s="2"/>
      <c r="I241" s="2"/>
      <c r="J241" s="2"/>
      <c r="K241" s="2"/>
    </row>
    <row r="242" spans="2:11" x14ac:dyDescent="0.35">
      <c r="B242" s="45"/>
      <c r="C242" s="2"/>
      <c r="D242" s="2"/>
      <c r="E242" s="2"/>
      <c r="F242" s="2"/>
      <c r="G242" s="2"/>
      <c r="H242" s="2"/>
      <c r="I242" s="2"/>
      <c r="J242" s="2"/>
      <c r="K242" s="2"/>
    </row>
    <row r="243" spans="2:11" x14ac:dyDescent="0.35">
      <c r="B243" s="45"/>
      <c r="C243" s="2"/>
      <c r="D243" s="2"/>
      <c r="E243" s="2"/>
      <c r="F243" s="2"/>
      <c r="G243" s="2"/>
      <c r="H243" s="2"/>
      <c r="I243" s="2"/>
      <c r="J243" s="2"/>
      <c r="K243" s="2"/>
    </row>
    <row r="244" spans="2:11" x14ac:dyDescent="0.35">
      <c r="B244" s="45"/>
      <c r="C244" s="2"/>
      <c r="D244" s="2"/>
      <c r="E244" s="2"/>
      <c r="F244" s="2"/>
      <c r="G244" s="2"/>
      <c r="H244" s="2"/>
      <c r="I244" s="2"/>
      <c r="J244" s="2"/>
      <c r="K244" s="2"/>
    </row>
    <row r="245" spans="2:11" x14ac:dyDescent="0.35">
      <c r="B245" s="45"/>
      <c r="C245" s="2"/>
      <c r="D245" s="2"/>
      <c r="E245" s="2"/>
      <c r="F245" s="2"/>
      <c r="G245" s="2"/>
      <c r="H245" s="2"/>
      <c r="I245" s="2"/>
      <c r="J245" s="2"/>
      <c r="K245" s="2"/>
    </row>
    <row r="246" spans="2:11" x14ac:dyDescent="0.35">
      <c r="B246" s="45"/>
      <c r="C246" s="2"/>
      <c r="D246" s="2"/>
      <c r="E246" s="2"/>
      <c r="F246" s="2"/>
      <c r="G246" s="2"/>
      <c r="H246" s="2"/>
      <c r="I246" s="2"/>
      <c r="J246" s="2"/>
      <c r="K246" s="2"/>
    </row>
    <row r="247" spans="2:11" x14ac:dyDescent="0.35">
      <c r="B247" s="45"/>
      <c r="C247" s="2"/>
      <c r="D247" s="2"/>
      <c r="E247" s="2"/>
      <c r="F247" s="2"/>
      <c r="G247" s="2"/>
      <c r="H247" s="2"/>
      <c r="I247" s="2"/>
      <c r="J247" s="2"/>
      <c r="K247" s="2"/>
    </row>
    <row r="248" spans="2:11" x14ac:dyDescent="0.35">
      <c r="B248" s="45"/>
      <c r="C248" s="2"/>
      <c r="D248" s="2"/>
      <c r="E248" s="2"/>
      <c r="F248" s="2"/>
      <c r="G248" s="2"/>
      <c r="H248" s="2"/>
      <c r="I248" s="2"/>
      <c r="J248" s="2"/>
      <c r="K248" s="2"/>
    </row>
    <row r="249" spans="2:11" x14ac:dyDescent="0.35">
      <c r="B249" s="45"/>
      <c r="C249" s="2"/>
      <c r="D249" s="2"/>
      <c r="E249" s="2"/>
      <c r="F249" s="2"/>
      <c r="G249" s="2"/>
      <c r="H249" s="2"/>
      <c r="I249" s="2"/>
      <c r="J249" s="2"/>
      <c r="K249" s="2"/>
    </row>
    <row r="250" spans="2:11" x14ac:dyDescent="0.35">
      <c r="B250" s="45"/>
      <c r="C250" s="2"/>
      <c r="D250" s="2"/>
      <c r="E250" s="2"/>
      <c r="F250" s="2"/>
      <c r="G250" s="2"/>
      <c r="H250" s="2"/>
      <c r="I250" s="2"/>
      <c r="J250" s="2"/>
      <c r="K250" s="2"/>
    </row>
    <row r="251" spans="2:11" x14ac:dyDescent="0.35">
      <c r="B251" s="45"/>
      <c r="C251" s="2"/>
      <c r="D251" s="2"/>
      <c r="E251" s="2"/>
      <c r="F251" s="2"/>
      <c r="G251" s="2"/>
      <c r="H251" s="2"/>
      <c r="I251" s="2"/>
      <c r="J251" s="2"/>
      <c r="K251" s="2"/>
    </row>
    <row r="252" spans="2:11" x14ac:dyDescent="0.35">
      <c r="B252" s="45"/>
      <c r="C252" s="2"/>
      <c r="D252" s="2"/>
      <c r="E252" s="2"/>
      <c r="F252" s="2"/>
      <c r="G252" s="2"/>
      <c r="H252" s="2"/>
      <c r="I252" s="2"/>
      <c r="J252" s="2"/>
      <c r="K252" s="2"/>
    </row>
    <row r="253" spans="2:11" x14ac:dyDescent="0.35">
      <c r="B253" s="45"/>
      <c r="C253" s="2"/>
      <c r="D253" s="2"/>
      <c r="E253" s="2"/>
      <c r="F253" s="2"/>
      <c r="G253" s="2"/>
      <c r="H253" s="2"/>
      <c r="I253" s="2"/>
      <c r="J253" s="2"/>
      <c r="K253" s="2"/>
    </row>
    <row r="254" spans="2:11" x14ac:dyDescent="0.35">
      <c r="B254" s="45"/>
      <c r="C254" s="2"/>
      <c r="D254" s="2"/>
      <c r="E254" s="2"/>
      <c r="F254" s="2"/>
      <c r="G254" s="2"/>
      <c r="H254" s="2"/>
      <c r="I254" s="2"/>
      <c r="J254" s="2"/>
      <c r="K254" s="2"/>
    </row>
    <row r="255" spans="2:11" x14ac:dyDescent="0.35">
      <c r="B255" s="45"/>
      <c r="C255" s="2"/>
      <c r="D255" s="2"/>
      <c r="E255" s="2"/>
      <c r="F255" s="2"/>
      <c r="G255" s="2"/>
      <c r="H255" s="2"/>
      <c r="I255" s="2"/>
      <c r="J255" s="2"/>
      <c r="K255" s="2"/>
    </row>
    <row r="256" spans="2:11" x14ac:dyDescent="0.35">
      <c r="B256" s="45"/>
      <c r="C256" s="2"/>
      <c r="D256" s="2"/>
      <c r="E256" s="2"/>
      <c r="F256" s="2"/>
      <c r="G256" s="2"/>
      <c r="H256" s="2"/>
      <c r="I256" s="2"/>
      <c r="J256" s="2"/>
      <c r="K256" s="2"/>
    </row>
    <row r="257" spans="2:11" x14ac:dyDescent="0.35">
      <c r="B257" s="45"/>
      <c r="C257" s="2"/>
      <c r="D257" s="2"/>
      <c r="E257" s="2"/>
      <c r="F257" s="2"/>
      <c r="G257" s="2"/>
      <c r="H257" s="2"/>
      <c r="I257" s="2"/>
      <c r="J257" s="2"/>
      <c r="K257" s="2"/>
    </row>
    <row r="258" spans="2:11" x14ac:dyDescent="0.35">
      <c r="B258" s="45"/>
      <c r="C258" s="2"/>
      <c r="D258" s="2"/>
      <c r="E258" s="2"/>
      <c r="F258" s="2"/>
      <c r="G258" s="2"/>
      <c r="H258" s="2"/>
      <c r="I258" s="2"/>
      <c r="J258" s="2"/>
      <c r="K258" s="2"/>
    </row>
    <row r="259" spans="2:11" x14ac:dyDescent="0.35">
      <c r="B259" s="45"/>
      <c r="C259" s="2"/>
      <c r="D259" s="2"/>
      <c r="E259" s="2"/>
      <c r="F259" s="2"/>
      <c r="G259" s="2"/>
      <c r="H259" s="2"/>
      <c r="I259" s="2"/>
      <c r="J259" s="2"/>
      <c r="K259" s="2"/>
    </row>
    <row r="260" spans="2:11" x14ac:dyDescent="0.35">
      <c r="B260" s="45"/>
      <c r="C260" s="2"/>
      <c r="D260" s="2"/>
      <c r="E260" s="2"/>
      <c r="F260" s="2"/>
      <c r="G260" s="2"/>
      <c r="H260" s="2"/>
      <c r="I260" s="2"/>
      <c r="J260" s="2"/>
      <c r="K260" s="2"/>
    </row>
    <row r="261" spans="2:11" x14ac:dyDescent="0.35">
      <c r="B261" s="45"/>
      <c r="C261" s="2"/>
      <c r="D261" s="2"/>
      <c r="E261" s="2"/>
      <c r="F261" s="2"/>
      <c r="G261" s="2"/>
      <c r="H261" s="2"/>
      <c r="I261" s="2"/>
      <c r="J261" s="2"/>
      <c r="K261" s="2"/>
    </row>
    <row r="262" spans="2:11" x14ac:dyDescent="0.35">
      <c r="B262" s="45"/>
      <c r="C262" s="2"/>
      <c r="D262" s="2"/>
      <c r="E262" s="2"/>
      <c r="F262" s="2"/>
      <c r="G262" s="2"/>
      <c r="H262" s="2"/>
      <c r="I262" s="2"/>
      <c r="J262" s="2"/>
      <c r="K262" s="2"/>
    </row>
    <row r="263" spans="2:11" x14ac:dyDescent="0.35">
      <c r="B263" s="45"/>
      <c r="C263" s="2"/>
      <c r="D263" s="2"/>
      <c r="E263" s="2"/>
      <c r="F263" s="2"/>
      <c r="G263" s="2"/>
      <c r="H263" s="2"/>
      <c r="I263" s="2"/>
      <c r="J263" s="2"/>
      <c r="K263" s="2"/>
    </row>
    <row r="264" spans="2:11" x14ac:dyDescent="0.35">
      <c r="B264" s="45"/>
      <c r="C264" s="2"/>
      <c r="D264" s="2"/>
      <c r="E264" s="2"/>
      <c r="F264" s="2"/>
      <c r="G264" s="2"/>
      <c r="H264" s="2"/>
      <c r="I264" s="2"/>
      <c r="J264" s="2"/>
      <c r="K264" s="2"/>
    </row>
    <row r="265" spans="2:11" x14ac:dyDescent="0.35">
      <c r="B265" s="45"/>
      <c r="C265" s="2"/>
      <c r="D265" s="2"/>
      <c r="E265" s="2"/>
      <c r="F265" s="2"/>
      <c r="G265" s="2"/>
      <c r="H265" s="2"/>
      <c r="I265" s="2"/>
      <c r="J265" s="2"/>
      <c r="K265" s="2"/>
    </row>
    <row r="266" spans="2:11" x14ac:dyDescent="0.35">
      <c r="B266" s="45"/>
      <c r="C266" s="2"/>
      <c r="D266" s="2"/>
      <c r="E266" s="2"/>
      <c r="F266" s="2"/>
      <c r="G266" s="2"/>
      <c r="H266" s="2"/>
      <c r="I266" s="2"/>
      <c r="J266" s="2"/>
      <c r="K266" s="2"/>
    </row>
    <row r="267" spans="2:11" x14ac:dyDescent="0.35">
      <c r="B267" s="45"/>
      <c r="C267" s="2"/>
      <c r="D267" s="2"/>
      <c r="E267" s="2"/>
      <c r="F267" s="2"/>
      <c r="G267" s="2"/>
      <c r="H267" s="2"/>
      <c r="I267" s="2"/>
      <c r="J267" s="2"/>
      <c r="K267" s="2"/>
    </row>
    <row r="268" spans="2:11" x14ac:dyDescent="0.35">
      <c r="B268" s="45"/>
      <c r="C268" s="2"/>
      <c r="D268" s="2"/>
      <c r="E268" s="2"/>
      <c r="F268" s="2"/>
      <c r="G268" s="2"/>
      <c r="H268" s="2"/>
      <c r="I268" s="2"/>
      <c r="J268" s="2"/>
      <c r="K268" s="2"/>
    </row>
    <row r="269" spans="2:11" x14ac:dyDescent="0.35">
      <c r="B269" s="45"/>
      <c r="C269" s="2"/>
      <c r="D269" s="2"/>
      <c r="E269" s="2"/>
      <c r="F269" s="2"/>
      <c r="G269" s="2"/>
      <c r="H269" s="2"/>
      <c r="I269" s="2"/>
      <c r="J269" s="2"/>
      <c r="K269" s="2"/>
    </row>
    <row r="270" spans="2:11" x14ac:dyDescent="0.35">
      <c r="B270" s="45"/>
      <c r="C270" s="2"/>
      <c r="D270" s="2"/>
      <c r="E270" s="2"/>
      <c r="F270" s="2"/>
      <c r="G270" s="2"/>
      <c r="H270" s="2"/>
      <c r="I270" s="2"/>
      <c r="J270" s="2"/>
      <c r="K270" s="2"/>
    </row>
    <row r="271" spans="2:11" x14ac:dyDescent="0.35">
      <c r="B271" s="45"/>
      <c r="C271" s="2"/>
      <c r="D271" s="2"/>
      <c r="E271" s="2"/>
      <c r="F271" s="2"/>
      <c r="G271" s="2"/>
      <c r="H271" s="2"/>
      <c r="I271" s="2"/>
      <c r="J271" s="2"/>
      <c r="K271" s="2"/>
    </row>
    <row r="272" spans="2:11" x14ac:dyDescent="0.35">
      <c r="B272" s="45"/>
      <c r="C272" s="2"/>
      <c r="D272" s="2"/>
      <c r="E272" s="2"/>
      <c r="F272" s="2"/>
      <c r="G272" s="2"/>
      <c r="H272" s="2"/>
      <c r="I272" s="2"/>
      <c r="J272" s="2"/>
      <c r="K272" s="2"/>
    </row>
    <row r="273" spans="2:11" x14ac:dyDescent="0.35">
      <c r="B273" s="45"/>
      <c r="C273" s="2"/>
      <c r="D273" s="2"/>
      <c r="E273" s="2"/>
      <c r="F273" s="2"/>
      <c r="G273" s="2"/>
      <c r="H273" s="2"/>
      <c r="I273" s="2"/>
      <c r="J273" s="2"/>
      <c r="K273" s="2"/>
    </row>
    <row r="274" spans="2:11" x14ac:dyDescent="0.35">
      <c r="B274" s="45"/>
      <c r="C274" s="2"/>
      <c r="D274" s="2"/>
      <c r="E274" s="2"/>
      <c r="F274" s="2"/>
      <c r="G274" s="2"/>
      <c r="H274" s="2"/>
      <c r="I274" s="2"/>
      <c r="J274" s="2"/>
      <c r="K274" s="2"/>
    </row>
    <row r="275" spans="2:11" x14ac:dyDescent="0.35">
      <c r="B275" s="45"/>
      <c r="C275" s="2"/>
      <c r="D275" s="2"/>
      <c r="E275" s="2"/>
      <c r="F275" s="2"/>
      <c r="G275" s="2"/>
      <c r="H275" s="2"/>
      <c r="I275" s="2"/>
      <c r="J275" s="2"/>
      <c r="K275" s="2"/>
    </row>
    <row r="276" spans="2:11" x14ac:dyDescent="0.35">
      <c r="B276" s="45"/>
      <c r="C276" s="2"/>
      <c r="D276" s="2"/>
      <c r="E276" s="2"/>
      <c r="F276" s="2"/>
      <c r="G276" s="2"/>
      <c r="H276" s="2"/>
      <c r="I276" s="2"/>
      <c r="J276" s="2"/>
      <c r="K276" s="2"/>
    </row>
    <row r="277" spans="2:11" x14ac:dyDescent="0.35">
      <c r="B277" s="45"/>
      <c r="C277" s="2"/>
      <c r="D277" s="2"/>
      <c r="E277" s="2"/>
      <c r="F277" s="2"/>
      <c r="G277" s="2"/>
      <c r="H277" s="2"/>
      <c r="I277" s="2"/>
      <c r="J277" s="2"/>
      <c r="K277" s="2"/>
    </row>
    <row r="278" spans="2:11" x14ac:dyDescent="0.35">
      <c r="B278" s="45"/>
      <c r="C278" s="2"/>
      <c r="D278" s="2"/>
      <c r="E278" s="2"/>
      <c r="F278" s="2"/>
      <c r="G278" s="2"/>
      <c r="H278" s="2"/>
      <c r="I278" s="2"/>
      <c r="J278" s="2"/>
      <c r="K278" s="2"/>
    </row>
    <row r="279" spans="2:11" x14ac:dyDescent="0.35">
      <c r="B279" s="45"/>
      <c r="C279" s="2"/>
      <c r="D279" s="2"/>
      <c r="E279" s="2"/>
      <c r="F279" s="2"/>
      <c r="G279" s="2"/>
      <c r="H279" s="2"/>
      <c r="I279" s="2"/>
      <c r="J279" s="2"/>
      <c r="K279" s="2"/>
    </row>
    <row r="280" spans="2:11" x14ac:dyDescent="0.35">
      <c r="B280" s="45"/>
      <c r="C280" s="2"/>
      <c r="D280" s="2"/>
      <c r="E280" s="2"/>
      <c r="F280" s="2"/>
      <c r="G280" s="2"/>
      <c r="H280" s="2"/>
      <c r="I280" s="2"/>
      <c r="J280" s="2"/>
      <c r="K280" s="2"/>
    </row>
    <row r="281" spans="2:11" x14ac:dyDescent="0.35">
      <c r="B281" s="45"/>
      <c r="C281" s="2"/>
      <c r="D281" s="2"/>
      <c r="E281" s="2"/>
      <c r="F281" s="2"/>
      <c r="G281" s="2"/>
      <c r="H281" s="2"/>
      <c r="I281" s="2"/>
      <c r="J281" s="2"/>
      <c r="K281" s="2"/>
    </row>
    <row r="282" spans="2:11" x14ac:dyDescent="0.35">
      <c r="B282" s="45"/>
      <c r="C282" s="2"/>
      <c r="D282" s="2"/>
      <c r="E282" s="2"/>
      <c r="F282" s="2"/>
      <c r="G282" s="2"/>
      <c r="H282" s="2"/>
      <c r="I282" s="2"/>
      <c r="J282" s="2"/>
      <c r="K282" s="2"/>
    </row>
    <row r="283" spans="2:11" x14ac:dyDescent="0.35">
      <c r="B283" s="45"/>
      <c r="C283" s="2"/>
      <c r="D283" s="2"/>
      <c r="E283" s="2"/>
      <c r="F283" s="2"/>
      <c r="G283" s="2"/>
      <c r="H283" s="2"/>
      <c r="I283" s="2"/>
      <c r="J283" s="2"/>
      <c r="K283" s="2"/>
    </row>
    <row r="284" spans="2:11" x14ac:dyDescent="0.35">
      <c r="B284" s="45"/>
      <c r="C284" s="2"/>
      <c r="D284" s="2"/>
      <c r="E284" s="2"/>
      <c r="F284" s="2"/>
      <c r="G284" s="2"/>
      <c r="H284" s="2"/>
      <c r="I284" s="2"/>
      <c r="J284" s="2"/>
      <c r="K284" s="2"/>
    </row>
    <row r="285" spans="2:11" x14ac:dyDescent="0.35">
      <c r="B285" s="45"/>
      <c r="C285" s="2"/>
      <c r="D285" s="2"/>
      <c r="E285" s="2"/>
      <c r="F285" s="2"/>
      <c r="G285" s="2"/>
      <c r="H285" s="2"/>
      <c r="I285" s="2"/>
      <c r="J285" s="2"/>
      <c r="K285" s="2"/>
    </row>
    <row r="286" spans="2:11" x14ac:dyDescent="0.35">
      <c r="B286" s="45"/>
      <c r="C286" s="2"/>
      <c r="D286" s="2"/>
      <c r="E286" s="2"/>
      <c r="F286" s="2"/>
      <c r="G286" s="2"/>
      <c r="H286" s="2"/>
      <c r="I286" s="2"/>
      <c r="J286" s="2"/>
      <c r="K286" s="2"/>
    </row>
    <row r="287" spans="2:11" x14ac:dyDescent="0.35">
      <c r="B287" s="45"/>
      <c r="C287" s="2"/>
      <c r="D287" s="2"/>
      <c r="E287" s="2"/>
      <c r="F287" s="2"/>
      <c r="G287" s="2"/>
      <c r="H287" s="2"/>
      <c r="I287" s="2"/>
      <c r="J287" s="2"/>
      <c r="K287" s="2"/>
    </row>
    <row r="288" spans="2:11" x14ac:dyDescent="0.35">
      <c r="B288" s="45"/>
      <c r="C288" s="2"/>
      <c r="D288" s="2"/>
      <c r="E288" s="2"/>
      <c r="F288" s="2"/>
      <c r="G288" s="2"/>
      <c r="H288" s="2"/>
      <c r="I288" s="2"/>
      <c r="J288" s="2"/>
      <c r="K288" s="2"/>
    </row>
    <row r="289" spans="2:11" x14ac:dyDescent="0.35">
      <c r="B289" s="45"/>
      <c r="C289" s="2"/>
      <c r="D289" s="2"/>
      <c r="E289" s="2"/>
      <c r="F289" s="2"/>
      <c r="G289" s="2"/>
      <c r="H289" s="2"/>
      <c r="I289" s="2"/>
      <c r="J289" s="2"/>
      <c r="K289" s="2"/>
    </row>
    <row r="290" spans="2:11" x14ac:dyDescent="0.35">
      <c r="B290" s="45"/>
      <c r="C290" s="2"/>
      <c r="D290" s="2"/>
      <c r="E290" s="2"/>
      <c r="F290" s="2"/>
      <c r="G290" s="2"/>
      <c r="H290" s="2"/>
      <c r="I290" s="2"/>
      <c r="J290" s="2"/>
      <c r="K290" s="2"/>
    </row>
    <row r="291" spans="2:11" x14ac:dyDescent="0.35">
      <c r="B291" s="45"/>
      <c r="C291" s="2"/>
      <c r="D291" s="2"/>
      <c r="E291" s="2"/>
      <c r="F291" s="2"/>
      <c r="G291" s="2"/>
      <c r="H291" s="2"/>
      <c r="I291" s="2"/>
      <c r="J291" s="2"/>
      <c r="K291" s="2"/>
    </row>
    <row r="292" spans="2:11" x14ac:dyDescent="0.35">
      <c r="B292" s="45"/>
      <c r="C292" s="2"/>
      <c r="D292" s="2"/>
      <c r="E292" s="2"/>
      <c r="F292" s="2"/>
      <c r="G292" s="2"/>
      <c r="H292" s="2"/>
      <c r="I292" s="2"/>
      <c r="J292" s="2"/>
      <c r="K292" s="2"/>
    </row>
    <row r="293" spans="2:11" x14ac:dyDescent="0.35">
      <c r="B293" s="45"/>
      <c r="C293" s="2"/>
      <c r="D293" s="2"/>
      <c r="E293" s="2"/>
      <c r="F293" s="2"/>
      <c r="G293" s="2"/>
      <c r="H293" s="2"/>
      <c r="I293" s="2"/>
      <c r="J293" s="2"/>
      <c r="K293" s="2"/>
    </row>
    <row r="294" spans="2:11" x14ac:dyDescent="0.35">
      <c r="B294" s="45"/>
      <c r="C294" s="2"/>
      <c r="D294" s="2"/>
      <c r="E294" s="2"/>
      <c r="F294" s="2"/>
      <c r="G294" s="2"/>
      <c r="H294" s="2"/>
      <c r="I294" s="2"/>
      <c r="J294" s="2"/>
      <c r="K294" s="2"/>
    </row>
    <row r="295" spans="2:11" x14ac:dyDescent="0.35">
      <c r="B295" s="45"/>
      <c r="C295" s="2"/>
      <c r="D295" s="2"/>
      <c r="E295" s="2"/>
      <c r="F295" s="2"/>
      <c r="G295" s="2"/>
      <c r="H295" s="2"/>
      <c r="I295" s="2"/>
      <c r="J295" s="2"/>
      <c r="K295" s="2"/>
    </row>
    <row r="296" spans="2:11" x14ac:dyDescent="0.35">
      <c r="B296" s="45"/>
      <c r="C296" s="2"/>
      <c r="D296" s="2"/>
      <c r="E296" s="2"/>
      <c r="F296" s="2"/>
      <c r="G296" s="2"/>
      <c r="H296" s="2"/>
      <c r="I296" s="2"/>
      <c r="J296" s="2"/>
      <c r="K296" s="2"/>
    </row>
    <row r="297" spans="2:11" x14ac:dyDescent="0.35">
      <c r="B297" s="45"/>
      <c r="C297" s="2"/>
      <c r="D297" s="2"/>
      <c r="E297" s="2"/>
      <c r="F297" s="2"/>
      <c r="G297" s="2"/>
      <c r="H297" s="2"/>
      <c r="I297" s="2"/>
      <c r="J297" s="2"/>
      <c r="K297" s="2"/>
    </row>
    <row r="298" spans="2:11" x14ac:dyDescent="0.35">
      <c r="B298" s="45"/>
      <c r="C298" s="2"/>
      <c r="D298" s="2"/>
      <c r="E298" s="2"/>
      <c r="F298" s="2"/>
      <c r="G298" s="2"/>
      <c r="H298" s="2"/>
      <c r="I298" s="2"/>
      <c r="J298" s="2"/>
      <c r="K298" s="2"/>
    </row>
    <row r="299" spans="2:11" x14ac:dyDescent="0.35">
      <c r="B299" s="45"/>
      <c r="C299" s="2"/>
      <c r="D299" s="2"/>
      <c r="E299" s="2"/>
      <c r="F299" s="2"/>
      <c r="G299" s="2"/>
      <c r="H299" s="2"/>
      <c r="I299" s="2"/>
      <c r="J299" s="2"/>
      <c r="K299" s="2"/>
    </row>
    <row r="300" spans="2:11" x14ac:dyDescent="0.35">
      <c r="B300" s="45"/>
      <c r="C300" s="2"/>
      <c r="D300" s="2"/>
      <c r="E300" s="2"/>
      <c r="F300" s="2"/>
      <c r="G300" s="2"/>
      <c r="H300" s="2"/>
      <c r="I300" s="2"/>
      <c r="J300" s="2"/>
      <c r="K300" s="2"/>
    </row>
    <row r="301" spans="2:11" x14ac:dyDescent="0.35">
      <c r="B301" s="45"/>
      <c r="C301" s="2"/>
      <c r="D301" s="2"/>
      <c r="E301" s="2"/>
      <c r="F301" s="2"/>
      <c r="G301" s="2"/>
      <c r="H301" s="2"/>
      <c r="I301" s="2"/>
      <c r="J301" s="2"/>
      <c r="K301" s="2"/>
    </row>
    <row r="302" spans="2:11" x14ac:dyDescent="0.35">
      <c r="B302" s="45"/>
      <c r="C302" s="2"/>
      <c r="D302" s="2"/>
      <c r="E302" s="2"/>
      <c r="F302" s="2"/>
      <c r="G302" s="2"/>
      <c r="H302" s="2"/>
      <c r="I302" s="2"/>
      <c r="J302" s="2"/>
      <c r="K302" s="2"/>
    </row>
    <row r="303" spans="2:11" x14ac:dyDescent="0.35">
      <c r="B303" s="45"/>
      <c r="C303" s="2"/>
      <c r="D303" s="2"/>
      <c r="E303" s="2"/>
      <c r="F303" s="2"/>
      <c r="G303" s="2"/>
      <c r="H303" s="2"/>
      <c r="I303" s="2"/>
      <c r="J303" s="2"/>
      <c r="K303" s="2"/>
    </row>
    <row r="304" spans="2:11" x14ac:dyDescent="0.35">
      <c r="B304" s="45"/>
      <c r="C304" s="2"/>
      <c r="D304" s="2"/>
      <c r="E304" s="2"/>
      <c r="F304" s="2"/>
      <c r="G304" s="2"/>
      <c r="H304" s="2"/>
      <c r="I304" s="2"/>
      <c r="J304" s="2"/>
      <c r="K304" s="2"/>
    </row>
    <row r="305" spans="2:11" x14ac:dyDescent="0.35">
      <c r="B305" s="45"/>
      <c r="C305" s="2"/>
      <c r="D305" s="2"/>
      <c r="E305" s="2"/>
      <c r="F305" s="2"/>
      <c r="G305" s="2"/>
      <c r="H305" s="2"/>
      <c r="I305" s="2"/>
      <c r="J305" s="2"/>
      <c r="K305" s="2"/>
    </row>
    <row r="306" spans="2:11" x14ac:dyDescent="0.35">
      <c r="B306" s="45"/>
      <c r="C306" s="2"/>
      <c r="D306" s="2"/>
      <c r="E306" s="2"/>
      <c r="F306" s="2"/>
      <c r="G306" s="2"/>
      <c r="H306" s="2"/>
      <c r="I306" s="2"/>
      <c r="J306" s="2"/>
      <c r="K306" s="2"/>
    </row>
    <row r="307" spans="2:11" x14ac:dyDescent="0.35">
      <c r="B307" s="45"/>
      <c r="C307" s="2"/>
      <c r="D307" s="2"/>
      <c r="E307" s="2"/>
      <c r="F307" s="2"/>
      <c r="G307" s="2"/>
      <c r="H307" s="2"/>
      <c r="I307" s="2"/>
      <c r="J307" s="2"/>
      <c r="K307" s="2"/>
    </row>
    <row r="308" spans="2:11" x14ac:dyDescent="0.35">
      <c r="B308" s="45"/>
      <c r="C308" s="2"/>
      <c r="D308" s="2"/>
      <c r="E308" s="2"/>
      <c r="F308" s="2"/>
      <c r="G308" s="2"/>
      <c r="H308" s="2"/>
      <c r="I308" s="2"/>
      <c r="J308" s="2"/>
      <c r="K308" s="2"/>
    </row>
    <row r="309" spans="2:11" x14ac:dyDescent="0.35">
      <c r="B309" s="45"/>
      <c r="C309" s="2"/>
      <c r="D309" s="2"/>
      <c r="E309" s="2"/>
      <c r="F309" s="2"/>
      <c r="G309" s="2"/>
      <c r="H309" s="2"/>
      <c r="I309" s="2"/>
      <c r="J309" s="2"/>
      <c r="K309" s="2"/>
    </row>
    <row r="310" spans="2:11" x14ac:dyDescent="0.35">
      <c r="B310" s="45"/>
      <c r="C310" s="2"/>
      <c r="D310" s="2"/>
      <c r="E310" s="2"/>
      <c r="F310" s="2"/>
      <c r="G310" s="2"/>
      <c r="H310" s="2"/>
      <c r="I310" s="2"/>
      <c r="J310" s="2"/>
      <c r="K310" s="2"/>
    </row>
    <row r="311" spans="2:11" x14ac:dyDescent="0.35">
      <c r="B311" s="45"/>
      <c r="C311" s="2"/>
      <c r="D311" s="2"/>
      <c r="E311" s="2"/>
      <c r="F311" s="2"/>
      <c r="G311" s="2"/>
      <c r="H311" s="2"/>
      <c r="I311" s="2"/>
      <c r="J311" s="2"/>
      <c r="K311" s="2"/>
    </row>
    <row r="312" spans="2:11" x14ac:dyDescent="0.35">
      <c r="B312" s="45"/>
      <c r="C312" s="2"/>
      <c r="D312" s="2"/>
      <c r="E312" s="2"/>
      <c r="F312" s="2"/>
      <c r="G312" s="2"/>
      <c r="H312" s="2"/>
      <c r="I312" s="2"/>
      <c r="J312" s="2"/>
      <c r="K312" s="2"/>
    </row>
    <row r="313" spans="2:11" x14ac:dyDescent="0.35">
      <c r="B313" s="45"/>
      <c r="C313" s="2"/>
      <c r="D313" s="2"/>
      <c r="E313" s="2"/>
      <c r="F313" s="2"/>
      <c r="G313" s="2"/>
      <c r="H313" s="2"/>
      <c r="I313" s="2"/>
      <c r="J313" s="2"/>
      <c r="K313" s="2"/>
    </row>
    <row r="314" spans="2:11" x14ac:dyDescent="0.35">
      <c r="B314" s="45"/>
      <c r="C314" s="2"/>
      <c r="D314" s="2"/>
      <c r="E314" s="2"/>
      <c r="F314" s="2"/>
      <c r="G314" s="2"/>
      <c r="H314" s="2"/>
      <c r="I314" s="2"/>
      <c r="J314" s="2"/>
      <c r="K314" s="2"/>
    </row>
    <row r="315" spans="2:11" x14ac:dyDescent="0.35">
      <c r="B315" s="45"/>
      <c r="C315" s="2"/>
      <c r="D315" s="2"/>
      <c r="E315" s="2"/>
      <c r="F315" s="2"/>
      <c r="G315" s="2"/>
      <c r="H315" s="2"/>
      <c r="I315" s="2"/>
      <c r="J315" s="2"/>
      <c r="K315" s="2"/>
    </row>
    <row r="316" spans="2:11" x14ac:dyDescent="0.35">
      <c r="B316" s="45"/>
      <c r="C316" s="2"/>
      <c r="D316" s="2"/>
      <c r="E316" s="2"/>
      <c r="F316" s="2"/>
      <c r="G316" s="2"/>
      <c r="H316" s="2"/>
      <c r="I316" s="2"/>
      <c r="J316" s="2"/>
      <c r="K316" s="2"/>
    </row>
    <row r="317" spans="2:11" x14ac:dyDescent="0.35">
      <c r="B317" s="45"/>
      <c r="C317" s="2"/>
      <c r="D317" s="2"/>
      <c r="E317" s="2"/>
      <c r="F317" s="2"/>
      <c r="G317" s="2"/>
      <c r="H317" s="2"/>
      <c r="I317" s="2"/>
      <c r="J317" s="2"/>
      <c r="K317" s="2"/>
    </row>
    <row r="318" spans="2:11" x14ac:dyDescent="0.35">
      <c r="B318" s="45"/>
      <c r="C318" s="2"/>
      <c r="D318" s="2"/>
      <c r="E318" s="2"/>
      <c r="F318" s="2"/>
      <c r="G318" s="2"/>
      <c r="H318" s="2"/>
      <c r="I318" s="2"/>
      <c r="J318" s="2"/>
      <c r="K318" s="2"/>
    </row>
    <row r="319" spans="2:11" x14ac:dyDescent="0.35">
      <c r="B319" s="45"/>
      <c r="C319" s="2"/>
      <c r="D319" s="2"/>
      <c r="E319" s="2"/>
      <c r="F319" s="2"/>
      <c r="G319" s="2"/>
      <c r="H319" s="2"/>
      <c r="I319" s="2"/>
      <c r="J319" s="2"/>
      <c r="K319" s="2"/>
    </row>
    <row r="320" spans="2:11" x14ac:dyDescent="0.35">
      <c r="B320" s="45"/>
      <c r="C320" s="2"/>
      <c r="D320" s="2"/>
      <c r="E320" s="2"/>
      <c r="F320" s="2"/>
      <c r="G320" s="2"/>
      <c r="H320" s="2"/>
      <c r="I320" s="2"/>
      <c r="J320" s="2"/>
      <c r="K320" s="2"/>
    </row>
    <row r="321" spans="2:11" x14ac:dyDescent="0.35">
      <c r="B321" s="45"/>
      <c r="C321" s="2"/>
      <c r="D321" s="2"/>
      <c r="E321" s="2"/>
      <c r="F321" s="2"/>
      <c r="G321" s="2"/>
      <c r="H321" s="2"/>
      <c r="I321" s="2"/>
      <c r="J321" s="2"/>
      <c r="K321" s="2"/>
    </row>
    <row r="322" spans="2:11" x14ac:dyDescent="0.35">
      <c r="B322" s="45"/>
      <c r="C322" s="2"/>
      <c r="D322" s="2"/>
      <c r="E322" s="2"/>
      <c r="F322" s="2"/>
      <c r="G322" s="2"/>
      <c r="H322" s="2"/>
      <c r="I322" s="2"/>
      <c r="J322" s="2"/>
      <c r="K322" s="2"/>
    </row>
    <row r="323" spans="2:11" x14ac:dyDescent="0.35">
      <c r="B323" s="45"/>
      <c r="C323" s="2"/>
      <c r="D323" s="2"/>
      <c r="E323" s="2"/>
      <c r="F323" s="2"/>
      <c r="G323" s="2"/>
      <c r="H323" s="2"/>
      <c r="I323" s="2"/>
      <c r="J323" s="2"/>
      <c r="K323" s="2"/>
    </row>
    <row r="324" spans="2:11" x14ac:dyDescent="0.35">
      <c r="B324" s="45"/>
      <c r="C324" s="2"/>
      <c r="D324" s="2"/>
      <c r="E324" s="2"/>
      <c r="F324" s="2"/>
      <c r="G324" s="2"/>
      <c r="H324" s="2"/>
      <c r="I324" s="2"/>
      <c r="J324" s="2"/>
      <c r="K324" s="2"/>
    </row>
    <row r="325" spans="2:11" x14ac:dyDescent="0.35">
      <c r="B325" s="45"/>
      <c r="C325" s="2"/>
      <c r="D325" s="2"/>
      <c r="E325" s="2"/>
      <c r="F325" s="2"/>
      <c r="G325" s="2"/>
      <c r="H325" s="2"/>
      <c r="I325" s="2"/>
      <c r="J325" s="2"/>
      <c r="K325" s="2"/>
    </row>
    <row r="326" spans="2:11" x14ac:dyDescent="0.35">
      <c r="B326" s="45"/>
      <c r="C326" s="2"/>
      <c r="D326" s="2"/>
      <c r="E326" s="2"/>
      <c r="F326" s="2"/>
      <c r="G326" s="2"/>
      <c r="H326" s="2"/>
      <c r="I326" s="2"/>
      <c r="J326" s="2"/>
      <c r="K326" s="2"/>
    </row>
    <row r="327" spans="2:11" x14ac:dyDescent="0.35">
      <c r="B327" s="45"/>
      <c r="C327" s="2"/>
      <c r="D327" s="2"/>
      <c r="E327" s="2"/>
      <c r="F327" s="2"/>
      <c r="G327" s="2"/>
      <c r="H327" s="2"/>
      <c r="I327" s="2"/>
      <c r="J327" s="2"/>
      <c r="K327" s="2"/>
    </row>
    <row r="328" spans="2:11" x14ac:dyDescent="0.35">
      <c r="B328" s="45"/>
      <c r="C328" s="2"/>
      <c r="D328" s="2"/>
      <c r="E328" s="2"/>
      <c r="F328" s="2"/>
      <c r="G328" s="2"/>
      <c r="H328" s="2"/>
      <c r="I328" s="2"/>
      <c r="J328" s="2"/>
      <c r="K328" s="2"/>
    </row>
    <row r="329" spans="2:11" x14ac:dyDescent="0.35">
      <c r="B329" s="45"/>
      <c r="C329" s="2"/>
      <c r="D329" s="2"/>
      <c r="E329" s="2"/>
      <c r="F329" s="2"/>
      <c r="G329" s="2"/>
      <c r="H329" s="2"/>
      <c r="I329" s="2"/>
      <c r="J329" s="2"/>
      <c r="K329" s="2"/>
    </row>
    <row r="330" spans="2:11" x14ac:dyDescent="0.35">
      <c r="B330" s="45"/>
      <c r="C330" s="2"/>
      <c r="D330" s="2"/>
      <c r="E330" s="2"/>
      <c r="F330" s="2"/>
      <c r="G330" s="2"/>
      <c r="H330" s="2"/>
      <c r="I330" s="2"/>
      <c r="J330" s="2"/>
      <c r="K330" s="2"/>
    </row>
    <row r="331" spans="2:11" x14ac:dyDescent="0.35">
      <c r="B331" s="45"/>
      <c r="C331" s="2"/>
      <c r="D331" s="2"/>
      <c r="E331" s="2"/>
      <c r="F331" s="2"/>
      <c r="G331" s="2"/>
      <c r="H331" s="2"/>
      <c r="I331" s="2"/>
      <c r="J331" s="2"/>
      <c r="K331" s="2"/>
    </row>
    <row r="332" spans="2:11" x14ac:dyDescent="0.35">
      <c r="B332" s="45"/>
      <c r="C332" s="2"/>
      <c r="D332" s="2"/>
      <c r="E332" s="2"/>
      <c r="F332" s="2"/>
      <c r="G332" s="2"/>
      <c r="H332" s="2"/>
      <c r="I332" s="2"/>
      <c r="J332" s="2"/>
      <c r="K332" s="2"/>
    </row>
    <row r="333" spans="2:11" x14ac:dyDescent="0.35">
      <c r="B333" s="45"/>
      <c r="C333" s="2"/>
      <c r="D333" s="2"/>
      <c r="E333" s="2"/>
      <c r="F333" s="2"/>
      <c r="G333" s="2"/>
      <c r="H333" s="2"/>
      <c r="I333" s="2"/>
      <c r="J333" s="2"/>
      <c r="K333" s="2"/>
    </row>
    <row r="334" spans="2:11" x14ac:dyDescent="0.35">
      <c r="B334" s="45"/>
      <c r="C334" s="2"/>
      <c r="D334" s="2"/>
      <c r="E334" s="2"/>
      <c r="F334" s="2"/>
      <c r="G334" s="2"/>
      <c r="H334" s="2"/>
      <c r="I334" s="2"/>
      <c r="J334" s="2"/>
      <c r="K334" s="2"/>
    </row>
    <row r="335" spans="2:11" x14ac:dyDescent="0.35">
      <c r="B335" s="45"/>
      <c r="C335" s="2"/>
      <c r="D335" s="2"/>
      <c r="E335" s="2"/>
      <c r="F335" s="2"/>
      <c r="G335" s="2"/>
      <c r="H335" s="2"/>
      <c r="I335" s="2"/>
      <c r="J335" s="2"/>
      <c r="K335" s="2"/>
    </row>
    <row r="336" spans="2:11" x14ac:dyDescent="0.35">
      <c r="B336" s="45"/>
      <c r="C336" s="2"/>
      <c r="D336" s="2"/>
      <c r="E336" s="2"/>
      <c r="F336" s="2"/>
      <c r="G336" s="2"/>
      <c r="H336" s="2"/>
      <c r="I336" s="2"/>
      <c r="J336" s="2"/>
      <c r="K336" s="2"/>
    </row>
    <row r="337" spans="2:11" x14ac:dyDescent="0.35">
      <c r="B337" s="45"/>
      <c r="C337" s="2"/>
      <c r="D337" s="2"/>
      <c r="E337" s="2"/>
      <c r="F337" s="2"/>
      <c r="G337" s="2"/>
      <c r="H337" s="2"/>
      <c r="I337" s="2"/>
      <c r="J337" s="2"/>
      <c r="K337" s="2"/>
    </row>
    <row r="338" spans="2:11" x14ac:dyDescent="0.35">
      <c r="B338" s="45"/>
      <c r="C338" s="2"/>
      <c r="D338" s="2"/>
      <c r="E338" s="2"/>
      <c r="F338" s="2"/>
      <c r="G338" s="2"/>
      <c r="H338" s="2"/>
      <c r="I338" s="2"/>
      <c r="J338" s="2"/>
      <c r="K338" s="2"/>
    </row>
    <row r="339" spans="2:11" x14ac:dyDescent="0.35">
      <c r="B339" s="45"/>
      <c r="C339" s="2"/>
      <c r="D339" s="2"/>
      <c r="E339" s="2"/>
      <c r="F339" s="2"/>
      <c r="G339" s="2"/>
      <c r="H339" s="2"/>
      <c r="I339" s="2"/>
      <c r="J339" s="2"/>
      <c r="K339" s="2"/>
    </row>
    <row r="340" spans="2:11" x14ac:dyDescent="0.35">
      <c r="B340" s="45"/>
      <c r="C340" s="2"/>
      <c r="D340" s="2"/>
      <c r="E340" s="2"/>
      <c r="F340" s="2"/>
      <c r="G340" s="2"/>
      <c r="H340" s="2"/>
      <c r="I340" s="2"/>
      <c r="J340" s="2"/>
      <c r="K340" s="2"/>
    </row>
    <row r="341" spans="2:11" x14ac:dyDescent="0.35">
      <c r="B341" s="45"/>
      <c r="C341" s="2"/>
      <c r="D341" s="2"/>
      <c r="E341" s="2"/>
      <c r="F341" s="2"/>
      <c r="G341" s="2"/>
      <c r="H341" s="2"/>
      <c r="I341" s="2"/>
      <c r="J341" s="2"/>
      <c r="K341" s="2"/>
    </row>
    <row r="342" spans="2:11" x14ac:dyDescent="0.35">
      <c r="B342" s="45"/>
      <c r="C342" s="2"/>
      <c r="D342" s="2"/>
      <c r="E342" s="2"/>
      <c r="F342" s="2"/>
      <c r="G342" s="2"/>
      <c r="H342" s="2"/>
      <c r="I342" s="2"/>
      <c r="J342" s="2"/>
      <c r="K342" s="2"/>
    </row>
    <row r="343" spans="2:11" x14ac:dyDescent="0.35">
      <c r="B343" s="45"/>
      <c r="C343" s="2"/>
      <c r="D343" s="2"/>
      <c r="E343" s="2"/>
      <c r="F343" s="2"/>
      <c r="G343" s="2"/>
      <c r="H343" s="2"/>
      <c r="I343" s="2"/>
      <c r="J343" s="2"/>
      <c r="K343" s="2"/>
    </row>
    <row r="344" spans="2:11" x14ac:dyDescent="0.35">
      <c r="B344" s="45"/>
      <c r="C344" s="2"/>
      <c r="D344" s="2"/>
      <c r="E344" s="2"/>
      <c r="F344" s="2"/>
      <c r="G344" s="2"/>
      <c r="H344" s="2"/>
      <c r="I344" s="2"/>
      <c r="J344" s="2"/>
      <c r="K344" s="2"/>
    </row>
    <row r="345" spans="2:11" x14ac:dyDescent="0.35">
      <c r="B345" s="45"/>
      <c r="C345" s="2"/>
      <c r="D345" s="2"/>
      <c r="E345" s="2"/>
      <c r="F345" s="2"/>
      <c r="G345" s="2"/>
      <c r="H345" s="2"/>
      <c r="I345" s="2"/>
      <c r="J345" s="2"/>
      <c r="K345" s="2"/>
    </row>
    <row r="346" spans="2:11" x14ac:dyDescent="0.35">
      <c r="B346" s="45"/>
      <c r="C346" s="2"/>
      <c r="D346" s="2"/>
      <c r="E346" s="2"/>
      <c r="F346" s="2"/>
      <c r="G346" s="2"/>
      <c r="H346" s="2"/>
      <c r="I346" s="2"/>
      <c r="J346" s="2"/>
      <c r="K346" s="2"/>
    </row>
    <row r="347" spans="2:11" x14ac:dyDescent="0.35">
      <c r="B347" s="45"/>
      <c r="C347" s="2"/>
      <c r="D347" s="2"/>
      <c r="E347" s="2"/>
      <c r="F347" s="2"/>
      <c r="G347" s="2"/>
      <c r="H347" s="2"/>
      <c r="I347" s="2"/>
      <c r="J347" s="2"/>
      <c r="K347" s="2"/>
    </row>
    <row r="348" spans="2:11" x14ac:dyDescent="0.35">
      <c r="B348" s="45"/>
      <c r="C348" s="2"/>
      <c r="D348" s="2"/>
      <c r="E348" s="2"/>
      <c r="F348" s="2"/>
      <c r="G348" s="2"/>
      <c r="H348" s="2"/>
      <c r="I348" s="2"/>
      <c r="J348" s="2"/>
      <c r="K348" s="2"/>
    </row>
    <row r="349" spans="2:11" x14ac:dyDescent="0.35">
      <c r="B349" s="45"/>
      <c r="C349" s="2"/>
      <c r="D349" s="2"/>
      <c r="E349" s="2"/>
      <c r="F349" s="2"/>
      <c r="G349" s="2"/>
      <c r="H349" s="2"/>
      <c r="I349" s="2"/>
      <c r="J349" s="2"/>
      <c r="K349" s="2"/>
    </row>
    <row r="350" spans="2:11" x14ac:dyDescent="0.35">
      <c r="B350" s="45"/>
      <c r="C350" s="2"/>
      <c r="D350" s="2"/>
      <c r="E350" s="2"/>
      <c r="F350" s="2"/>
      <c r="G350" s="2"/>
      <c r="H350" s="2"/>
      <c r="I350" s="2"/>
      <c r="J350" s="2"/>
      <c r="K350" s="2"/>
    </row>
    <row r="351" spans="2:11" x14ac:dyDescent="0.35">
      <c r="B351" s="45"/>
      <c r="C351" s="2"/>
      <c r="D351" s="2"/>
      <c r="E351" s="2"/>
      <c r="F351" s="2"/>
      <c r="G351" s="2"/>
      <c r="H351" s="2"/>
      <c r="I351" s="2"/>
      <c r="J351" s="2"/>
      <c r="K351" s="2"/>
    </row>
    <row r="352" spans="2:11" x14ac:dyDescent="0.35">
      <c r="B352" s="45"/>
      <c r="C352" s="2"/>
      <c r="D352" s="2"/>
      <c r="E352" s="2"/>
      <c r="F352" s="2"/>
      <c r="G352" s="2"/>
      <c r="H352" s="2"/>
      <c r="I352" s="2"/>
      <c r="J352" s="2"/>
      <c r="K352" s="2"/>
    </row>
    <row r="353" spans="2:11" x14ac:dyDescent="0.35">
      <c r="B353" s="45"/>
      <c r="C353" s="2"/>
      <c r="D353" s="2"/>
      <c r="E353" s="2"/>
      <c r="F353" s="2"/>
      <c r="G353" s="2"/>
      <c r="H353" s="2"/>
      <c r="I353" s="2"/>
      <c r="J353" s="2"/>
      <c r="K353" s="2"/>
    </row>
    <row r="354" spans="2:11" x14ac:dyDescent="0.35">
      <c r="B354" s="45"/>
      <c r="C354" s="2"/>
      <c r="D354" s="2"/>
      <c r="E354" s="2"/>
      <c r="F354" s="2"/>
      <c r="G354" s="2"/>
      <c r="H354" s="2"/>
      <c r="I354" s="2"/>
      <c r="J354" s="2"/>
      <c r="K354" s="2"/>
    </row>
    <row r="355" spans="2:11" x14ac:dyDescent="0.35">
      <c r="B355" s="45"/>
      <c r="C355" s="2"/>
      <c r="D355" s="2"/>
      <c r="E355" s="2"/>
      <c r="F355" s="2"/>
      <c r="G355" s="2"/>
      <c r="H355" s="2"/>
      <c r="I355" s="2"/>
      <c r="J355" s="2"/>
      <c r="K355" s="2"/>
    </row>
    <row r="356" spans="2:11" x14ac:dyDescent="0.35">
      <c r="B356" s="45"/>
      <c r="C356" s="2"/>
      <c r="D356" s="2"/>
      <c r="E356" s="2"/>
      <c r="F356" s="2"/>
      <c r="G356" s="2"/>
      <c r="H356" s="2"/>
      <c r="I356" s="2"/>
      <c r="J356" s="2"/>
      <c r="K356" s="2"/>
    </row>
    <row r="357" spans="2:11" x14ac:dyDescent="0.35">
      <c r="B357" s="45"/>
      <c r="C357" s="2"/>
      <c r="D357" s="2"/>
      <c r="E357" s="2"/>
      <c r="F357" s="2"/>
      <c r="G357" s="2"/>
      <c r="H357" s="2"/>
      <c r="I357" s="2"/>
      <c r="J357" s="2"/>
      <c r="K357" s="2"/>
    </row>
    <row r="358" spans="2:11" x14ac:dyDescent="0.35">
      <c r="B358" s="45"/>
      <c r="C358" s="2"/>
      <c r="D358" s="2"/>
      <c r="E358" s="2"/>
      <c r="F358" s="2"/>
      <c r="G358" s="2"/>
      <c r="H358" s="2"/>
      <c r="I358" s="2"/>
      <c r="J358" s="2"/>
      <c r="K358" s="2"/>
    </row>
    <row r="359" spans="2:11" x14ac:dyDescent="0.35">
      <c r="B359" s="45"/>
      <c r="C359" s="2"/>
      <c r="D359" s="2"/>
      <c r="E359" s="2"/>
      <c r="F359" s="2"/>
      <c r="G359" s="2"/>
      <c r="H359" s="2"/>
      <c r="I359" s="2"/>
      <c r="J359" s="2"/>
      <c r="K359" s="2"/>
    </row>
    <row r="360" spans="2:11" x14ac:dyDescent="0.35">
      <c r="B360" s="45"/>
      <c r="C360" s="2"/>
      <c r="D360" s="2"/>
      <c r="E360" s="2"/>
      <c r="F360" s="2"/>
      <c r="G360" s="2"/>
      <c r="H360" s="2"/>
      <c r="I360" s="2"/>
      <c r="J360" s="2"/>
      <c r="K360" s="2"/>
    </row>
    <row r="361" spans="2:11" x14ac:dyDescent="0.35">
      <c r="B361" s="45"/>
      <c r="C361" s="2"/>
      <c r="D361" s="2"/>
      <c r="E361" s="2"/>
      <c r="F361" s="2"/>
      <c r="G361" s="2"/>
      <c r="H361" s="2"/>
      <c r="I361" s="2"/>
      <c r="J361" s="2"/>
      <c r="K361" s="2"/>
    </row>
    <row r="362" spans="2:11" x14ac:dyDescent="0.35">
      <c r="B362" s="45"/>
      <c r="C362" s="2"/>
      <c r="D362" s="2"/>
      <c r="E362" s="2"/>
      <c r="F362" s="2"/>
      <c r="G362" s="2"/>
      <c r="H362" s="2"/>
      <c r="I362" s="2"/>
      <c r="J362" s="2"/>
      <c r="K362" s="2"/>
    </row>
    <row r="363" spans="2:11" x14ac:dyDescent="0.35">
      <c r="B363" s="45"/>
      <c r="C363" s="2"/>
      <c r="D363" s="2"/>
      <c r="E363" s="2"/>
      <c r="F363" s="2"/>
      <c r="G363" s="2"/>
      <c r="H363" s="2"/>
      <c r="I363" s="2"/>
      <c r="J363" s="2"/>
      <c r="K363" s="2"/>
    </row>
    <row r="364" spans="2:11" x14ac:dyDescent="0.35">
      <c r="B364" s="45"/>
      <c r="C364" s="2"/>
      <c r="D364" s="2"/>
      <c r="E364" s="2"/>
      <c r="F364" s="2"/>
      <c r="G364" s="2"/>
      <c r="H364" s="2"/>
      <c r="I364" s="2"/>
      <c r="J364" s="2"/>
      <c r="K364" s="2"/>
    </row>
    <row r="365" spans="2:11" x14ac:dyDescent="0.35">
      <c r="B365" s="45"/>
      <c r="C365" s="2"/>
      <c r="D365" s="2"/>
      <c r="E365" s="2"/>
      <c r="F365" s="2"/>
      <c r="G365" s="2"/>
      <c r="H365" s="2"/>
      <c r="I365" s="2"/>
      <c r="J365" s="2"/>
      <c r="K365" s="2"/>
    </row>
    <row r="366" spans="2:11" x14ac:dyDescent="0.35">
      <c r="B366" s="45"/>
      <c r="C366" s="2"/>
      <c r="D366" s="2"/>
      <c r="E366" s="2"/>
      <c r="F366" s="2"/>
      <c r="G366" s="2"/>
      <c r="H366" s="2"/>
      <c r="I366" s="2"/>
      <c r="J366" s="2"/>
      <c r="K366" s="2"/>
    </row>
    <row r="367" spans="2:11" x14ac:dyDescent="0.35">
      <c r="B367" s="45"/>
      <c r="C367" s="2"/>
      <c r="D367" s="2"/>
      <c r="E367" s="2"/>
      <c r="F367" s="2"/>
      <c r="G367" s="2"/>
      <c r="H367" s="2"/>
      <c r="I367" s="2"/>
      <c r="J367" s="2"/>
      <c r="K367" s="2"/>
    </row>
    <row r="368" spans="2:11" x14ac:dyDescent="0.35">
      <c r="B368" s="45"/>
      <c r="C368" s="2"/>
      <c r="D368" s="2"/>
      <c r="E368" s="2"/>
      <c r="F368" s="2"/>
      <c r="G368" s="2"/>
      <c r="H368" s="2"/>
      <c r="I368" s="2"/>
      <c r="J368" s="2"/>
      <c r="K368" s="2"/>
    </row>
    <row r="369" spans="2:11" x14ac:dyDescent="0.35">
      <c r="B369" s="45"/>
      <c r="C369" s="2"/>
      <c r="D369" s="2"/>
      <c r="E369" s="2"/>
      <c r="F369" s="2"/>
      <c r="G369" s="2"/>
      <c r="H369" s="2"/>
      <c r="I369" s="2"/>
      <c r="J369" s="2"/>
      <c r="K369" s="2"/>
    </row>
    <row r="370" spans="2:11" x14ac:dyDescent="0.35">
      <c r="B370" s="45"/>
      <c r="C370" s="2"/>
      <c r="D370" s="2"/>
      <c r="E370" s="2"/>
      <c r="F370" s="2"/>
      <c r="G370" s="2"/>
      <c r="H370" s="2"/>
      <c r="I370" s="2"/>
      <c r="J370" s="2"/>
      <c r="K370" s="2"/>
    </row>
    <row r="371" spans="2:11" x14ac:dyDescent="0.35">
      <c r="B371" s="45"/>
      <c r="C371" s="2"/>
      <c r="D371" s="2"/>
      <c r="E371" s="2"/>
      <c r="F371" s="2"/>
      <c r="G371" s="2"/>
      <c r="H371" s="2"/>
      <c r="I371" s="2"/>
      <c r="J371" s="2"/>
      <c r="K371" s="2"/>
    </row>
    <row r="372" spans="2:11" x14ac:dyDescent="0.35">
      <c r="B372" s="45"/>
      <c r="C372" s="2"/>
      <c r="D372" s="2"/>
      <c r="E372" s="2"/>
      <c r="F372" s="2"/>
      <c r="G372" s="2"/>
      <c r="H372" s="2"/>
      <c r="I372" s="2"/>
      <c r="J372" s="2"/>
      <c r="K372" s="2"/>
    </row>
    <row r="373" spans="2:11" x14ac:dyDescent="0.35">
      <c r="B373" s="45"/>
      <c r="C373" s="2"/>
      <c r="D373" s="2"/>
      <c r="E373" s="2"/>
      <c r="F373" s="2"/>
      <c r="G373" s="2"/>
      <c r="H373" s="2"/>
      <c r="I373" s="2"/>
      <c r="J373" s="2"/>
      <c r="K373" s="2"/>
    </row>
    <row r="374" spans="2:11" x14ac:dyDescent="0.35">
      <c r="B374" s="45"/>
      <c r="C374" s="2"/>
      <c r="D374" s="2"/>
      <c r="E374" s="2"/>
      <c r="F374" s="2"/>
      <c r="G374" s="2"/>
      <c r="H374" s="2"/>
      <c r="I374" s="2"/>
      <c r="J374" s="2"/>
      <c r="K374" s="2"/>
    </row>
    <row r="375" spans="2:11" x14ac:dyDescent="0.35">
      <c r="B375" s="45"/>
      <c r="C375" s="2"/>
      <c r="D375" s="2"/>
      <c r="E375" s="2"/>
      <c r="F375" s="2"/>
      <c r="G375" s="2"/>
      <c r="H375" s="2"/>
      <c r="I375" s="2"/>
      <c r="J375" s="2"/>
      <c r="K375" s="2"/>
    </row>
    <row r="376" spans="2:11" x14ac:dyDescent="0.35">
      <c r="B376" s="45"/>
      <c r="C376" s="2"/>
      <c r="D376" s="2"/>
      <c r="E376" s="2"/>
      <c r="F376" s="2"/>
      <c r="G376" s="2"/>
      <c r="H376" s="2"/>
      <c r="I376" s="2"/>
      <c r="J376" s="2"/>
      <c r="K376" s="2"/>
    </row>
    <row r="377" spans="2:11" x14ac:dyDescent="0.35">
      <c r="B377" s="45"/>
      <c r="C377" s="2"/>
      <c r="D377" s="2"/>
      <c r="E377" s="2"/>
      <c r="F377" s="2"/>
      <c r="G377" s="2"/>
      <c r="H377" s="2"/>
      <c r="I377" s="2"/>
      <c r="J377" s="2"/>
      <c r="K377" s="2"/>
    </row>
    <row r="378" spans="2:11" x14ac:dyDescent="0.35">
      <c r="B378" s="45"/>
      <c r="C378" s="2"/>
      <c r="D378" s="2"/>
      <c r="E378" s="2"/>
      <c r="F378" s="2"/>
      <c r="G378" s="2"/>
      <c r="H378" s="2"/>
      <c r="I378" s="2"/>
      <c r="J378" s="2"/>
      <c r="K378" s="2"/>
    </row>
    <row r="379" spans="2:11" x14ac:dyDescent="0.35">
      <c r="B379" s="45"/>
      <c r="C379" s="2"/>
      <c r="D379" s="2"/>
      <c r="E379" s="2"/>
      <c r="F379" s="2"/>
      <c r="G379" s="2"/>
      <c r="H379" s="2"/>
      <c r="I379" s="2"/>
      <c r="J379" s="2"/>
      <c r="K379" s="2"/>
    </row>
    <row r="380" spans="2:11" x14ac:dyDescent="0.35">
      <c r="B380" s="45"/>
      <c r="C380" s="2"/>
      <c r="D380" s="2"/>
      <c r="E380" s="2"/>
      <c r="F380" s="2"/>
      <c r="G380" s="2"/>
      <c r="H380" s="2"/>
      <c r="I380" s="2"/>
      <c r="J380" s="2"/>
      <c r="K380" s="2"/>
    </row>
    <row r="381" spans="2:11" x14ac:dyDescent="0.35">
      <c r="B381" s="45"/>
      <c r="C381" s="2"/>
      <c r="D381" s="2"/>
      <c r="E381" s="2"/>
      <c r="F381" s="2"/>
      <c r="G381" s="2"/>
      <c r="H381" s="2"/>
      <c r="I381" s="2"/>
      <c r="J381" s="2"/>
      <c r="K381" s="2"/>
    </row>
    <row r="382" spans="2:11" x14ac:dyDescent="0.35">
      <c r="B382" s="45"/>
      <c r="C382" s="2"/>
      <c r="D382" s="2"/>
      <c r="E382" s="2"/>
      <c r="F382" s="2"/>
      <c r="G382" s="2"/>
      <c r="H382" s="2"/>
      <c r="I382" s="2"/>
      <c r="J382" s="2"/>
      <c r="K382" s="2"/>
    </row>
    <row r="383" spans="2:11" x14ac:dyDescent="0.35">
      <c r="B383" s="45"/>
      <c r="C383" s="2"/>
      <c r="D383" s="2"/>
      <c r="E383" s="2"/>
      <c r="F383" s="2"/>
      <c r="G383" s="2"/>
      <c r="H383" s="2"/>
      <c r="I383" s="2"/>
      <c r="J383" s="2"/>
      <c r="K383" s="2"/>
    </row>
    <row r="384" spans="2:11" x14ac:dyDescent="0.35">
      <c r="B384" s="45"/>
      <c r="C384" s="2"/>
      <c r="D384" s="2"/>
      <c r="E384" s="2"/>
      <c r="F384" s="2"/>
      <c r="G384" s="2"/>
      <c r="H384" s="2"/>
      <c r="I384" s="2"/>
      <c r="J384" s="2"/>
      <c r="K384" s="2"/>
    </row>
    <row r="385" spans="2:11" x14ac:dyDescent="0.35">
      <c r="B385" s="45"/>
      <c r="C385" s="2"/>
      <c r="D385" s="2"/>
      <c r="E385" s="2"/>
      <c r="F385" s="2"/>
      <c r="G385" s="2"/>
      <c r="H385" s="2"/>
      <c r="I385" s="2"/>
      <c r="J385" s="2"/>
      <c r="K385" s="2"/>
    </row>
    <row r="386" spans="2:11" x14ac:dyDescent="0.35">
      <c r="B386" s="45"/>
      <c r="C386" s="2"/>
      <c r="D386" s="2"/>
      <c r="E386" s="2"/>
      <c r="F386" s="2"/>
      <c r="G386" s="2"/>
      <c r="H386" s="2"/>
      <c r="I386" s="2"/>
      <c r="J386" s="2"/>
      <c r="K386" s="2"/>
    </row>
    <row r="387" spans="2:11" x14ac:dyDescent="0.35">
      <c r="B387" s="45"/>
      <c r="C387" s="2"/>
      <c r="D387" s="2"/>
      <c r="E387" s="2"/>
      <c r="F387" s="2"/>
      <c r="G387" s="2"/>
      <c r="H387" s="2"/>
      <c r="I387" s="2"/>
      <c r="J387" s="2"/>
      <c r="K387" s="2"/>
    </row>
    <row r="388" spans="2:11" x14ac:dyDescent="0.35">
      <c r="B388" s="45"/>
      <c r="C388" s="2"/>
      <c r="D388" s="2"/>
      <c r="E388" s="2"/>
      <c r="F388" s="2"/>
      <c r="G388" s="2"/>
      <c r="H388" s="2"/>
      <c r="I388" s="2"/>
      <c r="J388" s="2"/>
      <c r="K388" s="2"/>
    </row>
    <row r="389" spans="2:11" x14ac:dyDescent="0.35">
      <c r="B389" s="45"/>
      <c r="C389" s="2"/>
      <c r="D389" s="2"/>
      <c r="E389" s="2"/>
      <c r="F389" s="2"/>
      <c r="G389" s="2"/>
      <c r="H389" s="2"/>
      <c r="I389" s="2"/>
      <c r="J389" s="2"/>
      <c r="K389" s="2"/>
    </row>
    <row r="390" spans="2:11" x14ac:dyDescent="0.35">
      <c r="B390" s="45"/>
      <c r="C390" s="2"/>
      <c r="D390" s="2"/>
      <c r="E390" s="2"/>
      <c r="F390" s="2"/>
      <c r="G390" s="2"/>
      <c r="H390" s="2"/>
      <c r="I390" s="2"/>
      <c r="J390" s="2"/>
      <c r="K390" s="2"/>
    </row>
    <row r="391" spans="2:11" x14ac:dyDescent="0.35">
      <c r="B391" s="45"/>
      <c r="C391" s="2"/>
      <c r="D391" s="2"/>
      <c r="E391" s="2"/>
      <c r="F391" s="2"/>
      <c r="G391" s="2"/>
      <c r="H391" s="2"/>
      <c r="I391" s="2"/>
      <c r="J391" s="2"/>
      <c r="K391" s="2"/>
    </row>
    <row r="392" spans="2:11" x14ac:dyDescent="0.35">
      <c r="B392" s="45"/>
      <c r="C392" s="2"/>
      <c r="D392" s="2"/>
      <c r="E392" s="2"/>
      <c r="F392" s="2"/>
      <c r="G392" s="2"/>
      <c r="H392" s="2"/>
      <c r="I392" s="2"/>
      <c r="J392" s="2"/>
      <c r="K392" s="2"/>
    </row>
    <row r="393" spans="2:11" x14ac:dyDescent="0.35">
      <c r="B393" s="45"/>
      <c r="C393" s="2"/>
      <c r="D393" s="2"/>
      <c r="E393" s="2"/>
      <c r="F393" s="2"/>
      <c r="G393" s="2"/>
      <c r="H393" s="2"/>
      <c r="I393" s="2"/>
      <c r="J393" s="2"/>
      <c r="K393" s="2"/>
    </row>
    <row r="394" spans="2:11" x14ac:dyDescent="0.35">
      <c r="B394" s="45"/>
      <c r="C394" s="2"/>
      <c r="D394" s="2"/>
      <c r="E394" s="2"/>
      <c r="F394" s="2"/>
      <c r="G394" s="2"/>
      <c r="H394" s="2"/>
      <c r="I394" s="2"/>
      <c r="J394" s="2"/>
      <c r="K394" s="2"/>
    </row>
    <row r="395" spans="2:11" x14ac:dyDescent="0.35">
      <c r="B395" s="45"/>
      <c r="C395" s="2"/>
      <c r="D395" s="2"/>
      <c r="E395" s="2"/>
      <c r="F395" s="2"/>
      <c r="G395" s="2"/>
      <c r="H395" s="2"/>
      <c r="I395" s="2"/>
      <c r="J395" s="2"/>
      <c r="K395" s="2"/>
    </row>
    <row r="396" spans="2:11" x14ac:dyDescent="0.35">
      <c r="B396" s="45"/>
      <c r="C396" s="2"/>
      <c r="D396" s="2"/>
      <c r="E396" s="2"/>
      <c r="F396" s="2"/>
      <c r="G396" s="2"/>
      <c r="H396" s="2"/>
      <c r="I396" s="2"/>
      <c r="J396" s="2"/>
      <c r="K396" s="2"/>
    </row>
    <row r="397" spans="2:11" x14ac:dyDescent="0.35">
      <c r="B397" s="45"/>
      <c r="C397" s="2"/>
      <c r="D397" s="2"/>
      <c r="E397" s="2"/>
      <c r="F397" s="2"/>
      <c r="G397" s="2"/>
      <c r="H397" s="2"/>
      <c r="I397" s="2"/>
      <c r="J397" s="2"/>
      <c r="K397" s="2"/>
    </row>
    <row r="398" spans="2:11" x14ac:dyDescent="0.35">
      <c r="B398" s="45"/>
      <c r="C398" s="2"/>
      <c r="D398" s="2"/>
      <c r="E398" s="2"/>
      <c r="F398" s="2"/>
      <c r="G398" s="2"/>
      <c r="H398" s="2"/>
      <c r="I398" s="2"/>
      <c r="J398" s="2"/>
      <c r="K398" s="2"/>
    </row>
    <row r="399" spans="2:11" x14ac:dyDescent="0.35">
      <c r="B399" s="45"/>
      <c r="C399" s="2"/>
      <c r="D399" s="2"/>
      <c r="E399" s="2"/>
      <c r="F399" s="2"/>
      <c r="G399" s="2"/>
      <c r="H399" s="2"/>
      <c r="I399" s="2"/>
      <c r="J399" s="2"/>
      <c r="K399" s="2"/>
    </row>
    <row r="400" spans="2:11" x14ac:dyDescent="0.35">
      <c r="B400" s="45"/>
      <c r="C400" s="2"/>
      <c r="D400" s="2"/>
      <c r="E400" s="2"/>
      <c r="F400" s="2"/>
      <c r="G400" s="2"/>
      <c r="H400" s="2"/>
      <c r="I400" s="2"/>
      <c r="J400" s="2"/>
      <c r="K400" s="2"/>
    </row>
    <row r="401" spans="2:11" x14ac:dyDescent="0.35">
      <c r="B401" s="45"/>
      <c r="C401" s="2"/>
      <c r="D401" s="2"/>
      <c r="E401" s="2"/>
      <c r="F401" s="2"/>
      <c r="G401" s="2"/>
      <c r="H401" s="2"/>
      <c r="I401" s="2"/>
      <c r="J401" s="2"/>
      <c r="K401" s="2"/>
    </row>
    <row r="402" spans="2:11" x14ac:dyDescent="0.35">
      <c r="B402" s="45"/>
      <c r="C402" s="2"/>
      <c r="D402" s="2"/>
      <c r="E402" s="2"/>
      <c r="F402" s="2"/>
      <c r="G402" s="2"/>
      <c r="H402" s="2"/>
      <c r="I402" s="2"/>
      <c r="J402" s="2"/>
      <c r="K402" s="2"/>
    </row>
    <row r="403" spans="2:11" x14ac:dyDescent="0.35">
      <c r="B403" s="45"/>
      <c r="C403" s="2"/>
      <c r="D403" s="2"/>
      <c r="E403" s="2"/>
      <c r="F403" s="2"/>
      <c r="G403" s="2"/>
      <c r="H403" s="2"/>
      <c r="I403" s="2"/>
      <c r="J403" s="2"/>
      <c r="K403" s="2"/>
    </row>
    <row r="404" spans="2:11" x14ac:dyDescent="0.35">
      <c r="B404" s="45"/>
      <c r="C404" s="2"/>
      <c r="D404" s="2"/>
      <c r="E404" s="2"/>
      <c r="F404" s="2"/>
      <c r="G404" s="2"/>
      <c r="H404" s="2"/>
      <c r="I404" s="2"/>
      <c r="J404" s="2"/>
      <c r="K404" s="2"/>
    </row>
    <row r="405" spans="2:11" x14ac:dyDescent="0.35">
      <c r="B405" s="45"/>
      <c r="C405" s="2"/>
      <c r="D405" s="2"/>
      <c r="E405" s="2"/>
      <c r="F405" s="2"/>
      <c r="G405" s="2"/>
      <c r="H405" s="2"/>
      <c r="I405" s="2"/>
      <c r="J405" s="2"/>
      <c r="K405" s="2"/>
    </row>
    <row r="406" spans="2:11" x14ac:dyDescent="0.35">
      <c r="B406" s="45"/>
      <c r="C406" s="2"/>
      <c r="D406" s="2"/>
      <c r="E406" s="2"/>
      <c r="F406" s="2"/>
      <c r="G406" s="2"/>
      <c r="H406" s="2"/>
      <c r="I406" s="2"/>
      <c r="J406" s="2"/>
      <c r="K406" s="2"/>
    </row>
    <row r="407" spans="2:11" x14ac:dyDescent="0.35">
      <c r="B407" s="45"/>
      <c r="C407" s="2"/>
      <c r="D407" s="2"/>
      <c r="E407" s="2"/>
      <c r="F407" s="2"/>
      <c r="G407" s="2"/>
      <c r="H407" s="2"/>
      <c r="I407" s="2"/>
      <c r="J407" s="2"/>
      <c r="K407" s="2"/>
    </row>
    <row r="408" spans="2:11" x14ac:dyDescent="0.35">
      <c r="B408" s="45"/>
      <c r="C408" s="2"/>
      <c r="D408" s="2"/>
      <c r="E408" s="2"/>
      <c r="F408" s="2"/>
      <c r="G408" s="2"/>
      <c r="H408" s="2"/>
      <c r="I408" s="2"/>
      <c r="J408" s="2"/>
      <c r="K408" s="2"/>
    </row>
    <row r="409" spans="2:11" x14ac:dyDescent="0.35">
      <c r="B409" s="45"/>
      <c r="C409" s="2"/>
      <c r="D409" s="2"/>
      <c r="E409" s="2"/>
      <c r="F409" s="2"/>
      <c r="G409" s="2"/>
      <c r="H409" s="2"/>
      <c r="I409" s="2"/>
      <c r="J409" s="2"/>
      <c r="K409" s="2"/>
    </row>
    <row r="410" spans="2:11" x14ac:dyDescent="0.35">
      <c r="B410" s="45"/>
      <c r="C410" s="2"/>
      <c r="D410" s="2"/>
      <c r="E410" s="2"/>
      <c r="F410" s="2"/>
      <c r="G410" s="2"/>
      <c r="H410" s="2"/>
      <c r="I410" s="2"/>
      <c r="J410" s="2"/>
      <c r="K410" s="2"/>
    </row>
    <row r="411" spans="2:11" x14ac:dyDescent="0.35">
      <c r="B411" s="45"/>
      <c r="C411" s="2"/>
      <c r="D411" s="2"/>
      <c r="E411" s="2"/>
      <c r="F411" s="2"/>
      <c r="G411" s="2"/>
      <c r="H411" s="2"/>
      <c r="I411" s="2"/>
      <c r="J411" s="2"/>
      <c r="K411" s="2"/>
    </row>
    <row r="412" spans="2:11" x14ac:dyDescent="0.35">
      <c r="B412" s="45"/>
      <c r="C412" s="2"/>
      <c r="D412" s="2"/>
      <c r="E412" s="2"/>
      <c r="F412" s="2"/>
      <c r="G412" s="2"/>
      <c r="H412" s="2"/>
      <c r="I412" s="2"/>
      <c r="J412" s="2"/>
      <c r="K412" s="2"/>
    </row>
    <row r="413" spans="2:11" x14ac:dyDescent="0.35">
      <c r="B413" s="45"/>
      <c r="C413" s="2"/>
      <c r="D413" s="2"/>
      <c r="E413" s="2"/>
      <c r="F413" s="2"/>
      <c r="G413" s="2"/>
      <c r="H413" s="2"/>
      <c r="I413" s="2"/>
      <c r="J413" s="2"/>
      <c r="K413" s="2"/>
    </row>
    <row r="414" spans="2:11" x14ac:dyDescent="0.35">
      <c r="B414" s="45"/>
      <c r="C414" s="2"/>
      <c r="D414" s="2"/>
      <c r="E414" s="2"/>
      <c r="F414" s="2"/>
      <c r="G414" s="2"/>
      <c r="H414" s="2"/>
      <c r="I414" s="2"/>
      <c r="J414" s="2"/>
      <c r="K414" s="2"/>
    </row>
    <row r="415" spans="2:11" x14ac:dyDescent="0.35">
      <c r="B415" s="45"/>
      <c r="C415" s="2"/>
      <c r="D415" s="2"/>
      <c r="E415" s="2"/>
      <c r="F415" s="2"/>
      <c r="G415" s="2"/>
      <c r="H415" s="2"/>
      <c r="I415" s="2"/>
      <c r="J415" s="2"/>
      <c r="K415" s="2"/>
    </row>
    <row r="416" spans="2:11" x14ac:dyDescent="0.35">
      <c r="B416" s="45"/>
      <c r="C416" s="2"/>
      <c r="D416" s="2"/>
      <c r="E416" s="2"/>
      <c r="F416" s="2"/>
      <c r="G416" s="2"/>
      <c r="H416" s="2"/>
      <c r="I416" s="2"/>
      <c r="J416" s="2"/>
      <c r="K416" s="2"/>
    </row>
    <row r="417" spans="2:11" x14ac:dyDescent="0.35">
      <c r="B417" s="45"/>
      <c r="C417" s="2"/>
      <c r="D417" s="2"/>
      <c r="E417" s="2"/>
      <c r="F417" s="2"/>
      <c r="G417" s="2"/>
      <c r="H417" s="2"/>
      <c r="I417" s="2"/>
      <c r="J417" s="2"/>
      <c r="K417" s="2"/>
    </row>
    <row r="418" spans="2:11" x14ac:dyDescent="0.35">
      <c r="B418" s="45"/>
      <c r="C418" s="2"/>
      <c r="D418" s="2"/>
      <c r="E418" s="2"/>
      <c r="F418" s="2"/>
      <c r="G418" s="2"/>
      <c r="H418" s="2"/>
      <c r="I418" s="2"/>
      <c r="J418" s="2"/>
      <c r="K418" s="2"/>
    </row>
    <row r="419" spans="2:11" x14ac:dyDescent="0.35">
      <c r="B419" s="45"/>
      <c r="C419" s="2"/>
      <c r="D419" s="2"/>
      <c r="E419" s="2"/>
      <c r="F419" s="2"/>
      <c r="G419" s="2"/>
      <c r="H419" s="2"/>
      <c r="I419" s="2"/>
      <c r="J419" s="2"/>
      <c r="K419" s="2"/>
    </row>
    <row r="420" spans="2:11" x14ac:dyDescent="0.35">
      <c r="B420" s="45"/>
      <c r="C420" s="2"/>
      <c r="D420" s="2"/>
      <c r="E420" s="2"/>
      <c r="F420" s="2"/>
      <c r="G420" s="2"/>
      <c r="H420" s="2"/>
      <c r="I420" s="2"/>
      <c r="J420" s="2"/>
      <c r="K420" s="2"/>
    </row>
    <row r="421" spans="2:11" x14ac:dyDescent="0.35">
      <c r="B421" s="45"/>
      <c r="C421" s="2"/>
      <c r="D421" s="2"/>
      <c r="E421" s="2"/>
      <c r="F421" s="2"/>
      <c r="G421" s="2"/>
      <c r="H421" s="2"/>
      <c r="I421" s="2"/>
      <c r="J421" s="2"/>
      <c r="K421" s="2"/>
    </row>
    <row r="422" spans="2:11" x14ac:dyDescent="0.35">
      <c r="B422" s="45"/>
      <c r="C422" s="2"/>
      <c r="D422" s="2"/>
      <c r="E422" s="2"/>
      <c r="F422" s="2"/>
      <c r="G422" s="2"/>
      <c r="H422" s="2"/>
      <c r="I422" s="2"/>
      <c r="J422" s="2"/>
      <c r="K422" s="2"/>
    </row>
    <row r="423" spans="2:11" x14ac:dyDescent="0.35">
      <c r="B423" s="45"/>
      <c r="C423" s="2"/>
      <c r="D423" s="2"/>
      <c r="E423" s="2"/>
      <c r="F423" s="2"/>
      <c r="G423" s="2"/>
      <c r="H423" s="2"/>
      <c r="I423" s="2"/>
      <c r="J423" s="2"/>
      <c r="K423" s="2"/>
    </row>
    <row r="424" spans="2:11" x14ac:dyDescent="0.35">
      <c r="B424" s="45"/>
      <c r="C424" s="2"/>
      <c r="D424" s="2"/>
      <c r="E424" s="2"/>
      <c r="F424" s="2"/>
      <c r="G424" s="2"/>
      <c r="H424" s="2"/>
      <c r="I424" s="2"/>
      <c r="J424" s="2"/>
      <c r="K424" s="2"/>
    </row>
    <row r="425" spans="2:11" x14ac:dyDescent="0.35">
      <c r="B425" s="45"/>
      <c r="C425" s="2"/>
      <c r="D425" s="2"/>
      <c r="E425" s="2"/>
      <c r="F425" s="2"/>
      <c r="G425" s="2"/>
      <c r="H425" s="2"/>
      <c r="I425" s="2"/>
      <c r="J425" s="2"/>
      <c r="K425" s="2"/>
    </row>
    <row r="426" spans="2:11" x14ac:dyDescent="0.35">
      <c r="B426" s="45"/>
      <c r="C426" s="2"/>
      <c r="D426" s="2"/>
      <c r="E426" s="2"/>
      <c r="F426" s="2"/>
      <c r="G426" s="2"/>
      <c r="H426" s="2"/>
      <c r="I426" s="2"/>
      <c r="J426" s="2"/>
      <c r="K426" s="2"/>
    </row>
    <row r="427" spans="2:11" x14ac:dyDescent="0.35">
      <c r="B427" s="45"/>
      <c r="C427" s="2"/>
      <c r="D427" s="2"/>
      <c r="E427" s="2"/>
      <c r="F427" s="2"/>
      <c r="G427" s="2"/>
      <c r="H427" s="2"/>
      <c r="I427" s="2"/>
      <c r="J427" s="2"/>
      <c r="K427" s="2"/>
    </row>
    <row r="428" spans="2:11" x14ac:dyDescent="0.35">
      <c r="B428" s="45"/>
      <c r="C428" s="2"/>
      <c r="D428" s="2"/>
      <c r="E428" s="2"/>
      <c r="F428" s="2"/>
      <c r="G428" s="2"/>
      <c r="H428" s="2"/>
      <c r="I428" s="2"/>
      <c r="J428" s="2"/>
      <c r="K428" s="2"/>
    </row>
    <row r="429" spans="2:11" x14ac:dyDescent="0.35">
      <c r="B429" s="45"/>
      <c r="C429" s="2"/>
      <c r="D429" s="2"/>
      <c r="E429" s="2"/>
      <c r="F429" s="2"/>
      <c r="G429" s="2"/>
      <c r="H429" s="2"/>
      <c r="I429" s="2"/>
      <c r="J429" s="2"/>
      <c r="K429" s="2"/>
    </row>
    <row r="430" spans="2:11" x14ac:dyDescent="0.35">
      <c r="B430" s="45"/>
      <c r="C430" s="2"/>
      <c r="D430" s="2"/>
      <c r="E430" s="2"/>
      <c r="F430" s="2"/>
      <c r="G430" s="2"/>
      <c r="H430" s="2"/>
      <c r="I430" s="2"/>
      <c r="J430" s="2"/>
      <c r="K430" s="2"/>
    </row>
    <row r="431" spans="2:11" x14ac:dyDescent="0.35">
      <c r="B431" s="45"/>
      <c r="C431" s="2"/>
      <c r="D431" s="2"/>
      <c r="E431" s="2"/>
      <c r="F431" s="2"/>
      <c r="G431" s="2"/>
      <c r="H431" s="2"/>
      <c r="I431" s="2"/>
      <c r="J431" s="2"/>
      <c r="K431" s="2"/>
    </row>
    <row r="432" spans="2:11" x14ac:dyDescent="0.35">
      <c r="B432" s="45"/>
      <c r="C432" s="2"/>
      <c r="D432" s="2"/>
      <c r="E432" s="2"/>
      <c r="F432" s="2"/>
      <c r="G432" s="2"/>
      <c r="H432" s="2"/>
      <c r="I432" s="2"/>
      <c r="J432" s="2"/>
      <c r="K432" s="2"/>
    </row>
    <row r="433" spans="2:11" x14ac:dyDescent="0.35">
      <c r="B433" s="45"/>
      <c r="C433" s="2"/>
      <c r="D433" s="2"/>
      <c r="E433" s="2"/>
      <c r="F433" s="2"/>
      <c r="G433" s="2"/>
      <c r="H433" s="2"/>
      <c r="I433" s="2"/>
      <c r="J433" s="2"/>
      <c r="K433" s="2"/>
    </row>
    <row r="434" spans="2:11" x14ac:dyDescent="0.35">
      <c r="B434" s="45"/>
      <c r="C434" s="2"/>
      <c r="D434" s="2"/>
      <c r="E434" s="2"/>
      <c r="F434" s="2"/>
      <c r="G434" s="2"/>
      <c r="H434" s="2"/>
      <c r="I434" s="2"/>
      <c r="J434" s="2"/>
      <c r="K434" s="2"/>
    </row>
    <row r="435" spans="2:11" x14ac:dyDescent="0.35">
      <c r="B435" s="45"/>
      <c r="C435" s="2"/>
      <c r="D435" s="2"/>
      <c r="E435" s="2"/>
      <c r="F435" s="2"/>
      <c r="G435" s="2"/>
      <c r="H435" s="2"/>
      <c r="I435" s="2"/>
      <c r="J435" s="2"/>
      <c r="K435" s="2"/>
    </row>
    <row r="436" spans="2:11" x14ac:dyDescent="0.35">
      <c r="B436" s="45"/>
      <c r="C436" s="2"/>
      <c r="D436" s="2"/>
      <c r="E436" s="2"/>
      <c r="F436" s="2"/>
      <c r="G436" s="2"/>
      <c r="H436" s="2"/>
      <c r="I436" s="2"/>
      <c r="J436" s="2"/>
      <c r="K436" s="2"/>
    </row>
    <row r="437" spans="2:11" x14ac:dyDescent="0.35">
      <c r="B437" s="45"/>
      <c r="C437" s="2"/>
      <c r="D437" s="2"/>
      <c r="E437" s="2"/>
      <c r="F437" s="2"/>
      <c r="G437" s="2"/>
      <c r="H437" s="2"/>
      <c r="I437" s="2"/>
      <c r="J437" s="2"/>
      <c r="K437" s="2"/>
    </row>
    <row r="438" spans="2:11" x14ac:dyDescent="0.35">
      <c r="B438" s="45"/>
      <c r="C438" s="2"/>
      <c r="D438" s="2"/>
      <c r="E438" s="2"/>
      <c r="F438" s="2"/>
      <c r="G438" s="2"/>
      <c r="H438" s="2"/>
      <c r="I438" s="2"/>
      <c r="J438" s="2"/>
      <c r="K438" s="2"/>
    </row>
    <row r="439" spans="2:11" x14ac:dyDescent="0.35">
      <c r="B439" s="45"/>
      <c r="C439" s="2"/>
      <c r="D439" s="2"/>
      <c r="E439" s="2"/>
      <c r="F439" s="2"/>
      <c r="G439" s="2"/>
      <c r="H439" s="2"/>
      <c r="I439" s="2"/>
      <c r="J439" s="2"/>
      <c r="K439" s="2"/>
    </row>
    <row r="440" spans="2:11" x14ac:dyDescent="0.35">
      <c r="B440" s="45"/>
      <c r="C440" s="2"/>
      <c r="D440" s="2"/>
      <c r="E440" s="2"/>
      <c r="F440" s="2"/>
      <c r="G440" s="2"/>
      <c r="H440" s="2"/>
      <c r="I440" s="2"/>
      <c r="J440" s="2"/>
      <c r="K440" s="2"/>
    </row>
    <row r="441" spans="2:11" x14ac:dyDescent="0.35">
      <c r="B441" s="45"/>
      <c r="C441" s="2"/>
      <c r="D441" s="2"/>
      <c r="E441" s="2"/>
      <c r="F441" s="2"/>
      <c r="G441" s="2"/>
      <c r="H441" s="2"/>
      <c r="I441" s="2"/>
      <c r="J441" s="2"/>
      <c r="K441" s="2"/>
    </row>
    <row r="442" spans="2:11" x14ac:dyDescent="0.35">
      <c r="B442" s="45"/>
      <c r="C442" s="2"/>
      <c r="D442" s="2"/>
      <c r="E442" s="2"/>
      <c r="F442" s="2"/>
      <c r="G442" s="2"/>
      <c r="H442" s="2"/>
      <c r="I442" s="2"/>
      <c r="J442" s="2"/>
      <c r="K442" s="2"/>
    </row>
    <row r="443" spans="2:11" x14ac:dyDescent="0.35">
      <c r="B443" s="45"/>
      <c r="C443" s="2"/>
      <c r="D443" s="2"/>
      <c r="E443" s="2"/>
      <c r="F443" s="2"/>
      <c r="G443" s="2"/>
      <c r="H443" s="2"/>
      <c r="I443" s="2"/>
      <c r="J443" s="2"/>
      <c r="K443" s="2"/>
    </row>
    <row r="444" spans="2:11" x14ac:dyDescent="0.35">
      <c r="B444" s="45"/>
      <c r="C444" s="2"/>
      <c r="D444" s="2"/>
      <c r="E444" s="2"/>
      <c r="F444" s="2"/>
      <c r="G444" s="2"/>
      <c r="H444" s="2"/>
      <c r="I444" s="2"/>
      <c r="J444" s="2"/>
      <c r="K444" s="2"/>
    </row>
    <row r="445" spans="2:11" x14ac:dyDescent="0.35">
      <c r="B445" s="45"/>
      <c r="C445" s="2"/>
      <c r="D445" s="2"/>
      <c r="E445" s="2"/>
      <c r="F445" s="2"/>
      <c r="G445" s="2"/>
      <c r="H445" s="2"/>
      <c r="I445" s="2"/>
      <c r="J445" s="2"/>
      <c r="K445" s="2"/>
    </row>
    <row r="446" spans="2:11" x14ac:dyDescent="0.35">
      <c r="B446" s="45"/>
      <c r="C446" s="2"/>
      <c r="D446" s="2"/>
      <c r="E446" s="2"/>
      <c r="F446" s="2"/>
      <c r="G446" s="2"/>
      <c r="H446" s="2"/>
      <c r="I446" s="2"/>
      <c r="J446" s="2"/>
      <c r="K446" s="2"/>
    </row>
    <row r="447" spans="2:11" x14ac:dyDescent="0.35">
      <c r="B447" s="45"/>
      <c r="C447" s="2"/>
      <c r="D447" s="2"/>
      <c r="E447" s="2"/>
      <c r="F447" s="2"/>
      <c r="G447" s="2"/>
      <c r="H447" s="2"/>
      <c r="I447" s="2"/>
      <c r="J447" s="2"/>
      <c r="K447" s="2"/>
    </row>
    <row r="448" spans="2:11" x14ac:dyDescent="0.35">
      <c r="B448" s="45"/>
      <c r="C448" s="2"/>
      <c r="D448" s="2"/>
      <c r="E448" s="2"/>
      <c r="F448" s="2"/>
      <c r="G448" s="2"/>
      <c r="H448" s="2"/>
      <c r="I448" s="2"/>
      <c r="J448" s="2"/>
      <c r="K448" s="2"/>
    </row>
    <row r="449" spans="2:11" x14ac:dyDescent="0.35">
      <c r="B449" s="45"/>
      <c r="C449" s="2"/>
      <c r="D449" s="2"/>
      <c r="E449" s="2"/>
      <c r="F449" s="2"/>
      <c r="G449" s="2"/>
      <c r="H449" s="2"/>
      <c r="I449" s="2"/>
      <c r="J449" s="2"/>
      <c r="K449" s="2"/>
    </row>
    <row r="450" spans="2:11" x14ac:dyDescent="0.35">
      <c r="B450" s="45"/>
      <c r="C450" s="2"/>
      <c r="D450" s="2"/>
      <c r="E450" s="2"/>
      <c r="F450" s="2"/>
      <c r="G450" s="2"/>
      <c r="H450" s="2"/>
      <c r="I450" s="2"/>
      <c r="J450" s="2"/>
      <c r="K450" s="2"/>
    </row>
    <row r="451" spans="2:11" x14ac:dyDescent="0.35">
      <c r="B451" s="45"/>
      <c r="C451" s="2"/>
      <c r="D451" s="2"/>
      <c r="E451" s="2"/>
      <c r="F451" s="2"/>
      <c r="G451" s="2"/>
      <c r="H451" s="2"/>
      <c r="I451" s="2"/>
      <c r="J451" s="2"/>
      <c r="K451" s="2"/>
    </row>
    <row r="452" spans="2:11" x14ac:dyDescent="0.35">
      <c r="B452" s="45"/>
      <c r="C452" s="2"/>
      <c r="D452" s="2"/>
      <c r="E452" s="2"/>
      <c r="F452" s="2"/>
      <c r="G452" s="2"/>
      <c r="H452" s="2"/>
      <c r="I452" s="2"/>
      <c r="J452" s="2"/>
      <c r="K452" s="2"/>
    </row>
    <row r="453" spans="2:11" x14ac:dyDescent="0.35">
      <c r="B453" s="45"/>
      <c r="C453" s="2"/>
      <c r="D453" s="2"/>
      <c r="E453" s="2"/>
      <c r="F453" s="2"/>
      <c r="G453" s="2"/>
      <c r="H453" s="2"/>
      <c r="I453" s="2"/>
      <c r="J453" s="2"/>
      <c r="K453" s="2"/>
    </row>
    <row r="454" spans="2:11" x14ac:dyDescent="0.35">
      <c r="B454" s="45"/>
      <c r="C454" s="2"/>
      <c r="D454" s="2"/>
      <c r="E454" s="2"/>
      <c r="F454" s="2"/>
      <c r="G454" s="2"/>
      <c r="H454" s="2"/>
      <c r="I454" s="2"/>
      <c r="J454" s="2"/>
      <c r="K454" s="2"/>
    </row>
    <row r="455" spans="2:11" x14ac:dyDescent="0.35">
      <c r="B455" s="45"/>
      <c r="C455" s="2"/>
      <c r="D455" s="2"/>
      <c r="E455" s="2"/>
      <c r="F455" s="2"/>
      <c r="G455" s="2"/>
      <c r="H455" s="2"/>
      <c r="I455" s="2"/>
      <c r="J455" s="2"/>
      <c r="K455" s="2"/>
    </row>
    <row r="456" spans="2:11" x14ac:dyDescent="0.35">
      <c r="B456" s="45"/>
      <c r="C456" s="2"/>
      <c r="D456" s="2"/>
      <c r="E456" s="2"/>
      <c r="F456" s="2"/>
      <c r="G456" s="2"/>
      <c r="H456" s="2"/>
      <c r="I456" s="2"/>
      <c r="J456" s="2"/>
      <c r="K456" s="2"/>
    </row>
    <row r="457" spans="2:11" x14ac:dyDescent="0.35">
      <c r="B457" s="45"/>
      <c r="C457" s="2"/>
      <c r="D457" s="2"/>
      <c r="E457" s="2"/>
      <c r="F457" s="2"/>
      <c r="G457" s="2"/>
      <c r="H457" s="2"/>
      <c r="I457" s="2"/>
      <c r="J457" s="2"/>
      <c r="K457" s="2"/>
    </row>
    <row r="458" spans="2:11" x14ac:dyDescent="0.35">
      <c r="B458" s="45"/>
      <c r="C458" s="2"/>
      <c r="D458" s="2"/>
      <c r="E458" s="2"/>
      <c r="F458" s="2"/>
      <c r="G458" s="2"/>
      <c r="H458" s="2"/>
      <c r="I458" s="2"/>
      <c r="J458" s="2"/>
      <c r="K458" s="2"/>
    </row>
    <row r="459" spans="2:11" x14ac:dyDescent="0.35">
      <c r="B459" s="45"/>
      <c r="C459" s="2"/>
      <c r="D459" s="2"/>
      <c r="E459" s="2"/>
      <c r="F459" s="2"/>
      <c r="G459" s="2"/>
      <c r="H459" s="2"/>
      <c r="I459" s="2"/>
      <c r="J459" s="2"/>
      <c r="K459" s="2"/>
    </row>
    <row r="460" spans="2:11" x14ac:dyDescent="0.35">
      <c r="B460" s="45"/>
      <c r="C460" s="2"/>
      <c r="D460" s="2"/>
      <c r="E460" s="2"/>
      <c r="F460" s="2"/>
      <c r="G460" s="2"/>
      <c r="H460" s="2"/>
      <c r="I460" s="2"/>
      <c r="J460" s="2"/>
      <c r="K460" s="2"/>
    </row>
    <row r="461" spans="2:11" x14ac:dyDescent="0.35">
      <c r="B461" s="45"/>
      <c r="C461" s="2"/>
      <c r="D461" s="2"/>
      <c r="E461" s="2"/>
      <c r="F461" s="2"/>
      <c r="G461" s="2"/>
      <c r="H461" s="2"/>
      <c r="I461" s="2"/>
      <c r="J461" s="2"/>
      <c r="K461" s="2"/>
    </row>
    <row r="462" spans="2:11" x14ac:dyDescent="0.35">
      <c r="B462" s="45"/>
      <c r="C462" s="2"/>
      <c r="D462" s="2"/>
      <c r="E462" s="2"/>
      <c r="F462" s="2"/>
      <c r="G462" s="2"/>
      <c r="H462" s="2"/>
      <c r="I462" s="2"/>
      <c r="J462" s="2"/>
      <c r="K462" s="2"/>
    </row>
    <row r="463" spans="2:11" x14ac:dyDescent="0.35">
      <c r="B463" s="45"/>
      <c r="C463" s="2"/>
      <c r="D463" s="2"/>
      <c r="E463" s="2"/>
      <c r="F463" s="2"/>
      <c r="G463" s="2"/>
      <c r="H463" s="2"/>
      <c r="I463" s="2"/>
      <c r="J463" s="2"/>
      <c r="K463" s="2"/>
    </row>
    <row r="464" spans="2:11" x14ac:dyDescent="0.35">
      <c r="B464" s="45"/>
      <c r="C464" s="2"/>
      <c r="D464" s="2"/>
      <c r="E464" s="2"/>
      <c r="F464" s="2"/>
      <c r="G464" s="2"/>
      <c r="H464" s="2"/>
      <c r="I464" s="2"/>
      <c r="J464" s="2"/>
      <c r="K464" s="2"/>
    </row>
    <row r="465" spans="2:11" x14ac:dyDescent="0.35">
      <c r="B465" s="45"/>
      <c r="C465" s="2"/>
      <c r="D465" s="2"/>
      <c r="E465" s="2"/>
      <c r="F465" s="2"/>
      <c r="G465" s="2"/>
      <c r="H465" s="2"/>
      <c r="I465" s="2"/>
      <c r="J465" s="2"/>
      <c r="K465" s="2"/>
    </row>
    <row r="466" spans="2:11" x14ac:dyDescent="0.35">
      <c r="B466" s="45"/>
      <c r="C466" s="2"/>
      <c r="D466" s="2"/>
      <c r="E466" s="2"/>
      <c r="F466" s="2"/>
      <c r="G466" s="2"/>
      <c r="H466" s="2"/>
      <c r="I466" s="2"/>
      <c r="J466" s="2"/>
      <c r="K466" s="2"/>
    </row>
    <row r="467" spans="2:11" x14ac:dyDescent="0.35">
      <c r="B467" s="45"/>
      <c r="C467" s="2"/>
      <c r="D467" s="2"/>
      <c r="E467" s="2"/>
      <c r="F467" s="2"/>
      <c r="G467" s="2"/>
      <c r="H467" s="2"/>
      <c r="I467" s="2"/>
      <c r="J467" s="2"/>
      <c r="K467" s="2"/>
    </row>
    <row r="468" spans="2:11" x14ac:dyDescent="0.35">
      <c r="B468" s="45"/>
      <c r="C468" s="2"/>
      <c r="D468" s="2"/>
      <c r="E468" s="2"/>
      <c r="F468" s="2"/>
      <c r="G468" s="2"/>
      <c r="H468" s="2"/>
      <c r="I468" s="2"/>
      <c r="J468" s="2"/>
      <c r="K468" s="2"/>
    </row>
    <row r="469" spans="2:11" x14ac:dyDescent="0.35">
      <c r="B469" s="45"/>
      <c r="C469" s="2"/>
      <c r="D469" s="2"/>
      <c r="E469" s="2"/>
      <c r="F469" s="2"/>
      <c r="G469" s="2"/>
      <c r="H469" s="2"/>
      <c r="I469" s="2"/>
      <c r="J469" s="2"/>
      <c r="K469" s="2"/>
    </row>
    <row r="470" spans="2:11" x14ac:dyDescent="0.35">
      <c r="B470" s="45"/>
      <c r="C470" s="2"/>
      <c r="D470" s="2"/>
      <c r="E470" s="2"/>
      <c r="F470" s="2"/>
      <c r="G470" s="2"/>
      <c r="H470" s="2"/>
      <c r="I470" s="2"/>
      <c r="J470" s="2"/>
      <c r="K470" s="2"/>
    </row>
    <row r="471" spans="2:11" x14ac:dyDescent="0.35">
      <c r="B471" s="45"/>
      <c r="C471" s="2"/>
      <c r="D471" s="2"/>
      <c r="E471" s="2"/>
      <c r="F471" s="2"/>
      <c r="G471" s="2"/>
      <c r="H471" s="2"/>
      <c r="I471" s="2"/>
      <c r="J471" s="2"/>
      <c r="K471" s="2"/>
    </row>
    <row r="472" spans="2:11" x14ac:dyDescent="0.35">
      <c r="B472" s="45"/>
      <c r="C472" s="2"/>
      <c r="D472" s="2"/>
      <c r="E472" s="2"/>
      <c r="F472" s="2"/>
      <c r="G472" s="2"/>
      <c r="H472" s="2"/>
      <c r="I472" s="2"/>
      <c r="J472" s="2"/>
      <c r="K472" s="2"/>
    </row>
    <row r="473" spans="2:11" x14ac:dyDescent="0.35">
      <c r="B473" s="45"/>
      <c r="C473" s="2"/>
      <c r="D473" s="2"/>
      <c r="E473" s="2"/>
      <c r="F473" s="2"/>
      <c r="G473" s="2"/>
      <c r="H473" s="2"/>
      <c r="I473" s="2"/>
      <c r="J473" s="2"/>
      <c r="K473" s="2"/>
    </row>
    <row r="474" spans="2:11" x14ac:dyDescent="0.35">
      <c r="B474" s="45"/>
      <c r="C474" s="2"/>
      <c r="D474" s="2"/>
      <c r="E474" s="2"/>
      <c r="F474" s="2"/>
      <c r="G474" s="2"/>
      <c r="H474" s="2"/>
      <c r="I474" s="2"/>
      <c r="J474" s="2"/>
      <c r="K474" s="2"/>
    </row>
    <row r="475" spans="2:11" x14ac:dyDescent="0.35">
      <c r="B475" s="45"/>
      <c r="C475" s="2"/>
      <c r="D475" s="2"/>
      <c r="E475" s="2"/>
      <c r="F475" s="2"/>
      <c r="G475" s="2"/>
      <c r="H475" s="2"/>
      <c r="I475" s="2"/>
      <c r="J475" s="2"/>
      <c r="K475" s="2"/>
    </row>
    <row r="476" spans="2:11" x14ac:dyDescent="0.35">
      <c r="B476" s="45"/>
      <c r="C476" s="2"/>
      <c r="D476" s="2"/>
      <c r="E476" s="2"/>
      <c r="F476" s="2"/>
      <c r="G476" s="2"/>
      <c r="H476" s="2"/>
      <c r="I476" s="2"/>
      <c r="J476" s="2"/>
      <c r="K476" s="2"/>
    </row>
    <row r="477" spans="2:11" x14ac:dyDescent="0.35">
      <c r="B477" s="45"/>
      <c r="C477" s="2"/>
      <c r="D477" s="2"/>
      <c r="E477" s="2"/>
      <c r="F477" s="2"/>
      <c r="G477" s="2"/>
      <c r="H477" s="2"/>
      <c r="I477" s="2"/>
      <c r="J477" s="2"/>
      <c r="K477" s="2"/>
    </row>
    <row r="478" spans="2:11" x14ac:dyDescent="0.35">
      <c r="B478" s="45"/>
      <c r="C478" s="2"/>
      <c r="D478" s="2"/>
      <c r="E478" s="2"/>
      <c r="F478" s="2"/>
      <c r="G478" s="2"/>
      <c r="H478" s="2"/>
      <c r="I478" s="2"/>
      <c r="J478" s="2"/>
      <c r="K478" s="2"/>
    </row>
    <row r="479" spans="2:11" x14ac:dyDescent="0.35">
      <c r="B479" s="45"/>
      <c r="C479" s="2"/>
      <c r="D479" s="2"/>
      <c r="E479" s="2"/>
      <c r="F479" s="2"/>
      <c r="G479" s="2"/>
      <c r="H479" s="2"/>
      <c r="I479" s="2"/>
      <c r="J479" s="2"/>
      <c r="K479" s="2"/>
    </row>
    <row r="480" spans="2:11" x14ac:dyDescent="0.35">
      <c r="B480" s="45"/>
      <c r="C480" s="2"/>
      <c r="D480" s="2"/>
      <c r="E480" s="2"/>
      <c r="F480" s="2"/>
      <c r="G480" s="2"/>
      <c r="H480" s="2"/>
      <c r="I480" s="2"/>
      <c r="J480" s="2"/>
      <c r="K480" s="2"/>
    </row>
    <row r="481" spans="2:11" x14ac:dyDescent="0.35">
      <c r="B481" s="45"/>
      <c r="C481" s="2"/>
      <c r="D481" s="2"/>
      <c r="E481" s="2"/>
      <c r="F481" s="2"/>
      <c r="G481" s="2"/>
      <c r="H481" s="2"/>
      <c r="I481" s="2"/>
      <c r="J481" s="2"/>
      <c r="K481" s="2"/>
    </row>
    <row r="482" spans="2:11" x14ac:dyDescent="0.35">
      <c r="B482" s="45"/>
      <c r="C482" s="2"/>
      <c r="D482" s="2"/>
      <c r="E482" s="2"/>
      <c r="F482" s="2"/>
      <c r="G482" s="2"/>
      <c r="H482" s="2"/>
      <c r="I482" s="2"/>
      <c r="J482" s="2"/>
      <c r="K482" s="2"/>
    </row>
    <row r="483" spans="2:11" x14ac:dyDescent="0.35">
      <c r="B483" s="45"/>
      <c r="C483" s="2"/>
      <c r="D483" s="2"/>
      <c r="E483" s="2"/>
      <c r="F483" s="2"/>
      <c r="G483" s="2"/>
      <c r="H483" s="2"/>
      <c r="I483" s="2"/>
      <c r="J483" s="2"/>
      <c r="K483" s="2"/>
    </row>
    <row r="484" spans="2:11" x14ac:dyDescent="0.35">
      <c r="B484" s="45"/>
      <c r="C484" s="2"/>
      <c r="D484" s="2"/>
      <c r="E484" s="2"/>
      <c r="F484" s="2"/>
      <c r="G484" s="2"/>
      <c r="H484" s="2"/>
      <c r="I484" s="2"/>
      <c r="J484" s="2"/>
      <c r="K484" s="2"/>
    </row>
    <row r="485" spans="2:11" x14ac:dyDescent="0.35">
      <c r="B485" s="45"/>
      <c r="C485" s="2"/>
      <c r="D485" s="2"/>
      <c r="E485" s="2"/>
      <c r="F485" s="2"/>
      <c r="G485" s="2"/>
      <c r="H485" s="2"/>
      <c r="I485" s="2"/>
      <c r="J485" s="2"/>
      <c r="K485" s="2"/>
    </row>
    <row r="486" spans="2:11" x14ac:dyDescent="0.35">
      <c r="B486" s="45"/>
      <c r="C486" s="2"/>
      <c r="D486" s="2"/>
      <c r="E486" s="2"/>
      <c r="F486" s="2"/>
      <c r="G486" s="2"/>
      <c r="H486" s="2"/>
      <c r="I486" s="2"/>
      <c r="J486" s="2"/>
      <c r="K486" s="2"/>
    </row>
    <row r="487" spans="2:11" x14ac:dyDescent="0.35">
      <c r="B487" s="45"/>
      <c r="C487" s="2"/>
      <c r="D487" s="2"/>
      <c r="E487" s="2"/>
      <c r="F487" s="2"/>
      <c r="G487" s="2"/>
      <c r="H487" s="2"/>
      <c r="I487" s="2"/>
      <c r="J487" s="2"/>
      <c r="K487" s="2"/>
    </row>
    <row r="488" spans="2:11" x14ac:dyDescent="0.35">
      <c r="B488" s="45"/>
      <c r="C488" s="2"/>
      <c r="D488" s="2"/>
      <c r="E488" s="2"/>
      <c r="F488" s="2"/>
      <c r="G488" s="2"/>
      <c r="H488" s="2"/>
      <c r="I488" s="2"/>
      <c r="J488" s="2"/>
      <c r="K488" s="2"/>
    </row>
    <row r="489" spans="2:11" x14ac:dyDescent="0.35">
      <c r="B489" s="45"/>
      <c r="C489" s="2"/>
      <c r="D489" s="2"/>
      <c r="E489" s="2"/>
      <c r="F489" s="2"/>
      <c r="G489" s="2"/>
      <c r="H489" s="2"/>
      <c r="I489" s="2"/>
      <c r="J489" s="2"/>
      <c r="K489" s="2"/>
    </row>
    <row r="490" spans="2:11" x14ac:dyDescent="0.35">
      <c r="B490" s="45"/>
      <c r="C490" s="2"/>
      <c r="D490" s="2"/>
      <c r="E490" s="2"/>
      <c r="F490" s="2"/>
      <c r="G490" s="2"/>
      <c r="H490" s="2"/>
      <c r="I490" s="2"/>
      <c r="J490" s="2"/>
      <c r="K490" s="2"/>
    </row>
    <row r="491" spans="2:11" x14ac:dyDescent="0.35">
      <c r="B491" s="45"/>
      <c r="C491" s="2"/>
      <c r="D491" s="2"/>
      <c r="E491" s="2"/>
      <c r="F491" s="2"/>
      <c r="G491" s="2"/>
      <c r="H491" s="2"/>
      <c r="I491" s="2"/>
      <c r="J491" s="2"/>
      <c r="K491" s="2"/>
    </row>
    <row r="492" spans="2:11" x14ac:dyDescent="0.35">
      <c r="B492" s="45"/>
      <c r="C492" s="2"/>
      <c r="D492" s="2"/>
      <c r="E492" s="2"/>
      <c r="F492" s="2"/>
      <c r="G492" s="2"/>
      <c r="H492" s="2"/>
      <c r="I492" s="2"/>
      <c r="J492" s="2"/>
      <c r="K492" s="2"/>
    </row>
    <row r="493" spans="2:11" x14ac:dyDescent="0.35">
      <c r="B493" s="45"/>
      <c r="C493" s="2"/>
      <c r="D493" s="2"/>
      <c r="E493" s="2"/>
      <c r="F493" s="2"/>
      <c r="G493" s="2"/>
      <c r="H493" s="2"/>
      <c r="I493" s="2"/>
      <c r="J493" s="2"/>
      <c r="K493" s="2"/>
    </row>
    <row r="494" spans="2:11" x14ac:dyDescent="0.35">
      <c r="B494" s="45"/>
      <c r="C494" s="2"/>
      <c r="D494" s="2"/>
      <c r="E494" s="2"/>
      <c r="F494" s="2"/>
      <c r="G494" s="2"/>
      <c r="H494" s="2"/>
      <c r="I494" s="2"/>
      <c r="J494" s="2"/>
      <c r="K494" s="2"/>
    </row>
    <row r="495" spans="2:11" x14ac:dyDescent="0.35">
      <c r="B495" s="45"/>
      <c r="C495" s="2"/>
      <c r="D495" s="2"/>
      <c r="E495" s="2"/>
      <c r="F495" s="2"/>
      <c r="G495" s="2"/>
      <c r="H495" s="2"/>
      <c r="I495" s="2"/>
      <c r="J495" s="2"/>
      <c r="K495" s="2"/>
    </row>
    <row r="496" spans="2:11" x14ac:dyDescent="0.35">
      <c r="B496" s="45"/>
      <c r="C496" s="2"/>
      <c r="D496" s="2"/>
      <c r="E496" s="2"/>
      <c r="F496" s="2"/>
      <c r="G496" s="2"/>
      <c r="H496" s="2"/>
      <c r="I496" s="2"/>
      <c r="J496" s="2"/>
      <c r="K496" s="2"/>
    </row>
    <row r="497" spans="2:11" x14ac:dyDescent="0.35">
      <c r="B497" s="45"/>
      <c r="C497" s="2"/>
      <c r="D497" s="2"/>
      <c r="E497" s="2"/>
      <c r="F497" s="2"/>
      <c r="G497" s="2"/>
      <c r="H497" s="2"/>
      <c r="I497" s="2"/>
      <c r="J497" s="2"/>
      <c r="K497" s="2"/>
    </row>
    <row r="498" spans="2:11" x14ac:dyDescent="0.35">
      <c r="B498" s="45"/>
      <c r="C498" s="2"/>
      <c r="D498" s="2"/>
      <c r="E498" s="2"/>
      <c r="F498" s="2"/>
      <c r="G498" s="2"/>
      <c r="H498" s="2"/>
      <c r="I498" s="2"/>
      <c r="J498" s="2"/>
      <c r="K498" s="2"/>
    </row>
    <row r="499" spans="2:11" x14ac:dyDescent="0.35">
      <c r="B499" s="45"/>
      <c r="C499" s="2"/>
      <c r="D499" s="2"/>
      <c r="E499" s="2"/>
      <c r="F499" s="2"/>
      <c r="G499" s="2"/>
      <c r="H499" s="2"/>
      <c r="I499" s="2"/>
      <c r="J499" s="2"/>
      <c r="K499" s="2"/>
    </row>
    <row r="500" spans="2:11" x14ac:dyDescent="0.35">
      <c r="B500" s="45"/>
      <c r="C500" s="2"/>
      <c r="D500" s="2"/>
      <c r="E500" s="2"/>
      <c r="F500" s="2"/>
      <c r="G500" s="2"/>
      <c r="H500" s="2"/>
      <c r="I500" s="2"/>
      <c r="J500" s="2"/>
      <c r="K500" s="2"/>
    </row>
    <row r="501" spans="2:11" x14ac:dyDescent="0.35">
      <c r="B501" s="45"/>
      <c r="C501" s="2"/>
      <c r="D501" s="2"/>
      <c r="E501" s="2"/>
      <c r="F501" s="2"/>
      <c r="G501" s="2"/>
      <c r="H501" s="2"/>
      <c r="I501" s="2"/>
      <c r="J501" s="2"/>
      <c r="K501" s="2"/>
    </row>
    <row r="502" spans="2:11" x14ac:dyDescent="0.35">
      <c r="B502" s="45"/>
      <c r="C502" s="2"/>
      <c r="D502" s="2"/>
      <c r="E502" s="2"/>
      <c r="F502" s="2"/>
      <c r="G502" s="2"/>
      <c r="H502" s="2"/>
      <c r="I502" s="2"/>
      <c r="J502" s="2"/>
      <c r="K502" s="2"/>
    </row>
    <row r="503" spans="2:11" x14ac:dyDescent="0.35">
      <c r="B503" s="45"/>
      <c r="C503" s="2"/>
      <c r="D503" s="2"/>
      <c r="E503" s="2"/>
      <c r="F503" s="2"/>
      <c r="G503" s="2"/>
      <c r="H503" s="2"/>
      <c r="I503" s="2"/>
      <c r="J503" s="2"/>
      <c r="K503" s="2"/>
    </row>
    <row r="504" spans="2:11" x14ac:dyDescent="0.35">
      <c r="B504" s="45"/>
      <c r="C504" s="2"/>
      <c r="D504" s="2"/>
      <c r="E504" s="2"/>
      <c r="F504" s="2"/>
      <c r="G504" s="2"/>
      <c r="H504" s="2"/>
      <c r="I504" s="2"/>
      <c r="J504" s="2"/>
      <c r="K504" s="2"/>
    </row>
    <row r="505" spans="2:11" x14ac:dyDescent="0.35">
      <c r="B505" s="45"/>
      <c r="C505" s="2"/>
      <c r="D505" s="2"/>
      <c r="E505" s="2"/>
      <c r="F505" s="2"/>
      <c r="G505" s="2"/>
      <c r="H505" s="2"/>
      <c r="I505" s="2"/>
      <c r="J505" s="2"/>
      <c r="K505" s="2"/>
    </row>
    <row r="506" spans="2:11" x14ac:dyDescent="0.35">
      <c r="B506" s="45"/>
      <c r="C506" s="2"/>
      <c r="D506" s="2"/>
      <c r="E506" s="2"/>
      <c r="F506" s="2"/>
      <c r="G506" s="2"/>
      <c r="H506" s="2"/>
      <c r="I506" s="2"/>
      <c r="J506" s="2"/>
      <c r="K506" s="2"/>
    </row>
    <row r="507" spans="2:11" x14ac:dyDescent="0.35">
      <c r="B507" s="45"/>
      <c r="C507" s="2"/>
      <c r="D507" s="2"/>
      <c r="E507" s="2"/>
      <c r="F507" s="2"/>
      <c r="G507" s="2"/>
      <c r="H507" s="2"/>
      <c r="I507" s="2"/>
      <c r="J507" s="2"/>
      <c r="K507" s="2"/>
    </row>
    <row r="508" spans="2:11" x14ac:dyDescent="0.35">
      <c r="B508" s="45"/>
      <c r="C508" s="2"/>
      <c r="D508" s="2"/>
      <c r="E508" s="2"/>
      <c r="F508" s="2"/>
      <c r="G508" s="2"/>
      <c r="H508" s="2"/>
      <c r="I508" s="2"/>
      <c r="J508" s="2"/>
      <c r="K508" s="2"/>
    </row>
    <row r="509" spans="2:11" x14ac:dyDescent="0.35">
      <c r="B509" s="45"/>
      <c r="C509" s="2"/>
      <c r="D509" s="2"/>
      <c r="E509" s="2"/>
      <c r="F509" s="2"/>
      <c r="G509" s="2"/>
      <c r="H509" s="2"/>
      <c r="I509" s="2"/>
      <c r="J509" s="2"/>
      <c r="K509" s="2"/>
    </row>
    <row r="510" spans="2:11" x14ac:dyDescent="0.35">
      <c r="B510" s="45"/>
      <c r="C510" s="2"/>
      <c r="D510" s="2"/>
      <c r="E510" s="2"/>
      <c r="F510" s="2"/>
      <c r="G510" s="2"/>
      <c r="H510" s="2"/>
      <c r="I510" s="2"/>
      <c r="J510" s="2"/>
      <c r="K510" s="2"/>
    </row>
    <row r="511" spans="2:11" x14ac:dyDescent="0.35">
      <c r="B511" s="45"/>
      <c r="C511" s="2"/>
      <c r="D511" s="2"/>
      <c r="E511" s="2"/>
      <c r="F511" s="2"/>
      <c r="G511" s="2"/>
      <c r="H511" s="2"/>
      <c r="I511" s="2"/>
      <c r="J511" s="2"/>
      <c r="K511" s="2"/>
    </row>
    <row r="512" spans="2:11" x14ac:dyDescent="0.35">
      <c r="B512" s="45"/>
      <c r="C512" s="2"/>
      <c r="D512" s="2"/>
      <c r="E512" s="2"/>
      <c r="F512" s="2"/>
      <c r="G512" s="2"/>
      <c r="H512" s="2"/>
      <c r="I512" s="2"/>
      <c r="J512" s="2"/>
      <c r="K512" s="2"/>
    </row>
    <row r="513" spans="2:11" x14ac:dyDescent="0.35">
      <c r="B513" s="45"/>
      <c r="C513" s="2"/>
      <c r="D513" s="2"/>
      <c r="E513" s="2"/>
      <c r="F513" s="2"/>
      <c r="G513" s="2"/>
      <c r="H513" s="2"/>
      <c r="I513" s="2"/>
      <c r="J513" s="2"/>
      <c r="K513" s="2"/>
    </row>
    <row r="514" spans="2:11" x14ac:dyDescent="0.35">
      <c r="B514" s="45"/>
      <c r="C514" s="2"/>
      <c r="D514" s="2"/>
      <c r="E514" s="2"/>
      <c r="F514" s="2"/>
      <c r="G514" s="2"/>
      <c r="H514" s="2"/>
      <c r="I514" s="2"/>
      <c r="J514" s="2"/>
      <c r="K514" s="2"/>
    </row>
    <row r="515" spans="2:11" x14ac:dyDescent="0.35">
      <c r="B515" s="45"/>
      <c r="C515" s="2"/>
      <c r="D515" s="2"/>
      <c r="E515" s="2"/>
      <c r="F515" s="2"/>
      <c r="G515" s="2"/>
      <c r="H515" s="2"/>
      <c r="I515" s="2"/>
      <c r="J515" s="2"/>
      <c r="K515" s="2"/>
    </row>
    <row r="516" spans="2:11" x14ac:dyDescent="0.35">
      <c r="B516" s="45"/>
      <c r="C516" s="2"/>
      <c r="D516" s="2"/>
      <c r="E516" s="2"/>
      <c r="F516" s="2"/>
      <c r="G516" s="2"/>
      <c r="H516" s="2"/>
      <c r="I516" s="2"/>
      <c r="J516" s="2"/>
      <c r="K516" s="2"/>
    </row>
    <row r="517" spans="2:11" x14ac:dyDescent="0.35">
      <c r="B517" s="45"/>
      <c r="C517" s="2"/>
      <c r="D517" s="2"/>
      <c r="E517" s="2"/>
      <c r="F517" s="2"/>
      <c r="G517" s="2"/>
      <c r="H517" s="2"/>
      <c r="I517" s="2"/>
      <c r="J517" s="2"/>
      <c r="K517" s="2"/>
    </row>
    <row r="518" spans="2:11" x14ac:dyDescent="0.35">
      <c r="B518" s="45"/>
      <c r="C518" s="2"/>
      <c r="D518" s="2"/>
      <c r="E518" s="2"/>
      <c r="F518" s="2"/>
      <c r="G518" s="2"/>
      <c r="H518" s="2"/>
      <c r="I518" s="2"/>
      <c r="J518" s="2"/>
      <c r="K518" s="2"/>
    </row>
    <row r="519" spans="2:11" x14ac:dyDescent="0.35">
      <c r="B519" s="45"/>
      <c r="C519" s="2"/>
      <c r="D519" s="2"/>
      <c r="E519" s="2"/>
      <c r="F519" s="2"/>
      <c r="G519" s="2"/>
      <c r="H519" s="2"/>
      <c r="I519" s="2"/>
      <c r="J519" s="2"/>
      <c r="K519" s="2"/>
    </row>
    <row r="520" spans="2:11" x14ac:dyDescent="0.35">
      <c r="B520" s="45"/>
      <c r="C520" s="2"/>
      <c r="D520" s="2"/>
      <c r="E520" s="2"/>
      <c r="F520" s="2"/>
      <c r="G520" s="2"/>
      <c r="H520" s="2"/>
      <c r="I520" s="2"/>
      <c r="J520" s="2"/>
      <c r="K520" s="2"/>
    </row>
    <row r="521" spans="2:11" x14ac:dyDescent="0.35">
      <c r="B521" s="45"/>
      <c r="C521" s="2"/>
      <c r="D521" s="2"/>
      <c r="E521" s="2"/>
      <c r="F521" s="2"/>
      <c r="G521" s="2"/>
      <c r="H521" s="2"/>
      <c r="I521" s="2"/>
      <c r="J521" s="2"/>
      <c r="K521" s="2"/>
    </row>
    <row r="522" spans="2:11" x14ac:dyDescent="0.35">
      <c r="B522" s="45"/>
      <c r="C522" s="2"/>
      <c r="D522" s="2"/>
      <c r="E522" s="2"/>
      <c r="F522" s="2"/>
      <c r="G522" s="2"/>
      <c r="H522" s="2"/>
      <c r="I522" s="2"/>
      <c r="J522" s="2"/>
      <c r="K522" s="2"/>
    </row>
    <row r="523" spans="2:11" x14ac:dyDescent="0.35">
      <c r="B523" s="45"/>
      <c r="C523" s="2"/>
      <c r="D523" s="2"/>
      <c r="E523" s="2"/>
      <c r="F523" s="2"/>
      <c r="G523" s="2"/>
      <c r="H523" s="2"/>
      <c r="I523" s="2"/>
      <c r="J523" s="2"/>
      <c r="K523" s="2"/>
    </row>
    <row r="524" spans="2:11" x14ac:dyDescent="0.35">
      <c r="B524" s="45"/>
      <c r="C524" s="2"/>
      <c r="D524" s="2"/>
      <c r="E524" s="2"/>
      <c r="F524" s="2"/>
      <c r="G524" s="2"/>
      <c r="H524" s="2"/>
      <c r="I524" s="2"/>
      <c r="J524" s="2"/>
      <c r="K524" s="2"/>
    </row>
    <row r="525" spans="2:11" x14ac:dyDescent="0.35">
      <c r="B525" s="45"/>
      <c r="C525" s="2"/>
      <c r="D525" s="2"/>
      <c r="E525" s="2"/>
      <c r="F525" s="2"/>
      <c r="G525" s="2"/>
      <c r="H525" s="2"/>
      <c r="I525" s="2"/>
      <c r="J525" s="2"/>
      <c r="K525" s="2"/>
    </row>
    <row r="526" spans="2:11" x14ac:dyDescent="0.35">
      <c r="B526" s="45"/>
      <c r="C526" s="2"/>
      <c r="D526" s="2"/>
      <c r="E526" s="2"/>
      <c r="F526" s="2"/>
      <c r="G526" s="2"/>
      <c r="H526" s="2"/>
      <c r="I526" s="2"/>
      <c r="J526" s="2"/>
      <c r="K526" s="2"/>
    </row>
    <row r="527" spans="2:11" x14ac:dyDescent="0.35">
      <c r="B527" s="45"/>
      <c r="C527" s="2"/>
      <c r="D527" s="2"/>
      <c r="E527" s="2"/>
      <c r="F527" s="2"/>
      <c r="G527" s="2"/>
      <c r="H527" s="2"/>
      <c r="I527" s="2"/>
      <c r="J527" s="2"/>
      <c r="K527" s="2"/>
    </row>
    <row r="528" spans="2:11" x14ac:dyDescent="0.35">
      <c r="B528" s="45"/>
      <c r="C528" s="2"/>
      <c r="D528" s="2"/>
      <c r="E528" s="2"/>
      <c r="F528" s="2"/>
      <c r="G528" s="2"/>
      <c r="H528" s="2"/>
      <c r="I528" s="2"/>
      <c r="J528" s="2"/>
      <c r="K528" s="2"/>
    </row>
    <row r="529" spans="2:11" x14ac:dyDescent="0.35">
      <c r="B529" s="45"/>
      <c r="C529" s="2"/>
      <c r="D529" s="2"/>
      <c r="E529" s="2"/>
      <c r="F529" s="2"/>
      <c r="G529" s="2"/>
      <c r="H529" s="2"/>
      <c r="I529" s="2"/>
      <c r="J529" s="2"/>
      <c r="K529" s="2"/>
    </row>
    <row r="530" spans="2:11" x14ac:dyDescent="0.35">
      <c r="B530" s="45"/>
      <c r="C530" s="2"/>
      <c r="D530" s="2"/>
      <c r="E530" s="2"/>
      <c r="F530" s="2"/>
      <c r="G530" s="2"/>
      <c r="H530" s="2"/>
      <c r="I530" s="2"/>
      <c r="J530" s="2"/>
      <c r="K530" s="2"/>
    </row>
    <row r="531" spans="2:11" x14ac:dyDescent="0.35">
      <c r="B531" s="45"/>
      <c r="C531" s="2"/>
      <c r="D531" s="2"/>
      <c r="E531" s="2"/>
      <c r="F531" s="2"/>
      <c r="G531" s="2"/>
      <c r="H531" s="2"/>
      <c r="I531" s="2"/>
      <c r="J531" s="2"/>
      <c r="K531" s="2"/>
    </row>
    <row r="532" spans="2:11" x14ac:dyDescent="0.35">
      <c r="B532" s="45"/>
      <c r="C532" s="2"/>
      <c r="D532" s="2"/>
      <c r="E532" s="2"/>
      <c r="F532" s="2"/>
      <c r="G532" s="2"/>
      <c r="H532" s="2"/>
      <c r="I532" s="2"/>
      <c r="J532" s="2"/>
      <c r="K532" s="2"/>
    </row>
    <row r="533" spans="2:11" x14ac:dyDescent="0.35">
      <c r="B533" s="45"/>
      <c r="C533" s="2"/>
      <c r="D533" s="2"/>
      <c r="E533" s="2"/>
      <c r="F533" s="2"/>
      <c r="G533" s="2"/>
      <c r="H533" s="2"/>
      <c r="I533" s="2"/>
      <c r="J533" s="2"/>
      <c r="K533" s="2"/>
    </row>
    <row r="534" spans="2:11" x14ac:dyDescent="0.35">
      <c r="B534" s="45"/>
      <c r="C534" s="2"/>
      <c r="D534" s="2"/>
      <c r="E534" s="2"/>
      <c r="F534" s="2"/>
      <c r="G534" s="2"/>
      <c r="H534" s="2"/>
      <c r="I534" s="2"/>
      <c r="J534" s="2"/>
      <c r="K534" s="2"/>
    </row>
    <row r="535" spans="2:11" x14ac:dyDescent="0.35">
      <c r="B535" s="45"/>
      <c r="C535" s="2"/>
      <c r="D535" s="2"/>
      <c r="E535" s="2"/>
      <c r="F535" s="2"/>
      <c r="G535" s="2"/>
      <c r="H535" s="2"/>
      <c r="I535" s="2"/>
      <c r="J535" s="2"/>
      <c r="K535" s="2"/>
    </row>
    <row r="536" spans="2:11" x14ac:dyDescent="0.35">
      <c r="B536" s="45"/>
      <c r="C536" s="2"/>
      <c r="D536" s="2"/>
      <c r="E536" s="2"/>
      <c r="F536" s="2"/>
      <c r="G536" s="2"/>
      <c r="H536" s="2"/>
      <c r="I536" s="2"/>
      <c r="J536" s="2"/>
      <c r="K536" s="2"/>
    </row>
    <row r="537" spans="2:11" x14ac:dyDescent="0.35">
      <c r="B537" s="45"/>
      <c r="C537" s="2"/>
      <c r="D537" s="2"/>
      <c r="E537" s="2"/>
      <c r="F537" s="2"/>
      <c r="G537" s="2"/>
      <c r="H537" s="2"/>
      <c r="I537" s="2"/>
      <c r="J537" s="2"/>
      <c r="K537" s="2"/>
    </row>
    <row r="538" spans="2:11" x14ac:dyDescent="0.35">
      <c r="B538" s="45"/>
      <c r="C538" s="2"/>
      <c r="D538" s="2"/>
      <c r="E538" s="2"/>
      <c r="F538" s="2"/>
      <c r="G538" s="2"/>
      <c r="H538" s="2"/>
      <c r="I538" s="2"/>
      <c r="J538" s="2"/>
      <c r="K538" s="2"/>
    </row>
    <row r="539" spans="2:11" x14ac:dyDescent="0.35">
      <c r="B539" s="45"/>
      <c r="C539" s="2"/>
      <c r="D539" s="2"/>
      <c r="E539" s="2"/>
      <c r="F539" s="2"/>
      <c r="G539" s="2"/>
      <c r="H539" s="2"/>
      <c r="I539" s="2"/>
      <c r="J539" s="2"/>
      <c r="K539" s="2"/>
    </row>
    <row r="540" spans="2:11" x14ac:dyDescent="0.35">
      <c r="B540" s="45"/>
      <c r="C540" s="2"/>
      <c r="D540" s="2"/>
      <c r="E540" s="2"/>
      <c r="F540" s="2"/>
      <c r="G540" s="2"/>
      <c r="H540" s="2"/>
      <c r="I540" s="2"/>
      <c r="J540" s="2"/>
      <c r="K540" s="2"/>
    </row>
    <row r="541" spans="2:11" x14ac:dyDescent="0.35">
      <c r="B541" s="45"/>
      <c r="C541" s="2"/>
      <c r="D541" s="2"/>
      <c r="E541" s="2"/>
      <c r="F541" s="2"/>
      <c r="G541" s="2"/>
      <c r="H541" s="2"/>
      <c r="I541" s="2"/>
      <c r="J541" s="2"/>
      <c r="K541" s="2"/>
    </row>
    <row r="542" spans="2:11" x14ac:dyDescent="0.35">
      <c r="B542" s="45"/>
      <c r="C542" s="2"/>
      <c r="D542" s="2"/>
      <c r="E542" s="2"/>
      <c r="F542" s="2"/>
      <c r="G542" s="2"/>
      <c r="H542" s="2"/>
      <c r="I542" s="2"/>
      <c r="J542" s="2"/>
      <c r="K542" s="2"/>
    </row>
    <row r="543" spans="2:11" x14ac:dyDescent="0.35">
      <c r="B543" s="45"/>
      <c r="C543" s="2"/>
      <c r="D543" s="2"/>
      <c r="E543" s="2"/>
      <c r="F543" s="2"/>
      <c r="G543" s="2"/>
      <c r="H543" s="2"/>
      <c r="I543" s="2"/>
      <c r="J543" s="2"/>
      <c r="K543" s="2"/>
    </row>
    <row r="544" spans="2:11" x14ac:dyDescent="0.35">
      <c r="B544" s="45"/>
      <c r="C544" s="2"/>
      <c r="D544" s="2"/>
      <c r="E544" s="2"/>
      <c r="F544" s="2"/>
      <c r="G544" s="2"/>
      <c r="H544" s="2"/>
      <c r="I544" s="2"/>
      <c r="J544" s="2"/>
      <c r="K544" s="2"/>
    </row>
    <row r="545" spans="2:11" x14ac:dyDescent="0.35">
      <c r="B545" s="45"/>
      <c r="C545" s="2"/>
      <c r="D545" s="2"/>
      <c r="E545" s="2"/>
      <c r="F545" s="2"/>
      <c r="G545" s="2"/>
      <c r="H545" s="2"/>
      <c r="I545" s="2"/>
      <c r="J545" s="2"/>
      <c r="K545" s="2"/>
    </row>
    <row r="546" spans="2:11" x14ac:dyDescent="0.35">
      <c r="B546" s="45"/>
      <c r="C546" s="2"/>
      <c r="D546" s="2"/>
      <c r="E546" s="2"/>
      <c r="F546" s="2"/>
      <c r="G546" s="2"/>
      <c r="H546" s="2"/>
      <c r="I546" s="2"/>
      <c r="J546" s="2"/>
      <c r="K546" s="2"/>
    </row>
    <row r="547" spans="2:11" x14ac:dyDescent="0.35">
      <c r="B547" s="45"/>
      <c r="C547" s="2"/>
      <c r="D547" s="2"/>
      <c r="E547" s="2"/>
      <c r="F547" s="2"/>
      <c r="G547" s="2"/>
      <c r="H547" s="2"/>
      <c r="I547" s="2"/>
      <c r="J547" s="2"/>
      <c r="K547" s="2"/>
    </row>
    <row r="548" spans="2:11" x14ac:dyDescent="0.35">
      <c r="B548" s="45"/>
      <c r="C548" s="2"/>
      <c r="D548" s="2"/>
      <c r="E548" s="2"/>
      <c r="F548" s="2"/>
      <c r="G548" s="2"/>
      <c r="H548" s="2"/>
      <c r="I548" s="2"/>
      <c r="J548" s="2"/>
      <c r="K548" s="2"/>
    </row>
    <row r="549" spans="2:11" x14ac:dyDescent="0.35">
      <c r="B549" s="45"/>
      <c r="C549" s="2"/>
      <c r="D549" s="2"/>
      <c r="E549" s="2"/>
      <c r="F549" s="2"/>
      <c r="G549" s="2"/>
      <c r="H549" s="2"/>
      <c r="I549" s="2"/>
      <c r="J549" s="2"/>
      <c r="K549" s="2"/>
    </row>
    <row r="550" spans="2:11" x14ac:dyDescent="0.35">
      <c r="B550" s="45"/>
      <c r="C550" s="2"/>
      <c r="D550" s="2"/>
      <c r="E550" s="2"/>
      <c r="F550" s="2"/>
      <c r="G550" s="2"/>
      <c r="H550" s="2"/>
      <c r="I550" s="2"/>
      <c r="J550" s="2"/>
      <c r="K550" s="2"/>
    </row>
    <row r="551" spans="2:11" x14ac:dyDescent="0.35">
      <c r="B551" s="45"/>
      <c r="C551" s="2"/>
      <c r="D551" s="2"/>
      <c r="E551" s="2"/>
      <c r="F551" s="2"/>
      <c r="G551" s="2"/>
      <c r="H551" s="2"/>
      <c r="I551" s="2"/>
      <c r="J551" s="2"/>
      <c r="K551" s="2"/>
    </row>
    <row r="552" spans="2:11" x14ac:dyDescent="0.35">
      <c r="B552" s="45"/>
      <c r="C552" s="2"/>
      <c r="D552" s="2"/>
      <c r="E552" s="2"/>
      <c r="F552" s="2"/>
      <c r="G552" s="2"/>
      <c r="H552" s="2"/>
      <c r="I552" s="2"/>
      <c r="J552" s="2"/>
      <c r="K552" s="2"/>
    </row>
    <row r="553" spans="2:11" x14ac:dyDescent="0.35">
      <c r="B553" s="45"/>
      <c r="C553" s="2"/>
      <c r="D553" s="2"/>
      <c r="E553" s="2"/>
      <c r="F553" s="2"/>
      <c r="G553" s="2"/>
      <c r="H553" s="2"/>
      <c r="I553" s="2"/>
      <c r="J553" s="2"/>
      <c r="K553" s="2"/>
    </row>
    <row r="554" spans="2:11" x14ac:dyDescent="0.35">
      <c r="B554" s="45"/>
      <c r="C554" s="2"/>
      <c r="D554" s="2"/>
      <c r="E554" s="2"/>
      <c r="F554" s="2"/>
      <c r="G554" s="2"/>
      <c r="H554" s="2"/>
      <c r="I554" s="2"/>
      <c r="J554" s="2"/>
      <c r="K554" s="2"/>
    </row>
    <row r="555" spans="2:11" x14ac:dyDescent="0.35">
      <c r="B555" s="45"/>
      <c r="C555" s="2"/>
      <c r="D555" s="2"/>
      <c r="E555" s="2"/>
      <c r="F555" s="2"/>
      <c r="G555" s="2"/>
      <c r="H555" s="2"/>
      <c r="I555" s="2"/>
      <c r="J555" s="2"/>
      <c r="K555" s="2"/>
    </row>
    <row r="556" spans="2:11" x14ac:dyDescent="0.35">
      <c r="B556" s="45"/>
      <c r="C556" s="2"/>
      <c r="D556" s="2"/>
      <c r="E556" s="2"/>
      <c r="F556" s="2"/>
      <c r="G556" s="2"/>
      <c r="H556" s="2"/>
      <c r="I556" s="2"/>
      <c r="J556" s="2"/>
      <c r="K556" s="2"/>
    </row>
    <row r="557" spans="2:11" x14ac:dyDescent="0.35">
      <c r="B557" s="45"/>
      <c r="C557" s="2"/>
      <c r="D557" s="2"/>
      <c r="E557" s="2"/>
      <c r="F557" s="2"/>
      <c r="G557" s="2"/>
      <c r="H557" s="2"/>
      <c r="I557" s="2"/>
      <c r="J557" s="2"/>
      <c r="K557" s="2"/>
    </row>
    <row r="558" spans="2:11" x14ac:dyDescent="0.35">
      <c r="B558" s="45"/>
      <c r="C558" s="2"/>
      <c r="D558" s="2"/>
      <c r="E558" s="2"/>
      <c r="F558" s="2"/>
      <c r="G558" s="2"/>
      <c r="H558" s="2"/>
      <c r="I558" s="2"/>
      <c r="J558" s="2"/>
      <c r="K558" s="2"/>
    </row>
    <row r="559" spans="2:11" x14ac:dyDescent="0.35">
      <c r="B559" s="45"/>
      <c r="C559" s="2"/>
      <c r="D559" s="2"/>
      <c r="E559" s="2"/>
      <c r="F559" s="2"/>
      <c r="G559" s="2"/>
      <c r="H559" s="2"/>
      <c r="I559" s="2"/>
      <c r="J559" s="2"/>
      <c r="K559" s="2"/>
    </row>
    <row r="560" spans="2:11" x14ac:dyDescent="0.35">
      <c r="B560" s="45"/>
      <c r="C560" s="2"/>
      <c r="D560" s="2"/>
      <c r="E560" s="2"/>
      <c r="F560" s="2"/>
      <c r="G560" s="2"/>
      <c r="H560" s="2"/>
      <c r="I560" s="2"/>
      <c r="J560" s="2"/>
      <c r="K560" s="2"/>
    </row>
    <row r="561" spans="2:11" x14ac:dyDescent="0.35">
      <c r="B561" s="45"/>
      <c r="C561" s="2"/>
      <c r="D561" s="2"/>
      <c r="E561" s="2"/>
      <c r="F561" s="2"/>
      <c r="G561" s="2"/>
      <c r="H561" s="2"/>
      <c r="I561" s="2"/>
      <c r="J561" s="2"/>
      <c r="K561" s="2"/>
    </row>
    <row r="562" spans="2:11" x14ac:dyDescent="0.35">
      <c r="B562" s="45"/>
      <c r="C562" s="2"/>
      <c r="D562" s="2"/>
      <c r="E562" s="2"/>
      <c r="F562" s="2"/>
      <c r="G562" s="2"/>
      <c r="H562" s="2"/>
      <c r="I562" s="2"/>
      <c r="J562" s="2"/>
      <c r="K562" s="2"/>
    </row>
    <row r="563" spans="2:11" x14ac:dyDescent="0.35">
      <c r="B563" s="45"/>
      <c r="C563" s="2"/>
      <c r="D563" s="2"/>
      <c r="E563" s="2"/>
      <c r="F563" s="2"/>
      <c r="G563" s="2"/>
      <c r="H563" s="2"/>
      <c r="I563" s="2"/>
      <c r="J563" s="2"/>
      <c r="K563" s="2"/>
    </row>
    <row r="564" spans="2:11" x14ac:dyDescent="0.35">
      <c r="B564" s="45"/>
      <c r="C564" s="2"/>
      <c r="D564" s="2"/>
      <c r="E564" s="2"/>
      <c r="F564" s="2"/>
      <c r="G564" s="2"/>
      <c r="H564" s="2"/>
      <c r="I564" s="2"/>
      <c r="J564" s="2"/>
      <c r="K564" s="2"/>
    </row>
    <row r="565" spans="2:11" x14ac:dyDescent="0.35">
      <c r="B565" s="45"/>
      <c r="C565" s="2"/>
      <c r="D565" s="2"/>
      <c r="E565" s="2"/>
      <c r="F565" s="2"/>
      <c r="G565" s="2"/>
      <c r="H565" s="2"/>
      <c r="I565" s="2"/>
      <c r="J565" s="2"/>
      <c r="K565" s="2"/>
    </row>
    <row r="566" spans="2:11" x14ac:dyDescent="0.35">
      <c r="B566" s="45"/>
      <c r="C566" s="2"/>
      <c r="D566" s="2"/>
      <c r="E566" s="2"/>
      <c r="F566" s="2"/>
      <c r="G566" s="2"/>
      <c r="H566" s="2"/>
      <c r="I566" s="2"/>
      <c r="J566" s="2"/>
      <c r="K566" s="2"/>
    </row>
    <row r="567" spans="2:11" x14ac:dyDescent="0.35">
      <c r="B567" s="45"/>
      <c r="C567" s="2"/>
      <c r="D567" s="2"/>
      <c r="E567" s="2"/>
      <c r="F567" s="2"/>
      <c r="G567" s="2"/>
      <c r="H567" s="2"/>
      <c r="I567" s="2"/>
      <c r="J567" s="2"/>
      <c r="K567" s="2"/>
    </row>
    <row r="568" spans="2:11" x14ac:dyDescent="0.35">
      <c r="B568" s="45"/>
      <c r="C568" s="2"/>
      <c r="D568" s="2"/>
      <c r="E568" s="2"/>
      <c r="F568" s="2"/>
      <c r="G568" s="2"/>
      <c r="H568" s="2"/>
      <c r="I568" s="2"/>
      <c r="J568" s="2"/>
      <c r="K568" s="2"/>
    </row>
    <row r="569" spans="2:11" x14ac:dyDescent="0.35">
      <c r="B569" s="45"/>
      <c r="C569" s="2"/>
      <c r="D569" s="2"/>
      <c r="E569" s="2"/>
      <c r="F569" s="2"/>
      <c r="G569" s="2"/>
      <c r="H569" s="2"/>
      <c r="I569" s="2"/>
      <c r="J569" s="2"/>
      <c r="K569" s="2"/>
    </row>
    <row r="570" spans="2:11" x14ac:dyDescent="0.35">
      <c r="B570" s="45"/>
      <c r="C570" s="2"/>
      <c r="D570" s="2"/>
      <c r="E570" s="2"/>
      <c r="F570" s="2"/>
      <c r="G570" s="2"/>
      <c r="H570" s="2"/>
      <c r="I570" s="2"/>
      <c r="J570" s="2"/>
      <c r="K570" s="2"/>
    </row>
    <row r="571" spans="2:11" x14ac:dyDescent="0.35">
      <c r="B571" s="45"/>
      <c r="C571" s="2"/>
      <c r="D571" s="2"/>
      <c r="E571" s="2"/>
      <c r="F571" s="2"/>
      <c r="G571" s="2"/>
      <c r="H571" s="2"/>
      <c r="I571" s="2"/>
      <c r="J571" s="2"/>
      <c r="K571" s="2"/>
    </row>
    <row r="572" spans="2:11" x14ac:dyDescent="0.35">
      <c r="B572" s="45"/>
      <c r="C572" s="2"/>
      <c r="D572" s="2"/>
      <c r="E572" s="2"/>
      <c r="F572" s="2"/>
      <c r="G572" s="2"/>
      <c r="H572" s="2"/>
      <c r="I572" s="2"/>
      <c r="J572" s="2"/>
      <c r="K572" s="2"/>
    </row>
    <row r="573" spans="2:11" x14ac:dyDescent="0.35">
      <c r="B573" s="45"/>
      <c r="C573" s="2"/>
      <c r="D573" s="2"/>
      <c r="E573" s="2"/>
      <c r="F573" s="2"/>
      <c r="G573" s="2"/>
      <c r="H573" s="2"/>
      <c r="I573" s="2"/>
      <c r="J573" s="2"/>
      <c r="K573" s="2"/>
    </row>
    <row r="574" spans="2:11" x14ac:dyDescent="0.35">
      <c r="B574" s="45"/>
      <c r="C574" s="2"/>
      <c r="D574" s="2"/>
      <c r="E574" s="2"/>
      <c r="F574" s="2"/>
      <c r="G574" s="2"/>
      <c r="H574" s="2"/>
      <c r="I574" s="2"/>
      <c r="J574" s="2"/>
      <c r="K574" s="2"/>
    </row>
    <row r="575" spans="2:11" x14ac:dyDescent="0.35">
      <c r="B575" s="45"/>
      <c r="C575" s="2"/>
      <c r="D575" s="2"/>
      <c r="E575" s="2"/>
      <c r="F575" s="2"/>
      <c r="G575" s="2"/>
      <c r="H575" s="2"/>
      <c r="I575" s="2"/>
      <c r="J575" s="2"/>
      <c r="K575" s="2"/>
    </row>
    <row r="576" spans="2:11" x14ac:dyDescent="0.35">
      <c r="B576" s="45"/>
      <c r="C576" s="2"/>
      <c r="D576" s="2"/>
      <c r="E576" s="2"/>
      <c r="F576" s="2"/>
      <c r="G576" s="2"/>
      <c r="H576" s="2"/>
      <c r="I576" s="2"/>
      <c r="J576" s="2"/>
      <c r="K576" s="2"/>
    </row>
    <row r="577" spans="2:11" x14ac:dyDescent="0.35">
      <c r="B577" s="45"/>
      <c r="C577" s="2"/>
      <c r="D577" s="2"/>
      <c r="E577" s="2"/>
      <c r="F577" s="2"/>
      <c r="G577" s="2"/>
      <c r="H577" s="2"/>
      <c r="I577" s="2"/>
      <c r="J577" s="2"/>
      <c r="K577" s="2"/>
    </row>
    <row r="578" spans="2:11" x14ac:dyDescent="0.35">
      <c r="B578" s="45"/>
      <c r="C578" s="2"/>
      <c r="D578" s="2"/>
      <c r="E578" s="2"/>
      <c r="F578" s="2"/>
      <c r="G578" s="2"/>
      <c r="H578" s="2"/>
      <c r="I578" s="2"/>
      <c r="J578" s="2"/>
      <c r="K578" s="2"/>
    </row>
    <row r="579" spans="2:11" x14ac:dyDescent="0.35">
      <c r="B579" s="45"/>
      <c r="C579" s="2"/>
      <c r="D579" s="2"/>
      <c r="E579" s="2"/>
      <c r="F579" s="2"/>
      <c r="G579" s="2"/>
      <c r="H579" s="2"/>
      <c r="I579" s="2"/>
      <c r="J579" s="2"/>
      <c r="K579" s="2"/>
    </row>
    <row r="580" spans="2:11" x14ac:dyDescent="0.35">
      <c r="B580" s="45"/>
      <c r="C580" s="2"/>
      <c r="D580" s="2"/>
      <c r="E580" s="2"/>
      <c r="F580" s="2"/>
      <c r="G580" s="2"/>
      <c r="H580" s="2"/>
      <c r="I580" s="2"/>
      <c r="J580" s="2"/>
      <c r="K580" s="2"/>
    </row>
    <row r="581" spans="2:11" x14ac:dyDescent="0.35">
      <c r="B581" s="45"/>
      <c r="C581" s="2"/>
      <c r="D581" s="2"/>
      <c r="E581" s="2"/>
      <c r="F581" s="2"/>
      <c r="G581" s="2"/>
      <c r="H581" s="2"/>
      <c r="I581" s="2"/>
      <c r="J581" s="2"/>
      <c r="K581" s="2"/>
    </row>
    <row r="582" spans="2:11" x14ac:dyDescent="0.35">
      <c r="B582" s="45"/>
      <c r="C582" s="2"/>
      <c r="D582" s="2"/>
      <c r="E582" s="2"/>
      <c r="F582" s="2"/>
      <c r="G582" s="2"/>
      <c r="H582" s="2"/>
      <c r="I582" s="2"/>
      <c r="J582" s="2"/>
      <c r="K582" s="2"/>
    </row>
    <row r="583" spans="2:11" x14ac:dyDescent="0.35">
      <c r="B583" s="45"/>
      <c r="C583" s="2"/>
      <c r="D583" s="2"/>
      <c r="E583" s="2"/>
      <c r="F583" s="2"/>
      <c r="G583" s="2"/>
      <c r="H583" s="2"/>
      <c r="I583" s="2"/>
      <c r="J583" s="2"/>
      <c r="K583" s="2"/>
    </row>
    <row r="584" spans="2:11" x14ac:dyDescent="0.35">
      <c r="B584" s="45"/>
      <c r="C584" s="2"/>
      <c r="D584" s="2"/>
      <c r="E584" s="2"/>
      <c r="F584" s="2"/>
      <c r="G584" s="2"/>
      <c r="H584" s="2"/>
      <c r="I584" s="2"/>
      <c r="J584" s="2"/>
      <c r="K584" s="2"/>
    </row>
    <row r="585" spans="2:11" x14ac:dyDescent="0.35">
      <c r="B585" s="45"/>
      <c r="C585" s="2"/>
      <c r="D585" s="2"/>
      <c r="E585" s="2"/>
      <c r="F585" s="2"/>
      <c r="G585" s="2"/>
      <c r="H585" s="2"/>
      <c r="I585" s="2"/>
      <c r="J585" s="2"/>
      <c r="K585" s="2"/>
    </row>
    <row r="586" spans="2:11" x14ac:dyDescent="0.35">
      <c r="B586" s="45"/>
      <c r="C586" s="2"/>
      <c r="D586" s="2"/>
      <c r="E586" s="2"/>
      <c r="F586" s="2"/>
      <c r="G586" s="2"/>
      <c r="H586" s="2"/>
      <c r="I586" s="2"/>
      <c r="J586" s="2"/>
      <c r="K586" s="2"/>
    </row>
    <row r="587" spans="2:11" x14ac:dyDescent="0.35">
      <c r="B587" s="45"/>
      <c r="C587" s="2"/>
      <c r="D587" s="2"/>
      <c r="E587" s="2"/>
      <c r="F587" s="2"/>
      <c r="G587" s="2"/>
      <c r="H587" s="2"/>
      <c r="I587" s="2"/>
      <c r="J587" s="2"/>
      <c r="K587" s="2"/>
    </row>
    <row r="588" spans="2:11" x14ac:dyDescent="0.35">
      <c r="B588" s="45"/>
      <c r="C588" s="2"/>
      <c r="D588" s="2"/>
      <c r="E588" s="2"/>
      <c r="F588" s="2"/>
      <c r="G588" s="2"/>
      <c r="H588" s="2"/>
      <c r="I588" s="2"/>
      <c r="J588" s="2"/>
      <c r="K588" s="2"/>
    </row>
    <row r="589" spans="2:11" x14ac:dyDescent="0.35">
      <c r="B589" s="45"/>
      <c r="C589" s="2"/>
      <c r="D589" s="2"/>
      <c r="E589" s="2"/>
      <c r="F589" s="2"/>
      <c r="G589" s="2"/>
      <c r="H589" s="2"/>
      <c r="I589" s="2"/>
      <c r="J589" s="2"/>
      <c r="K589" s="2"/>
    </row>
    <row r="590" spans="2:11" x14ac:dyDescent="0.35">
      <c r="B590" s="45"/>
      <c r="C590" s="2"/>
      <c r="D590" s="2"/>
      <c r="E590" s="2"/>
      <c r="F590" s="2"/>
      <c r="G590" s="2"/>
      <c r="H590" s="2"/>
      <c r="I590" s="2"/>
      <c r="J590" s="2"/>
      <c r="K590" s="2"/>
    </row>
    <row r="591" spans="2:11" x14ac:dyDescent="0.35">
      <c r="B591" s="45"/>
      <c r="C591" s="2"/>
      <c r="D591" s="2"/>
      <c r="E591" s="2"/>
      <c r="F591" s="2"/>
      <c r="G591" s="2"/>
      <c r="H591" s="2"/>
      <c r="I591" s="2"/>
      <c r="J591" s="2"/>
      <c r="K591" s="2"/>
    </row>
    <row r="592" spans="2:11" x14ac:dyDescent="0.35">
      <c r="B592" s="45"/>
      <c r="C592" s="2"/>
      <c r="D592" s="2"/>
      <c r="E592" s="2"/>
      <c r="F592" s="2"/>
      <c r="G592" s="2"/>
      <c r="H592" s="2"/>
      <c r="I592" s="2"/>
      <c r="J592" s="2"/>
      <c r="K592" s="2"/>
    </row>
    <row r="593" spans="2:11" x14ac:dyDescent="0.35">
      <c r="B593" s="45"/>
      <c r="C593" s="2"/>
      <c r="D593" s="2"/>
      <c r="E593" s="2"/>
      <c r="F593" s="2"/>
      <c r="G593" s="2"/>
      <c r="H593" s="2"/>
      <c r="I593" s="2"/>
      <c r="J593" s="2"/>
      <c r="K593" s="2"/>
    </row>
    <row r="594" spans="2:11" x14ac:dyDescent="0.35">
      <c r="B594" s="45"/>
      <c r="C594" s="2"/>
      <c r="D594" s="2"/>
      <c r="E594" s="2"/>
      <c r="F594" s="2"/>
      <c r="G594" s="2"/>
      <c r="H594" s="2"/>
      <c r="I594" s="2"/>
      <c r="J594" s="2"/>
      <c r="K594" s="2"/>
    </row>
    <row r="595" spans="2:11" x14ac:dyDescent="0.35">
      <c r="B595" s="45"/>
      <c r="C595" s="2"/>
      <c r="D595" s="2"/>
      <c r="E595" s="2"/>
      <c r="F595" s="2"/>
      <c r="G595" s="2"/>
      <c r="H595" s="2"/>
      <c r="I595" s="2"/>
      <c r="J595" s="2"/>
      <c r="K595" s="2"/>
    </row>
    <row r="596" spans="2:11" x14ac:dyDescent="0.35">
      <c r="B596" s="45"/>
      <c r="C596" s="2"/>
      <c r="D596" s="2"/>
      <c r="E596" s="2"/>
      <c r="F596" s="2"/>
      <c r="G596" s="2"/>
      <c r="H596" s="2"/>
      <c r="I596" s="2"/>
      <c r="J596" s="2"/>
      <c r="K596" s="2"/>
    </row>
    <row r="597" spans="2:11" x14ac:dyDescent="0.35">
      <c r="B597" s="45"/>
      <c r="C597" s="2"/>
      <c r="D597" s="2"/>
      <c r="E597" s="2"/>
      <c r="F597" s="2"/>
      <c r="G597" s="2"/>
      <c r="H597" s="2"/>
      <c r="I597" s="2"/>
      <c r="J597" s="2"/>
      <c r="K597" s="2"/>
    </row>
    <row r="598" spans="2:11" x14ac:dyDescent="0.35">
      <c r="B598" s="45"/>
      <c r="C598" s="2"/>
      <c r="D598" s="2"/>
      <c r="E598" s="2"/>
      <c r="F598" s="2"/>
      <c r="G598" s="2"/>
      <c r="H598" s="2"/>
      <c r="I598" s="2"/>
      <c r="J598" s="2"/>
      <c r="K598" s="2"/>
    </row>
    <row r="599" spans="2:11" x14ac:dyDescent="0.35">
      <c r="B599" s="45"/>
      <c r="C599" s="2"/>
      <c r="D599" s="2"/>
      <c r="E599" s="2"/>
      <c r="F599" s="2"/>
      <c r="G599" s="2"/>
      <c r="H599" s="2"/>
      <c r="I599" s="2"/>
      <c r="J599" s="2"/>
      <c r="K599" s="2"/>
    </row>
    <row r="600" spans="2:11" x14ac:dyDescent="0.35">
      <c r="B600" s="45"/>
      <c r="C600" s="2"/>
      <c r="D600" s="2"/>
      <c r="E600" s="2"/>
      <c r="F600" s="2"/>
      <c r="G600" s="2"/>
      <c r="H600" s="2"/>
      <c r="I600" s="2"/>
      <c r="J600" s="2"/>
      <c r="K600" s="2"/>
    </row>
    <row r="601" spans="2:11" x14ac:dyDescent="0.35">
      <c r="B601" s="45"/>
      <c r="C601" s="2"/>
      <c r="D601" s="2"/>
      <c r="E601" s="2"/>
      <c r="F601" s="2"/>
      <c r="G601" s="2"/>
      <c r="H601" s="2"/>
      <c r="I601" s="2"/>
      <c r="J601" s="2"/>
      <c r="K601" s="2"/>
    </row>
    <row r="602" spans="2:11" x14ac:dyDescent="0.35">
      <c r="B602" s="45"/>
      <c r="C602" s="2"/>
      <c r="D602" s="2"/>
      <c r="E602" s="2"/>
      <c r="F602" s="2"/>
      <c r="G602" s="2"/>
      <c r="H602" s="2"/>
      <c r="I602" s="2"/>
      <c r="J602" s="2"/>
      <c r="K602" s="2"/>
    </row>
    <row r="603" spans="2:11" x14ac:dyDescent="0.35">
      <c r="B603" s="45"/>
      <c r="C603" s="2"/>
      <c r="D603" s="2"/>
      <c r="E603" s="2"/>
      <c r="F603" s="2"/>
      <c r="G603" s="2"/>
      <c r="H603" s="2"/>
      <c r="I603" s="2"/>
      <c r="J603" s="2"/>
      <c r="K603" s="2"/>
    </row>
    <row r="604" spans="2:11" x14ac:dyDescent="0.35">
      <c r="B604" s="45"/>
      <c r="C604" s="2"/>
      <c r="D604" s="2"/>
      <c r="E604" s="2"/>
      <c r="F604" s="2"/>
      <c r="G604" s="2"/>
      <c r="H604" s="2"/>
      <c r="I604" s="2"/>
      <c r="J604" s="2"/>
      <c r="K604" s="2"/>
    </row>
    <row r="605" spans="2:11" x14ac:dyDescent="0.35">
      <c r="B605" s="45"/>
      <c r="C605" s="2"/>
      <c r="D605" s="2"/>
      <c r="E605" s="2"/>
      <c r="F605" s="2"/>
      <c r="G605" s="2"/>
      <c r="H605" s="2"/>
      <c r="I605" s="2"/>
      <c r="J605" s="2"/>
      <c r="K605" s="2"/>
    </row>
    <row r="606" spans="2:11" x14ac:dyDescent="0.35">
      <c r="B606" s="45"/>
      <c r="C606" s="2"/>
      <c r="D606" s="2"/>
      <c r="E606" s="2"/>
      <c r="F606" s="2"/>
      <c r="G606" s="2"/>
      <c r="H606" s="2"/>
      <c r="I606" s="2"/>
      <c r="J606" s="2"/>
      <c r="K606" s="2"/>
    </row>
    <row r="607" spans="2:11" x14ac:dyDescent="0.35">
      <c r="B607" s="45"/>
      <c r="C607" s="2"/>
      <c r="D607" s="2"/>
      <c r="E607" s="2"/>
      <c r="F607" s="2"/>
      <c r="G607" s="2"/>
      <c r="H607" s="2"/>
      <c r="I607" s="2"/>
      <c r="J607" s="2"/>
      <c r="K607" s="2"/>
    </row>
    <row r="608" spans="2:11" x14ac:dyDescent="0.35">
      <c r="B608" s="45"/>
      <c r="C608" s="2"/>
      <c r="D608" s="2"/>
      <c r="E608" s="2"/>
      <c r="F608" s="2"/>
      <c r="G608" s="2"/>
      <c r="H608" s="2"/>
      <c r="I608" s="2"/>
      <c r="J608" s="2"/>
      <c r="K608" s="2"/>
    </row>
    <row r="609" spans="2:11" x14ac:dyDescent="0.35">
      <c r="B609" s="45"/>
      <c r="C609" s="2"/>
      <c r="D609" s="2"/>
      <c r="E609" s="2"/>
      <c r="F609" s="2"/>
      <c r="G609" s="2"/>
      <c r="H609" s="2"/>
      <c r="I609" s="2"/>
      <c r="J609" s="2"/>
      <c r="K609" s="2"/>
    </row>
    <row r="610" spans="2:11" x14ac:dyDescent="0.35">
      <c r="B610" s="45"/>
      <c r="C610" s="2"/>
      <c r="D610" s="2"/>
      <c r="E610" s="2"/>
      <c r="F610" s="2"/>
      <c r="G610" s="2"/>
      <c r="H610" s="2"/>
      <c r="I610" s="2"/>
      <c r="J610" s="2"/>
      <c r="K610" s="2"/>
    </row>
    <row r="611" spans="2:11" x14ac:dyDescent="0.35">
      <c r="B611" s="45"/>
      <c r="C611" s="2"/>
      <c r="D611" s="2"/>
      <c r="E611" s="2"/>
      <c r="F611" s="2"/>
      <c r="G611" s="2"/>
      <c r="H611" s="2"/>
      <c r="I611" s="2"/>
      <c r="J611" s="2"/>
      <c r="K611" s="2"/>
    </row>
    <row r="612" spans="2:11" x14ac:dyDescent="0.35">
      <c r="B612" s="45"/>
      <c r="C612" s="2"/>
      <c r="D612" s="2"/>
      <c r="E612" s="2"/>
      <c r="F612" s="2"/>
      <c r="G612" s="2"/>
      <c r="H612" s="2"/>
      <c r="I612" s="2"/>
      <c r="J612" s="2"/>
      <c r="K612" s="2"/>
    </row>
    <row r="613" spans="2:11" x14ac:dyDescent="0.35">
      <c r="B613" s="45"/>
      <c r="C613" s="2"/>
      <c r="D613" s="2"/>
      <c r="E613" s="2"/>
      <c r="F613" s="2"/>
      <c r="G613" s="2"/>
      <c r="H613" s="2"/>
      <c r="I613" s="2"/>
      <c r="J613" s="2"/>
      <c r="K613" s="2"/>
    </row>
    <row r="614" spans="2:11" x14ac:dyDescent="0.35">
      <c r="B614" s="45"/>
      <c r="C614" s="2"/>
      <c r="D614" s="2"/>
      <c r="E614" s="2"/>
      <c r="F614" s="2"/>
      <c r="G614" s="2"/>
      <c r="H614" s="2"/>
      <c r="I614" s="2"/>
      <c r="J614" s="2"/>
      <c r="K614" s="2"/>
    </row>
    <row r="615" spans="2:11" x14ac:dyDescent="0.35">
      <c r="B615" s="45"/>
      <c r="C615" s="2"/>
      <c r="D615" s="2"/>
      <c r="E615" s="2"/>
      <c r="F615" s="2"/>
      <c r="G615" s="2"/>
      <c r="H615" s="2"/>
      <c r="I615" s="2"/>
      <c r="J615" s="2"/>
      <c r="K615" s="2"/>
    </row>
    <row r="616" spans="2:11" x14ac:dyDescent="0.35">
      <c r="B616" s="45"/>
      <c r="C616" s="2"/>
      <c r="D616" s="2"/>
      <c r="E616" s="2"/>
      <c r="F616" s="2"/>
      <c r="G616" s="2"/>
      <c r="H616" s="2"/>
      <c r="I616" s="2"/>
      <c r="J616" s="2"/>
      <c r="K616" s="2"/>
    </row>
    <row r="617" spans="2:11" x14ac:dyDescent="0.35">
      <c r="B617" s="45"/>
      <c r="C617" s="2"/>
      <c r="D617" s="2"/>
      <c r="E617" s="2"/>
      <c r="F617" s="2"/>
      <c r="G617" s="2"/>
      <c r="H617" s="2"/>
      <c r="I617" s="2"/>
      <c r="J617" s="2"/>
      <c r="K617" s="2"/>
    </row>
    <row r="618" spans="2:11" x14ac:dyDescent="0.35">
      <c r="B618" s="45"/>
      <c r="C618" s="2"/>
      <c r="D618" s="2"/>
      <c r="E618" s="2"/>
      <c r="F618" s="2"/>
      <c r="G618" s="2"/>
      <c r="H618" s="2"/>
      <c r="I618" s="2"/>
      <c r="J618" s="2"/>
      <c r="K618" s="2"/>
    </row>
    <row r="619" spans="2:11" x14ac:dyDescent="0.35">
      <c r="B619" s="45"/>
      <c r="C619" s="2"/>
      <c r="D619" s="2"/>
      <c r="E619" s="2"/>
      <c r="F619" s="2"/>
      <c r="G619" s="2"/>
      <c r="H619" s="2"/>
      <c r="I619" s="2"/>
      <c r="J619" s="2"/>
      <c r="K619" s="2"/>
    </row>
    <row r="620" spans="2:11" x14ac:dyDescent="0.35">
      <c r="B620" s="45"/>
      <c r="C620" s="2"/>
      <c r="D620" s="2"/>
      <c r="E620" s="2"/>
      <c r="F620" s="2"/>
      <c r="G620" s="2"/>
      <c r="H620" s="2"/>
      <c r="I620" s="2"/>
      <c r="J620" s="2"/>
      <c r="K620" s="2"/>
    </row>
    <row r="621" spans="2:11" x14ac:dyDescent="0.35">
      <c r="B621" s="45"/>
      <c r="C621" s="2"/>
      <c r="D621" s="2"/>
      <c r="E621" s="2"/>
      <c r="F621" s="2"/>
      <c r="G621" s="2"/>
      <c r="H621" s="2"/>
      <c r="I621" s="2"/>
      <c r="J621" s="2"/>
      <c r="K621" s="2"/>
    </row>
    <row r="622" spans="2:11" x14ac:dyDescent="0.35">
      <c r="B622" s="45"/>
      <c r="C622" s="2"/>
      <c r="D622" s="2"/>
      <c r="E622" s="2"/>
      <c r="F622" s="2"/>
      <c r="G622" s="2"/>
      <c r="H622" s="2"/>
      <c r="I622" s="2"/>
      <c r="J622" s="2"/>
      <c r="K622" s="2"/>
    </row>
    <row r="623" spans="2:11" x14ac:dyDescent="0.35">
      <c r="B623" s="45"/>
      <c r="C623" s="2"/>
      <c r="D623" s="2"/>
      <c r="E623" s="2"/>
      <c r="F623" s="2"/>
      <c r="G623" s="2"/>
      <c r="H623" s="2"/>
      <c r="I623" s="2"/>
      <c r="J623" s="2"/>
      <c r="K623" s="2"/>
    </row>
    <row r="624" spans="2:11" x14ac:dyDescent="0.35">
      <c r="B624" s="45"/>
      <c r="C624" s="2"/>
      <c r="D624" s="2"/>
      <c r="E624" s="2"/>
      <c r="F624" s="2"/>
      <c r="G624" s="2"/>
      <c r="H624" s="2"/>
      <c r="I624" s="2"/>
      <c r="J624" s="2"/>
      <c r="K624" s="2"/>
    </row>
    <row r="625" spans="2:11" x14ac:dyDescent="0.35">
      <c r="B625" s="45"/>
      <c r="C625" s="2"/>
      <c r="D625" s="2"/>
      <c r="E625" s="2"/>
      <c r="F625" s="2"/>
      <c r="G625" s="2"/>
      <c r="H625" s="2"/>
      <c r="I625" s="2"/>
      <c r="J625" s="2"/>
      <c r="K625" s="2"/>
    </row>
    <row r="626" spans="2:11" x14ac:dyDescent="0.35">
      <c r="B626" s="45"/>
      <c r="C626" s="2"/>
      <c r="D626" s="2"/>
      <c r="E626" s="2"/>
      <c r="F626" s="2"/>
      <c r="G626" s="2"/>
      <c r="H626" s="2"/>
      <c r="I626" s="2"/>
      <c r="J626" s="2"/>
      <c r="K626" s="2"/>
    </row>
    <row r="627" spans="2:11" x14ac:dyDescent="0.35">
      <c r="B627" s="45"/>
      <c r="C627" s="2"/>
      <c r="D627" s="2"/>
      <c r="E627" s="2"/>
      <c r="F627" s="2"/>
      <c r="G627" s="2"/>
      <c r="H627" s="2"/>
      <c r="I627" s="2"/>
      <c r="J627" s="2"/>
      <c r="K627" s="2"/>
    </row>
    <row r="628" spans="2:11" x14ac:dyDescent="0.35">
      <c r="B628" s="45"/>
      <c r="C628" s="2"/>
      <c r="D628" s="2"/>
      <c r="E628" s="2"/>
      <c r="F628" s="2"/>
      <c r="G628" s="2"/>
      <c r="H628" s="2"/>
      <c r="I628" s="2"/>
      <c r="J628" s="2"/>
      <c r="K628" s="2"/>
    </row>
    <row r="629" spans="2:11" x14ac:dyDescent="0.35">
      <c r="B629" s="45"/>
      <c r="C629" s="2"/>
      <c r="D629" s="2"/>
      <c r="E629" s="2"/>
      <c r="F629" s="2"/>
      <c r="G629" s="2"/>
      <c r="H629" s="2"/>
      <c r="I629" s="2"/>
      <c r="J629" s="2"/>
      <c r="K629" s="2"/>
    </row>
    <row r="630" spans="2:11" x14ac:dyDescent="0.35">
      <c r="B630" s="45"/>
      <c r="C630" s="2"/>
      <c r="D630" s="2"/>
      <c r="E630" s="2"/>
      <c r="F630" s="2"/>
      <c r="G630" s="2"/>
      <c r="H630" s="2"/>
      <c r="I630" s="2"/>
      <c r="J630" s="2"/>
      <c r="K630" s="2"/>
    </row>
    <row r="631" spans="2:11" x14ac:dyDescent="0.35">
      <c r="B631" s="45"/>
      <c r="C631" s="2"/>
      <c r="D631" s="2"/>
      <c r="E631" s="2"/>
      <c r="F631" s="2"/>
      <c r="G631" s="2"/>
      <c r="H631" s="2"/>
      <c r="I631" s="2"/>
      <c r="J631" s="2"/>
      <c r="K631" s="2"/>
    </row>
    <row r="632" spans="2:11" x14ac:dyDescent="0.35">
      <c r="B632" s="45"/>
      <c r="C632" s="2"/>
      <c r="D632" s="2"/>
      <c r="E632" s="2"/>
      <c r="F632" s="2"/>
      <c r="G632" s="2"/>
      <c r="H632" s="2"/>
      <c r="I632" s="2"/>
      <c r="J632" s="2"/>
      <c r="K632" s="2"/>
    </row>
    <row r="633" spans="2:11" x14ac:dyDescent="0.35">
      <c r="B633" s="45"/>
      <c r="C633" s="2"/>
      <c r="D633" s="2"/>
      <c r="E633" s="2"/>
      <c r="F633" s="2"/>
      <c r="G633" s="2"/>
      <c r="H633" s="2"/>
      <c r="I633" s="2"/>
      <c r="J633" s="2"/>
      <c r="K633" s="2"/>
    </row>
    <row r="634" spans="2:11" x14ac:dyDescent="0.35">
      <c r="B634" s="45"/>
      <c r="C634" s="2"/>
      <c r="D634" s="2"/>
      <c r="E634" s="2"/>
      <c r="F634" s="2"/>
      <c r="G634" s="2"/>
      <c r="H634" s="2"/>
      <c r="I634" s="2"/>
      <c r="J634" s="2"/>
      <c r="K634" s="2"/>
    </row>
    <row r="635" spans="2:11" x14ac:dyDescent="0.35">
      <c r="B635" s="45"/>
      <c r="C635" s="2"/>
      <c r="D635" s="2"/>
      <c r="E635" s="2"/>
      <c r="F635" s="2"/>
      <c r="G635" s="2"/>
      <c r="H635" s="2"/>
      <c r="I635" s="2"/>
      <c r="J635" s="2"/>
      <c r="K635" s="2"/>
    </row>
    <row r="636" spans="2:11" x14ac:dyDescent="0.35">
      <c r="B636" s="45"/>
      <c r="C636" s="2"/>
      <c r="D636" s="2"/>
      <c r="E636" s="2"/>
      <c r="F636" s="2"/>
      <c r="G636" s="2"/>
      <c r="H636" s="2"/>
      <c r="I636" s="2"/>
      <c r="J636" s="2"/>
      <c r="K636" s="2"/>
    </row>
    <row r="637" spans="2:11" x14ac:dyDescent="0.35">
      <c r="B637" s="45"/>
      <c r="C637" s="2"/>
      <c r="D637" s="2"/>
      <c r="E637" s="2"/>
      <c r="F637" s="2"/>
      <c r="G637" s="2"/>
      <c r="H637" s="2"/>
      <c r="I637" s="2"/>
      <c r="J637" s="2"/>
      <c r="K637" s="2"/>
    </row>
    <row r="638" spans="2:11" x14ac:dyDescent="0.35">
      <c r="B638" s="45"/>
      <c r="C638" s="2"/>
      <c r="D638" s="2"/>
      <c r="E638" s="2"/>
      <c r="F638" s="2"/>
      <c r="G638" s="2"/>
      <c r="H638" s="2"/>
      <c r="I638" s="2"/>
      <c r="J638" s="2"/>
      <c r="K638" s="2"/>
    </row>
    <row r="639" spans="2:11" x14ac:dyDescent="0.35">
      <c r="B639" s="45"/>
      <c r="C639" s="2"/>
      <c r="D639" s="2"/>
      <c r="E639" s="2"/>
      <c r="F639" s="2"/>
      <c r="G639" s="2"/>
      <c r="H639" s="2"/>
      <c r="I639" s="2"/>
      <c r="J639" s="2"/>
      <c r="K639" s="2"/>
    </row>
    <row r="640" spans="2:11" x14ac:dyDescent="0.35">
      <c r="B640" s="45"/>
      <c r="C640" s="2"/>
      <c r="D640" s="2"/>
      <c r="E640" s="2"/>
      <c r="F640" s="2"/>
      <c r="G640" s="2"/>
      <c r="H640" s="2"/>
      <c r="I640" s="2"/>
      <c r="J640" s="2"/>
      <c r="K640" s="2"/>
    </row>
    <row r="641" spans="2:11" x14ac:dyDescent="0.35">
      <c r="B641" s="45"/>
      <c r="C641" s="2"/>
      <c r="D641" s="2"/>
      <c r="E641" s="2"/>
      <c r="F641" s="2"/>
      <c r="G641" s="2"/>
      <c r="H641" s="2"/>
      <c r="I641" s="2"/>
      <c r="J641" s="2"/>
      <c r="K641" s="2"/>
    </row>
    <row r="642" spans="2:11" x14ac:dyDescent="0.35">
      <c r="B642" s="45"/>
      <c r="C642" s="2"/>
      <c r="D642" s="2"/>
      <c r="E642" s="2"/>
      <c r="F642" s="2"/>
      <c r="G642" s="2"/>
      <c r="H642" s="2"/>
      <c r="I642" s="2"/>
      <c r="J642" s="2"/>
      <c r="K642" s="2"/>
    </row>
    <row r="643" spans="2:11" x14ac:dyDescent="0.35">
      <c r="B643" s="45"/>
      <c r="C643" s="2"/>
      <c r="D643" s="2"/>
      <c r="E643" s="2"/>
      <c r="F643" s="2"/>
      <c r="G643" s="2"/>
      <c r="H643" s="2"/>
      <c r="I643" s="2"/>
      <c r="J643" s="2"/>
      <c r="K643" s="2"/>
    </row>
    <row r="644" spans="2:11" x14ac:dyDescent="0.35">
      <c r="B644" s="45"/>
      <c r="C644" s="2"/>
      <c r="D644" s="2"/>
      <c r="E644" s="2"/>
      <c r="F644" s="2"/>
      <c r="G644" s="2"/>
      <c r="H644" s="2"/>
      <c r="I644" s="2"/>
      <c r="J644" s="2"/>
      <c r="K644" s="2"/>
    </row>
    <row r="645" spans="2:11" x14ac:dyDescent="0.35">
      <c r="B645" s="45"/>
      <c r="C645" s="2"/>
      <c r="D645" s="2"/>
      <c r="E645" s="2"/>
      <c r="F645" s="2"/>
      <c r="G645" s="2"/>
      <c r="H645" s="2"/>
      <c r="I645" s="2"/>
      <c r="J645" s="2"/>
      <c r="K645" s="2"/>
    </row>
    <row r="646" spans="2:11" x14ac:dyDescent="0.35">
      <c r="B646" s="45"/>
      <c r="C646" s="2"/>
      <c r="D646" s="2"/>
      <c r="E646" s="2"/>
      <c r="F646" s="2"/>
      <c r="G646" s="2"/>
      <c r="H646" s="2"/>
      <c r="I646" s="2"/>
      <c r="J646" s="2"/>
      <c r="K646" s="2"/>
    </row>
    <row r="647" spans="2:11" x14ac:dyDescent="0.35">
      <c r="B647" s="45"/>
      <c r="C647" s="2"/>
      <c r="D647" s="2"/>
      <c r="E647" s="2"/>
      <c r="F647" s="2"/>
      <c r="G647" s="2"/>
      <c r="H647" s="2"/>
      <c r="I647" s="2"/>
      <c r="J647" s="2"/>
      <c r="K647" s="2"/>
    </row>
    <row r="648" spans="2:11" x14ac:dyDescent="0.35">
      <c r="B648" s="45"/>
      <c r="C648" s="2"/>
      <c r="D648" s="2"/>
      <c r="E648" s="2"/>
      <c r="F648" s="2"/>
      <c r="G648" s="2"/>
      <c r="H648" s="2"/>
      <c r="I648" s="2"/>
      <c r="J648" s="2"/>
      <c r="K648" s="2"/>
    </row>
    <row r="649" spans="2:11" x14ac:dyDescent="0.35">
      <c r="B649" s="45"/>
      <c r="C649" s="2"/>
      <c r="D649" s="2"/>
      <c r="E649" s="2"/>
      <c r="F649" s="2"/>
      <c r="G649" s="2"/>
      <c r="H649" s="2"/>
      <c r="I649" s="2"/>
      <c r="J649" s="2"/>
      <c r="K649" s="2"/>
    </row>
    <row r="650" spans="2:11" x14ac:dyDescent="0.35">
      <c r="B650" s="45"/>
      <c r="C650" s="2"/>
      <c r="D650" s="2"/>
      <c r="E650" s="2"/>
      <c r="F650" s="2"/>
      <c r="G650" s="2"/>
      <c r="H650" s="2"/>
      <c r="I650" s="2"/>
      <c r="J650" s="2"/>
      <c r="K650" s="2"/>
    </row>
    <row r="651" spans="2:11" x14ac:dyDescent="0.35">
      <c r="B651" s="45"/>
      <c r="C651" s="2"/>
      <c r="D651" s="2"/>
      <c r="E651" s="2"/>
      <c r="F651" s="2"/>
      <c r="G651" s="2"/>
      <c r="H651" s="2"/>
      <c r="I651" s="2"/>
      <c r="J651" s="2"/>
      <c r="K651" s="2"/>
    </row>
    <row r="652" spans="2:11" x14ac:dyDescent="0.35">
      <c r="B652" s="45"/>
      <c r="C652" s="2"/>
      <c r="D652" s="2"/>
      <c r="E652" s="2"/>
      <c r="F652" s="2"/>
      <c r="G652" s="2"/>
      <c r="H652" s="2"/>
      <c r="I652" s="2"/>
      <c r="J652" s="2"/>
      <c r="K652" s="2"/>
    </row>
    <row r="653" spans="2:11" x14ac:dyDescent="0.35">
      <c r="B653" s="45"/>
      <c r="C653" s="2"/>
      <c r="D653" s="2"/>
      <c r="E653" s="2"/>
      <c r="F653" s="2"/>
      <c r="G653" s="2"/>
      <c r="H653" s="2"/>
      <c r="I653" s="2"/>
      <c r="J653" s="2"/>
      <c r="K653" s="2"/>
    </row>
    <row r="654" spans="2:11" x14ac:dyDescent="0.35">
      <c r="B654" s="45"/>
      <c r="C654" s="2"/>
      <c r="D654" s="2"/>
      <c r="E654" s="2"/>
      <c r="F654" s="2"/>
      <c r="G654" s="2"/>
      <c r="H654" s="2"/>
      <c r="I654" s="2"/>
      <c r="J654" s="2"/>
      <c r="K654" s="2"/>
    </row>
    <row r="655" spans="2:11" x14ac:dyDescent="0.35">
      <c r="B655" s="45"/>
      <c r="C655" s="2"/>
      <c r="D655" s="2"/>
      <c r="E655" s="2"/>
      <c r="F655" s="2"/>
      <c r="G655" s="2"/>
      <c r="H655" s="2"/>
      <c r="I655" s="2"/>
      <c r="J655" s="2"/>
      <c r="K655" s="2"/>
    </row>
    <row r="656" spans="2:11" x14ac:dyDescent="0.35">
      <c r="B656" s="45"/>
      <c r="C656" s="2"/>
      <c r="D656" s="2"/>
      <c r="E656" s="2"/>
      <c r="F656" s="2"/>
      <c r="G656" s="2"/>
      <c r="H656" s="2"/>
      <c r="I656" s="2"/>
      <c r="J656" s="2"/>
      <c r="K656" s="2"/>
    </row>
    <row r="657" spans="2:11" x14ac:dyDescent="0.35">
      <c r="B657" s="45"/>
      <c r="C657" s="2"/>
      <c r="D657" s="2"/>
      <c r="E657" s="2"/>
      <c r="F657" s="2"/>
      <c r="G657" s="2"/>
      <c r="H657" s="2"/>
      <c r="I657" s="2"/>
      <c r="J657" s="2"/>
      <c r="K657" s="2"/>
    </row>
    <row r="658" spans="2:11" x14ac:dyDescent="0.35">
      <c r="B658" s="45"/>
      <c r="C658" s="2"/>
      <c r="D658" s="2"/>
      <c r="E658" s="2"/>
      <c r="F658" s="2"/>
      <c r="G658" s="2"/>
      <c r="H658" s="2"/>
      <c r="I658" s="2"/>
      <c r="J658" s="2"/>
      <c r="K658" s="2"/>
    </row>
    <row r="659" spans="2:11" x14ac:dyDescent="0.35">
      <c r="B659" s="45"/>
      <c r="C659" s="2"/>
      <c r="D659" s="2"/>
      <c r="E659" s="2"/>
      <c r="F659" s="2"/>
      <c r="G659" s="2"/>
      <c r="H659" s="2"/>
      <c r="I659" s="2"/>
      <c r="J659" s="2"/>
      <c r="K659" s="2"/>
    </row>
    <row r="660" spans="2:11" x14ac:dyDescent="0.35">
      <c r="B660" s="45"/>
      <c r="C660" s="2"/>
      <c r="D660" s="2"/>
      <c r="E660" s="2"/>
      <c r="F660" s="2"/>
      <c r="G660" s="2"/>
      <c r="H660" s="2"/>
      <c r="I660" s="2"/>
      <c r="J660" s="2"/>
      <c r="K660" s="2"/>
    </row>
    <row r="661" spans="2:11" x14ac:dyDescent="0.35">
      <c r="B661" s="45"/>
      <c r="C661" s="2"/>
      <c r="D661" s="2"/>
      <c r="E661" s="2"/>
      <c r="F661" s="2"/>
      <c r="G661" s="2"/>
      <c r="H661" s="2"/>
      <c r="I661" s="2"/>
      <c r="J661" s="2"/>
      <c r="K661" s="2"/>
    </row>
    <row r="662" spans="2:11" x14ac:dyDescent="0.35">
      <c r="B662" s="45"/>
      <c r="C662" s="2"/>
      <c r="D662" s="2"/>
      <c r="E662" s="2"/>
      <c r="F662" s="2"/>
      <c r="G662" s="2"/>
      <c r="H662" s="2"/>
      <c r="I662" s="2"/>
      <c r="J662" s="2"/>
      <c r="K662" s="2"/>
    </row>
    <row r="663" spans="2:11" x14ac:dyDescent="0.35">
      <c r="B663" s="45"/>
      <c r="C663" s="2"/>
      <c r="D663" s="2"/>
      <c r="E663" s="2"/>
      <c r="F663" s="2"/>
      <c r="G663" s="2"/>
      <c r="H663" s="2"/>
      <c r="I663" s="2"/>
      <c r="J663" s="2"/>
      <c r="K663" s="2"/>
    </row>
    <row r="664" spans="2:11" x14ac:dyDescent="0.35">
      <c r="B664" s="45"/>
      <c r="C664" s="2"/>
      <c r="D664" s="2"/>
      <c r="E664" s="2"/>
      <c r="F664" s="2"/>
      <c r="G664" s="2"/>
      <c r="H664" s="2"/>
      <c r="I664" s="2"/>
      <c r="J664" s="2"/>
      <c r="K664" s="2"/>
    </row>
    <row r="665" spans="2:11" x14ac:dyDescent="0.35">
      <c r="B665" s="45"/>
      <c r="C665" s="2"/>
      <c r="D665" s="2"/>
      <c r="E665" s="2"/>
      <c r="F665" s="2"/>
      <c r="G665" s="2"/>
      <c r="H665" s="2"/>
      <c r="I665" s="2"/>
      <c r="J665" s="2"/>
      <c r="K665" s="2"/>
    </row>
    <row r="666" spans="2:11" x14ac:dyDescent="0.35">
      <c r="B666" s="45"/>
      <c r="C666" s="2"/>
      <c r="D666" s="2"/>
      <c r="E666" s="2"/>
      <c r="F666" s="2"/>
      <c r="G666" s="2"/>
      <c r="H666" s="2"/>
      <c r="I666" s="2"/>
      <c r="J666" s="2"/>
      <c r="K666" s="2"/>
    </row>
    <row r="667" spans="2:11" x14ac:dyDescent="0.35">
      <c r="B667" s="45"/>
      <c r="C667" s="2"/>
      <c r="D667" s="2"/>
      <c r="E667" s="2"/>
      <c r="F667" s="2"/>
      <c r="G667" s="2"/>
      <c r="H667" s="2"/>
      <c r="I667" s="2"/>
      <c r="J667" s="2"/>
      <c r="K667" s="2"/>
    </row>
    <row r="668" spans="2:11" x14ac:dyDescent="0.35">
      <c r="B668" s="45"/>
      <c r="C668" s="2"/>
      <c r="D668" s="2"/>
      <c r="E668" s="2"/>
      <c r="F668" s="2"/>
      <c r="G668" s="2"/>
      <c r="H668" s="2"/>
      <c r="I668" s="2"/>
      <c r="J668" s="2"/>
      <c r="K668" s="2"/>
    </row>
    <row r="669" spans="2:11" x14ac:dyDescent="0.35">
      <c r="B669" s="45"/>
      <c r="C669" s="2"/>
      <c r="D669" s="2"/>
      <c r="E669" s="2"/>
      <c r="F669" s="2"/>
      <c r="G669" s="2"/>
      <c r="H669" s="2"/>
      <c r="I669" s="2"/>
      <c r="J669" s="2"/>
      <c r="K669" s="2"/>
    </row>
    <row r="670" spans="2:11" x14ac:dyDescent="0.35">
      <c r="B670" s="45"/>
      <c r="C670" s="2"/>
      <c r="D670" s="2"/>
      <c r="E670" s="2"/>
      <c r="F670" s="2"/>
      <c r="G670" s="2"/>
      <c r="H670" s="2"/>
      <c r="I670" s="2"/>
      <c r="J670" s="2"/>
      <c r="K670" s="2"/>
    </row>
    <row r="671" spans="2:11" x14ac:dyDescent="0.35">
      <c r="B671" s="45"/>
      <c r="C671" s="2"/>
      <c r="D671" s="2"/>
      <c r="E671" s="2"/>
      <c r="F671" s="2"/>
      <c r="G671" s="2"/>
      <c r="H671" s="2"/>
      <c r="I671" s="2"/>
      <c r="J671" s="2"/>
      <c r="K671" s="2"/>
    </row>
    <row r="672" spans="2:11" x14ac:dyDescent="0.35">
      <c r="B672" s="45"/>
      <c r="C672" s="2"/>
      <c r="D672" s="2"/>
      <c r="E672" s="2"/>
      <c r="F672" s="2"/>
      <c r="G672" s="2"/>
      <c r="H672" s="2"/>
      <c r="I672" s="2"/>
      <c r="J672" s="2"/>
      <c r="K672" s="2"/>
    </row>
    <row r="673" spans="2:11" x14ac:dyDescent="0.35">
      <c r="B673" s="45"/>
      <c r="C673" s="2"/>
      <c r="D673" s="2"/>
      <c r="E673" s="2"/>
      <c r="F673" s="2"/>
      <c r="G673" s="2"/>
      <c r="H673" s="2"/>
      <c r="I673" s="2"/>
      <c r="J673" s="2"/>
      <c r="K673" s="2"/>
    </row>
    <row r="674" spans="2:11" x14ac:dyDescent="0.35">
      <c r="B674" s="45"/>
      <c r="C674" s="2"/>
      <c r="D674" s="2"/>
      <c r="E674" s="2"/>
      <c r="F674" s="2"/>
      <c r="G674" s="2"/>
      <c r="H674" s="2"/>
      <c r="I674" s="2"/>
      <c r="J674" s="2"/>
      <c r="K674" s="2"/>
    </row>
    <row r="675" spans="2:11" x14ac:dyDescent="0.35">
      <c r="B675" s="45"/>
      <c r="C675" s="2"/>
      <c r="D675" s="2"/>
      <c r="E675" s="2"/>
      <c r="F675" s="2"/>
      <c r="G675" s="2"/>
      <c r="H675" s="2"/>
      <c r="I675" s="2"/>
      <c r="J675" s="2"/>
      <c r="K675" s="2"/>
    </row>
    <row r="676" spans="2:11" x14ac:dyDescent="0.35">
      <c r="B676" s="45"/>
      <c r="C676" s="2"/>
      <c r="D676" s="2"/>
      <c r="E676" s="2"/>
      <c r="F676" s="2"/>
      <c r="G676" s="2"/>
      <c r="H676" s="2"/>
      <c r="I676" s="2"/>
      <c r="J676" s="2"/>
      <c r="K676" s="2"/>
    </row>
    <row r="677" spans="2:11" x14ac:dyDescent="0.35">
      <c r="B677" s="45"/>
      <c r="C677" s="2"/>
      <c r="D677" s="2"/>
      <c r="E677" s="2"/>
      <c r="F677" s="2"/>
      <c r="G677" s="2"/>
      <c r="H677" s="2"/>
      <c r="I677" s="2"/>
      <c r="J677" s="2"/>
      <c r="K677" s="2"/>
    </row>
    <row r="678" spans="2:11" x14ac:dyDescent="0.35">
      <c r="B678" s="45"/>
      <c r="C678" s="2"/>
      <c r="D678" s="2"/>
      <c r="E678" s="2"/>
      <c r="F678" s="2"/>
      <c r="G678" s="2"/>
      <c r="H678" s="2"/>
      <c r="I678" s="2"/>
      <c r="J678" s="2"/>
      <c r="K678" s="2"/>
    </row>
    <row r="679" spans="2:11" x14ac:dyDescent="0.35">
      <c r="B679" s="45"/>
      <c r="C679" s="2"/>
      <c r="D679" s="2"/>
      <c r="E679" s="2"/>
      <c r="F679" s="2"/>
      <c r="G679" s="2"/>
      <c r="H679" s="2"/>
      <c r="I679" s="2"/>
      <c r="J679" s="2"/>
      <c r="K679" s="2"/>
    </row>
    <row r="680" spans="2:11" x14ac:dyDescent="0.35">
      <c r="B680" s="45"/>
      <c r="C680" s="2"/>
      <c r="D680" s="2"/>
      <c r="E680" s="2"/>
      <c r="F680" s="2"/>
      <c r="G680" s="2"/>
      <c r="H680" s="2"/>
      <c r="I680" s="2"/>
      <c r="J680" s="2"/>
      <c r="K680" s="2"/>
    </row>
    <row r="681" spans="2:11" x14ac:dyDescent="0.35">
      <c r="B681" s="45"/>
      <c r="C681" s="2"/>
      <c r="D681" s="2"/>
      <c r="E681" s="2"/>
      <c r="F681" s="2"/>
      <c r="G681" s="2"/>
      <c r="H681" s="2"/>
      <c r="I681" s="2"/>
      <c r="J681" s="2"/>
      <c r="K681" s="2"/>
    </row>
    <row r="682" spans="2:11" x14ac:dyDescent="0.35">
      <c r="B682" s="45"/>
      <c r="C682" s="2"/>
      <c r="D682" s="2"/>
      <c r="E682" s="2"/>
      <c r="F682" s="2"/>
      <c r="G682" s="2"/>
      <c r="H682" s="2"/>
      <c r="I682" s="2"/>
      <c r="J682" s="2"/>
      <c r="K682" s="2"/>
    </row>
  </sheetData>
  <mergeCells count="18">
    <mergeCell ref="D61:K61"/>
    <mergeCell ref="D57:K57"/>
    <mergeCell ref="D60:K60"/>
    <mergeCell ref="C8:C9"/>
    <mergeCell ref="D8:D9"/>
    <mergeCell ref="E8:E9"/>
    <mergeCell ref="F8:F9"/>
    <mergeCell ref="G8:G9"/>
    <mergeCell ref="H8:H9"/>
    <mergeCell ref="I8:I9"/>
    <mergeCell ref="J8:J9"/>
    <mergeCell ref="K8:K9"/>
    <mergeCell ref="B5:L5"/>
    <mergeCell ref="B6:L6"/>
    <mergeCell ref="B2:L2"/>
    <mergeCell ref="B3:L3"/>
    <mergeCell ref="D58:K58"/>
    <mergeCell ref="B4:L4"/>
  </mergeCells>
  <dataValidations count="3">
    <dataValidation type="list" allowBlank="1" showInputMessage="1" showErrorMessage="1" sqref="I46:I54" xr:uid="{082BFDDF-09BA-486D-A79E-D7FEA8362978}">
      <formula1>$I$75:$I$76</formula1>
    </dataValidation>
    <dataValidation type="list" allowBlank="1" showInputMessage="1" showErrorMessage="1" sqref="I27:I45" xr:uid="{2CFBCE1D-EB8E-496C-A4C9-8C9432858EDE}">
      <formula1>$I$91:$I$92</formula1>
    </dataValidation>
    <dataValidation type="list" allowBlank="1" showInputMessage="1" showErrorMessage="1" sqref="I10:I26" xr:uid="{67FEC0AB-E40E-429F-9401-8AEE6AC3C246}">
      <formula1>$I$80:$I$81</formula1>
    </dataValidation>
  </dataValidations>
  <hyperlinks>
    <hyperlink ref="H35" r:id="rId1" display="https://learning.acsgcipr.org/process-design/route-selection/recap-of-the-select-criteria/" xr:uid="{76D6BF75-2020-4050-B052-02A65685140B}"/>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F232D-9BE7-4452-A54E-9A9E910EF25A}">
  <dimension ref="A1:CU133"/>
  <sheetViews>
    <sheetView topLeftCell="F21" zoomScale="64" zoomScaleNormal="100" workbookViewId="0">
      <selection activeCell="I25" sqref="I25"/>
    </sheetView>
  </sheetViews>
  <sheetFormatPr defaultRowHeight="14.5" x14ac:dyDescent="0.35"/>
  <cols>
    <col min="1" max="1" width="9.1796875" style="45"/>
    <col min="2" max="2" width="10.26953125" customWidth="1"/>
    <col min="3" max="3" width="18.26953125" bestFit="1" customWidth="1"/>
    <col min="4" max="4" width="10.54296875" bestFit="1" customWidth="1"/>
    <col min="5" max="5" width="15.54296875" customWidth="1"/>
    <col min="6" max="6" width="10.54296875" bestFit="1" customWidth="1"/>
    <col min="7" max="7" width="51" customWidth="1"/>
    <col min="8" max="8" width="51.7265625" bestFit="1" customWidth="1"/>
    <col min="9" max="9" width="146.1796875" bestFit="1" customWidth="1"/>
    <col min="10" max="10" width="9" customWidth="1"/>
    <col min="11" max="92" width="9.1796875" style="45"/>
  </cols>
  <sheetData>
    <row r="1" spans="2:10" s="45" customFormat="1" x14ac:dyDescent="0.35"/>
    <row r="2" spans="2:10" ht="20" x14ac:dyDescent="0.4">
      <c r="B2" s="241" t="s">
        <v>10</v>
      </c>
      <c r="C2" s="241"/>
      <c r="D2" s="241"/>
      <c r="E2" s="241"/>
      <c r="F2" s="241"/>
      <c r="G2" s="241"/>
      <c r="H2" s="241"/>
      <c r="I2" s="241"/>
      <c r="J2" s="241"/>
    </row>
    <row r="3" spans="2:10" ht="18" x14ac:dyDescent="0.4">
      <c r="B3" s="242" t="s">
        <v>41</v>
      </c>
      <c r="C3" s="242"/>
      <c r="D3" s="242"/>
      <c r="E3" s="242"/>
      <c r="F3" s="242"/>
      <c r="G3" s="242"/>
      <c r="H3" s="242"/>
      <c r="I3" s="242"/>
      <c r="J3" s="242"/>
    </row>
    <row r="4" spans="2:10" x14ac:dyDescent="0.35">
      <c r="B4" s="243" t="s">
        <v>354</v>
      </c>
      <c r="C4" s="243"/>
      <c r="D4" s="243"/>
      <c r="E4" s="243"/>
      <c r="F4" s="243"/>
      <c r="G4" s="243"/>
      <c r="H4" s="243"/>
      <c r="I4" s="243"/>
      <c r="J4" s="243"/>
    </row>
    <row r="5" spans="2:10" x14ac:dyDescent="0.35">
      <c r="B5" s="244" t="s">
        <v>2</v>
      </c>
      <c r="C5" s="244"/>
      <c r="D5" s="244"/>
      <c r="E5" s="244"/>
      <c r="F5" s="244"/>
      <c r="G5" s="244"/>
      <c r="H5" s="244"/>
      <c r="I5" s="244"/>
      <c r="J5" s="244"/>
    </row>
    <row r="6" spans="2:10" x14ac:dyDescent="0.35">
      <c r="B6" s="244" t="s">
        <v>631</v>
      </c>
      <c r="C6" s="244"/>
      <c r="D6" s="244"/>
      <c r="E6" s="244"/>
      <c r="F6" s="244"/>
      <c r="G6" s="244"/>
      <c r="H6" s="244"/>
      <c r="I6" s="244"/>
      <c r="J6" s="244"/>
    </row>
    <row r="7" spans="2:10" x14ac:dyDescent="0.35">
      <c r="B7" s="131"/>
      <c r="C7" s="131"/>
      <c r="D7" s="131"/>
      <c r="E7" s="131"/>
      <c r="F7" s="131"/>
      <c r="G7" s="131"/>
      <c r="H7" s="44"/>
      <c r="I7" s="44"/>
      <c r="J7" s="44"/>
    </row>
    <row r="8" spans="2:10" x14ac:dyDescent="0.35">
      <c r="B8" s="44"/>
      <c r="C8" s="240" t="s">
        <v>632</v>
      </c>
      <c r="D8" s="240" t="s">
        <v>43</v>
      </c>
      <c r="E8" s="240" t="s">
        <v>44</v>
      </c>
      <c r="F8" s="240" t="s">
        <v>45</v>
      </c>
      <c r="G8" s="240" t="s">
        <v>46</v>
      </c>
      <c r="H8" s="240" t="s">
        <v>48</v>
      </c>
      <c r="I8" s="240" t="s">
        <v>401</v>
      </c>
      <c r="J8" s="44"/>
    </row>
    <row r="9" spans="2:10" x14ac:dyDescent="0.35">
      <c r="B9" s="56"/>
      <c r="C9" s="240"/>
      <c r="D9" s="240"/>
      <c r="E9" s="240"/>
      <c r="F9" s="240"/>
      <c r="G9" s="240"/>
      <c r="H9" s="240"/>
      <c r="I9" s="240"/>
      <c r="J9" s="44"/>
    </row>
    <row r="10" spans="2:10" ht="80.150000000000006" customHeight="1" x14ac:dyDescent="0.35">
      <c r="B10" s="44"/>
      <c r="C10" s="62" t="s">
        <v>66</v>
      </c>
      <c r="D10" s="113" t="s">
        <v>153</v>
      </c>
      <c r="E10" s="113" t="s">
        <v>89</v>
      </c>
      <c r="F10" s="113" t="s">
        <v>58</v>
      </c>
      <c r="G10" s="114" t="s">
        <v>633</v>
      </c>
      <c r="H10" s="108"/>
      <c r="I10" s="115" t="s">
        <v>472</v>
      </c>
      <c r="J10" s="44"/>
    </row>
    <row r="11" spans="2:10" ht="25" x14ac:dyDescent="0.35">
      <c r="B11" s="44"/>
      <c r="C11" s="62" t="s">
        <v>66</v>
      </c>
      <c r="D11" s="113" t="s">
        <v>153</v>
      </c>
      <c r="E11" s="113" t="s">
        <v>154</v>
      </c>
      <c r="F11" s="113" t="s">
        <v>58</v>
      </c>
      <c r="G11" s="114" t="s">
        <v>374</v>
      </c>
      <c r="H11" s="108"/>
      <c r="I11" s="115" t="s">
        <v>473</v>
      </c>
      <c r="J11" s="44"/>
    </row>
    <row r="12" spans="2:10" ht="64.5" x14ac:dyDescent="0.35">
      <c r="B12" s="44"/>
      <c r="C12" s="179">
        <v>2</v>
      </c>
      <c r="D12" s="113" t="s">
        <v>153</v>
      </c>
      <c r="E12" s="113" t="s">
        <v>375</v>
      </c>
      <c r="F12" s="113" t="s">
        <v>70</v>
      </c>
      <c r="G12" s="114" t="s">
        <v>376</v>
      </c>
      <c r="H12" s="108"/>
      <c r="I12" s="202" t="s">
        <v>474</v>
      </c>
      <c r="J12" s="44"/>
    </row>
    <row r="13" spans="2:10" ht="37.5" x14ac:dyDescent="0.35">
      <c r="B13" s="44"/>
      <c r="C13" s="62" t="s">
        <v>66</v>
      </c>
      <c r="D13" s="113" t="s">
        <v>153</v>
      </c>
      <c r="E13" s="113" t="s">
        <v>378</v>
      </c>
      <c r="F13" s="113" t="s">
        <v>70</v>
      </c>
      <c r="G13" s="114" t="s">
        <v>377</v>
      </c>
      <c r="H13" s="108"/>
      <c r="I13" s="115" t="s">
        <v>475</v>
      </c>
      <c r="J13" s="44"/>
    </row>
    <row r="14" spans="2:10" ht="127" x14ac:dyDescent="0.35">
      <c r="B14" s="44"/>
      <c r="C14" s="179">
        <v>2</v>
      </c>
      <c r="D14" s="113" t="s">
        <v>153</v>
      </c>
      <c r="E14" s="113" t="s">
        <v>93</v>
      </c>
      <c r="F14" s="113" t="s">
        <v>53</v>
      </c>
      <c r="G14" s="114" t="s">
        <v>94</v>
      </c>
      <c r="H14" s="108"/>
      <c r="I14" s="115" t="s">
        <v>476</v>
      </c>
      <c r="J14" s="44"/>
    </row>
    <row r="15" spans="2:10" ht="87.5" x14ac:dyDescent="0.35">
      <c r="B15" s="44"/>
      <c r="C15" s="179">
        <v>2</v>
      </c>
      <c r="D15" s="113" t="s">
        <v>153</v>
      </c>
      <c r="E15" s="113" t="s">
        <v>156</v>
      </c>
      <c r="F15" s="113" t="s">
        <v>158</v>
      </c>
      <c r="G15" s="114" t="s">
        <v>379</v>
      </c>
      <c r="H15" s="108"/>
      <c r="I15" s="115" t="s">
        <v>634</v>
      </c>
      <c r="J15" s="44"/>
    </row>
    <row r="16" spans="2:10" ht="25" x14ac:dyDescent="0.35">
      <c r="B16" s="44"/>
      <c r="C16" s="62" t="s">
        <v>66</v>
      </c>
      <c r="D16" s="113" t="s">
        <v>153</v>
      </c>
      <c r="E16" s="113" t="s">
        <v>157</v>
      </c>
      <c r="F16" s="113" t="s">
        <v>158</v>
      </c>
      <c r="G16" s="114" t="s">
        <v>159</v>
      </c>
      <c r="H16" s="108"/>
      <c r="I16" s="115" t="s">
        <v>635</v>
      </c>
      <c r="J16" s="44"/>
    </row>
    <row r="17" spans="2:10" ht="62.5" x14ac:dyDescent="0.35">
      <c r="B17" s="44"/>
      <c r="C17" s="62" t="s">
        <v>66</v>
      </c>
      <c r="D17" s="113" t="s">
        <v>153</v>
      </c>
      <c r="E17" s="113" t="s">
        <v>380</v>
      </c>
      <c r="F17" s="113" t="s">
        <v>381</v>
      </c>
      <c r="G17" s="114" t="s">
        <v>382</v>
      </c>
      <c r="H17" s="108"/>
      <c r="I17" s="115" t="s">
        <v>477</v>
      </c>
      <c r="J17" s="44"/>
    </row>
    <row r="18" spans="2:10" ht="75" x14ac:dyDescent="0.35">
      <c r="B18" s="44"/>
      <c r="C18" s="62" t="s">
        <v>111</v>
      </c>
      <c r="D18" s="113" t="s">
        <v>153</v>
      </c>
      <c r="E18" s="113" t="s">
        <v>160</v>
      </c>
      <c r="F18" s="113" t="s">
        <v>53</v>
      </c>
      <c r="G18" s="114" t="s">
        <v>383</v>
      </c>
      <c r="H18" s="108"/>
      <c r="I18" s="115" t="s">
        <v>478</v>
      </c>
      <c r="J18" s="44"/>
    </row>
    <row r="19" spans="2:10" ht="62.5" x14ac:dyDescent="0.35">
      <c r="B19" s="44"/>
      <c r="C19" s="62" t="s">
        <v>111</v>
      </c>
      <c r="D19" s="113" t="s">
        <v>153</v>
      </c>
      <c r="E19" s="113" t="s">
        <v>384</v>
      </c>
      <c r="F19" s="113" t="s">
        <v>53</v>
      </c>
      <c r="G19" s="114" t="s">
        <v>385</v>
      </c>
      <c r="H19" s="108"/>
      <c r="I19" s="203" t="s">
        <v>479</v>
      </c>
      <c r="J19" s="44"/>
    </row>
    <row r="20" spans="2:10" ht="87.5" x14ac:dyDescent="0.35">
      <c r="B20" s="44"/>
      <c r="C20" s="62" t="s">
        <v>111</v>
      </c>
      <c r="D20" s="113" t="s">
        <v>153</v>
      </c>
      <c r="E20" s="113" t="s">
        <v>162</v>
      </c>
      <c r="F20" s="113" t="s">
        <v>70</v>
      </c>
      <c r="G20" s="114" t="s">
        <v>163</v>
      </c>
      <c r="H20" s="108"/>
      <c r="I20" s="115" t="s">
        <v>480</v>
      </c>
      <c r="J20" s="44"/>
    </row>
    <row r="21" spans="2:10" ht="125" x14ac:dyDescent="0.35">
      <c r="B21" s="44"/>
      <c r="C21" s="62" t="s">
        <v>95</v>
      </c>
      <c r="D21" s="113" t="s">
        <v>153</v>
      </c>
      <c r="E21" s="113" t="s">
        <v>119</v>
      </c>
      <c r="F21" s="113" t="s">
        <v>381</v>
      </c>
      <c r="G21" s="114" t="s">
        <v>386</v>
      </c>
      <c r="H21" s="108"/>
      <c r="I21" s="115" t="s">
        <v>481</v>
      </c>
      <c r="J21" s="44"/>
    </row>
    <row r="22" spans="2:10" ht="37.5" x14ac:dyDescent="0.35">
      <c r="B22" s="44"/>
      <c r="C22" s="62" t="s">
        <v>66</v>
      </c>
      <c r="D22" s="113" t="s">
        <v>153</v>
      </c>
      <c r="E22" s="113" t="s">
        <v>387</v>
      </c>
      <c r="F22" s="113" t="s">
        <v>58</v>
      </c>
      <c r="G22" s="114" t="s">
        <v>164</v>
      </c>
      <c r="H22" s="108"/>
      <c r="I22" s="203" t="s">
        <v>482</v>
      </c>
      <c r="J22" s="44"/>
    </row>
    <row r="23" spans="2:10" ht="37.5" x14ac:dyDescent="0.35">
      <c r="B23" s="44"/>
      <c r="C23" s="62" t="s">
        <v>111</v>
      </c>
      <c r="D23" s="113" t="s">
        <v>153</v>
      </c>
      <c r="E23" s="113" t="s">
        <v>388</v>
      </c>
      <c r="F23" s="113" t="s">
        <v>58</v>
      </c>
      <c r="G23" s="114" t="s">
        <v>389</v>
      </c>
      <c r="H23" s="108"/>
      <c r="I23" s="115" t="s">
        <v>483</v>
      </c>
      <c r="J23" s="44"/>
    </row>
    <row r="24" spans="2:10" ht="75" x14ac:dyDescent="0.35">
      <c r="B24" s="44"/>
      <c r="C24" s="62" t="s">
        <v>107</v>
      </c>
      <c r="D24" s="113" t="s">
        <v>153</v>
      </c>
      <c r="E24" s="113" t="s">
        <v>390</v>
      </c>
      <c r="F24" s="113" t="s">
        <v>53</v>
      </c>
      <c r="G24" s="114" t="s">
        <v>391</v>
      </c>
      <c r="H24" s="108"/>
      <c r="I24" s="115" t="s">
        <v>484</v>
      </c>
      <c r="J24" s="44"/>
    </row>
    <row r="25" spans="2:10" ht="50" x14ac:dyDescent="0.35">
      <c r="B25" s="44"/>
      <c r="C25" s="62" t="s">
        <v>111</v>
      </c>
      <c r="D25" s="113" t="s">
        <v>153</v>
      </c>
      <c r="E25" s="113" t="s">
        <v>166</v>
      </c>
      <c r="F25" s="113" t="s">
        <v>53</v>
      </c>
      <c r="G25" s="114" t="s">
        <v>636</v>
      </c>
      <c r="H25" s="108"/>
      <c r="I25" s="115" t="s">
        <v>485</v>
      </c>
      <c r="J25" s="44"/>
    </row>
    <row r="26" spans="2:10" ht="50" x14ac:dyDescent="0.35">
      <c r="B26" s="44"/>
      <c r="C26" s="62" t="s">
        <v>66</v>
      </c>
      <c r="D26" s="113" t="s">
        <v>153</v>
      </c>
      <c r="E26" s="113" t="s">
        <v>167</v>
      </c>
      <c r="F26" s="113" t="s">
        <v>58</v>
      </c>
      <c r="G26" s="114" t="s">
        <v>168</v>
      </c>
      <c r="H26" s="108"/>
      <c r="I26" s="115" t="s">
        <v>486</v>
      </c>
      <c r="J26" s="44"/>
    </row>
    <row r="27" spans="2:10" ht="100.5" x14ac:dyDescent="0.35">
      <c r="B27" s="44"/>
      <c r="C27" s="62" t="s">
        <v>66</v>
      </c>
      <c r="D27" s="113" t="s">
        <v>153</v>
      </c>
      <c r="E27" s="113" t="s">
        <v>394</v>
      </c>
      <c r="F27" s="113" t="s">
        <v>381</v>
      </c>
      <c r="G27" s="114" t="s">
        <v>392</v>
      </c>
      <c r="H27" s="108"/>
      <c r="I27" s="202" t="s">
        <v>487</v>
      </c>
      <c r="J27" s="44"/>
    </row>
    <row r="28" spans="2:10" ht="112.5" x14ac:dyDescent="0.35">
      <c r="B28" s="44"/>
      <c r="C28" s="62" t="s">
        <v>95</v>
      </c>
      <c r="D28" s="113" t="s">
        <v>153</v>
      </c>
      <c r="E28" s="113" t="s">
        <v>169</v>
      </c>
      <c r="F28" s="113" t="s">
        <v>53</v>
      </c>
      <c r="G28" s="114" t="s">
        <v>393</v>
      </c>
      <c r="H28" s="108"/>
      <c r="I28" s="115" t="s">
        <v>488</v>
      </c>
      <c r="J28" s="44"/>
    </row>
    <row r="29" spans="2:10" ht="75" x14ac:dyDescent="0.35">
      <c r="B29" s="44"/>
      <c r="C29" s="62" t="s">
        <v>95</v>
      </c>
      <c r="D29" s="113" t="s">
        <v>153</v>
      </c>
      <c r="E29" s="113" t="s">
        <v>170</v>
      </c>
      <c r="F29" s="113" t="s">
        <v>70</v>
      </c>
      <c r="G29" s="114" t="s">
        <v>395</v>
      </c>
      <c r="H29" s="108"/>
      <c r="I29" s="115" t="s">
        <v>489</v>
      </c>
      <c r="J29" s="44"/>
    </row>
    <row r="30" spans="2:10" ht="25" x14ac:dyDescent="0.35">
      <c r="B30" s="44"/>
      <c r="C30" s="62" t="s">
        <v>66</v>
      </c>
      <c r="D30" s="113" t="s">
        <v>153</v>
      </c>
      <c r="E30" s="113" t="s">
        <v>154</v>
      </c>
      <c r="F30" s="113" t="s">
        <v>58</v>
      </c>
      <c r="G30" s="114" t="s">
        <v>171</v>
      </c>
      <c r="H30" s="108"/>
      <c r="I30" s="115" t="s">
        <v>490</v>
      </c>
      <c r="J30" s="44"/>
    </row>
    <row r="31" spans="2:10" ht="50" x14ac:dyDescent="0.35">
      <c r="B31" s="44"/>
      <c r="C31" s="62" t="s">
        <v>95</v>
      </c>
      <c r="D31" s="113" t="s">
        <v>153</v>
      </c>
      <c r="E31" s="113" t="s">
        <v>375</v>
      </c>
      <c r="F31" s="113" t="s">
        <v>53</v>
      </c>
      <c r="G31" s="114" t="s">
        <v>399</v>
      </c>
      <c r="H31" s="108"/>
      <c r="I31" s="115" t="s">
        <v>491</v>
      </c>
      <c r="J31" s="44"/>
    </row>
    <row r="32" spans="2:10" ht="25" x14ac:dyDescent="0.35">
      <c r="B32" s="44"/>
      <c r="C32" s="62" t="s">
        <v>66</v>
      </c>
      <c r="D32" s="113" t="s">
        <v>153</v>
      </c>
      <c r="E32" s="113" t="s">
        <v>172</v>
      </c>
      <c r="F32" s="113" t="s">
        <v>158</v>
      </c>
      <c r="G32" s="114" t="s">
        <v>173</v>
      </c>
      <c r="H32" s="108"/>
      <c r="I32" s="115" t="s">
        <v>492</v>
      </c>
      <c r="J32" s="44"/>
    </row>
    <row r="33" spans="2:10" ht="37.5" x14ac:dyDescent="0.35">
      <c r="B33" s="44"/>
      <c r="C33" s="62" t="s">
        <v>111</v>
      </c>
      <c r="D33" s="113" t="s">
        <v>153</v>
      </c>
      <c r="E33" s="113" t="s">
        <v>174</v>
      </c>
      <c r="F33" s="113" t="s">
        <v>158</v>
      </c>
      <c r="G33" s="114" t="s">
        <v>396</v>
      </c>
      <c r="H33" s="108"/>
      <c r="I33" s="115" t="s">
        <v>493</v>
      </c>
      <c r="J33" s="44"/>
    </row>
    <row r="34" spans="2:10" ht="25" x14ac:dyDescent="0.35">
      <c r="B34" s="44"/>
      <c r="C34" s="62" t="s">
        <v>111</v>
      </c>
      <c r="D34" s="113" t="s">
        <v>153</v>
      </c>
      <c r="E34" s="113" t="s">
        <v>93</v>
      </c>
      <c r="F34" s="113" t="s">
        <v>53</v>
      </c>
      <c r="G34" s="114" t="s">
        <v>175</v>
      </c>
      <c r="H34" s="108"/>
      <c r="I34" s="115" t="s">
        <v>494</v>
      </c>
      <c r="J34" s="44"/>
    </row>
    <row r="35" spans="2:10" ht="37.5" x14ac:dyDescent="0.35">
      <c r="B35" s="44"/>
      <c r="C35" s="62" t="s">
        <v>95</v>
      </c>
      <c r="D35" s="113" t="s">
        <v>153</v>
      </c>
      <c r="E35" s="113" t="s">
        <v>384</v>
      </c>
      <c r="F35" s="113" t="s">
        <v>70</v>
      </c>
      <c r="G35" s="114" t="s">
        <v>397</v>
      </c>
      <c r="H35" s="108"/>
      <c r="I35" s="115" t="s">
        <v>495</v>
      </c>
      <c r="J35" s="44"/>
    </row>
    <row r="36" spans="2:10" ht="50" x14ac:dyDescent="0.35">
      <c r="B36" s="44"/>
      <c r="C36" s="62" t="s">
        <v>95</v>
      </c>
      <c r="D36" s="113" t="s">
        <v>153</v>
      </c>
      <c r="E36" s="113" t="s">
        <v>162</v>
      </c>
      <c r="F36" s="113" t="s">
        <v>53</v>
      </c>
      <c r="G36" s="114" t="s">
        <v>178</v>
      </c>
      <c r="H36" s="108"/>
      <c r="I36" s="115" t="s">
        <v>496</v>
      </c>
      <c r="J36" s="44"/>
    </row>
    <row r="37" spans="2:10" ht="50" x14ac:dyDescent="0.35">
      <c r="B37" s="44"/>
      <c r="C37" s="62" t="s">
        <v>95</v>
      </c>
      <c r="D37" s="113" t="s">
        <v>153</v>
      </c>
      <c r="E37" s="113" t="s">
        <v>179</v>
      </c>
      <c r="F37" s="113" t="s">
        <v>58</v>
      </c>
      <c r="G37" s="114" t="s">
        <v>180</v>
      </c>
      <c r="H37" s="108"/>
      <c r="I37" s="115" t="s">
        <v>497</v>
      </c>
      <c r="J37" s="44"/>
    </row>
    <row r="38" spans="2:10" ht="75" x14ac:dyDescent="0.35">
      <c r="B38" s="44"/>
      <c r="C38" s="62" t="s">
        <v>95</v>
      </c>
      <c r="D38" s="113" t="s">
        <v>153</v>
      </c>
      <c r="E38" s="113" t="s">
        <v>167</v>
      </c>
      <c r="F38" s="113" t="s">
        <v>53</v>
      </c>
      <c r="G38" s="114" t="s">
        <v>181</v>
      </c>
      <c r="H38" s="108"/>
      <c r="I38" s="115" t="s">
        <v>498</v>
      </c>
      <c r="J38" s="44"/>
    </row>
    <row r="39" spans="2:10" ht="37.5" x14ac:dyDescent="0.35">
      <c r="B39" s="44"/>
      <c r="C39" s="62" t="s">
        <v>95</v>
      </c>
      <c r="D39" s="113" t="s">
        <v>153</v>
      </c>
      <c r="E39" s="113" t="s">
        <v>182</v>
      </c>
      <c r="F39" s="113" t="s">
        <v>58</v>
      </c>
      <c r="G39" s="114" t="s">
        <v>183</v>
      </c>
      <c r="H39" s="108"/>
      <c r="I39" s="115" t="s">
        <v>499</v>
      </c>
      <c r="J39" s="44"/>
    </row>
    <row r="40" spans="2:10" ht="37.5" x14ac:dyDescent="0.35">
      <c r="B40" s="44"/>
      <c r="C40" s="62" t="s">
        <v>111</v>
      </c>
      <c r="D40" s="113" t="s">
        <v>153</v>
      </c>
      <c r="E40" s="113" t="s">
        <v>398</v>
      </c>
      <c r="F40" s="113" t="s">
        <v>58</v>
      </c>
      <c r="G40" s="114" t="s">
        <v>184</v>
      </c>
      <c r="H40" s="108"/>
      <c r="I40" s="115" t="s">
        <v>500</v>
      </c>
      <c r="J40" s="44"/>
    </row>
    <row r="41" spans="2:10" ht="37.5" x14ac:dyDescent="0.35">
      <c r="B41" s="44"/>
      <c r="C41" s="62" t="s">
        <v>95</v>
      </c>
      <c r="D41" s="113" t="s">
        <v>153</v>
      </c>
      <c r="E41" s="113" t="s">
        <v>160</v>
      </c>
      <c r="F41" s="113" t="s">
        <v>53</v>
      </c>
      <c r="G41" s="114" t="s">
        <v>185</v>
      </c>
      <c r="H41" s="108"/>
      <c r="I41" s="115" t="s">
        <v>501</v>
      </c>
      <c r="J41" s="44"/>
    </row>
    <row r="42" spans="2:10" x14ac:dyDescent="0.35">
      <c r="B42" s="44"/>
      <c r="D42" s="28"/>
      <c r="E42" s="28"/>
      <c r="F42" s="28"/>
      <c r="G42" s="28"/>
      <c r="H42" s="28"/>
      <c r="I42" s="28"/>
      <c r="J42" s="28"/>
    </row>
    <row r="43" spans="2:10" x14ac:dyDescent="0.35">
      <c r="B43" s="44"/>
      <c r="C43" s="28"/>
      <c r="D43" s="28"/>
      <c r="E43" s="28"/>
      <c r="F43" s="28"/>
      <c r="G43" s="28"/>
      <c r="H43" s="28"/>
      <c r="I43" s="28"/>
      <c r="J43" s="44"/>
    </row>
    <row r="44" spans="2:10" x14ac:dyDescent="0.35">
      <c r="B44" s="44"/>
      <c r="C44" s="239" t="s">
        <v>151</v>
      </c>
      <c r="D44" s="239"/>
      <c r="E44" s="239"/>
      <c r="F44" s="239"/>
      <c r="G44" s="239"/>
      <c r="H44" s="239"/>
      <c r="I44" s="239"/>
      <c r="J44" s="44"/>
    </row>
    <row r="45" spans="2:10" ht="154.5" customHeight="1" x14ac:dyDescent="0.35">
      <c r="B45" s="44"/>
      <c r="C45" s="245" t="s">
        <v>571</v>
      </c>
      <c r="D45" s="246"/>
      <c r="E45" s="246"/>
      <c r="F45" s="246"/>
      <c r="G45" s="246"/>
      <c r="H45" s="246"/>
      <c r="I45" s="246"/>
      <c r="J45" s="44"/>
    </row>
    <row r="46" spans="2:10" x14ac:dyDescent="0.35">
      <c r="B46" s="44"/>
      <c r="C46" s="16"/>
      <c r="D46" s="16"/>
      <c r="E46" s="16"/>
      <c r="F46" s="16"/>
      <c r="G46" s="16"/>
      <c r="H46" s="18"/>
      <c r="I46" s="18"/>
      <c r="J46" s="44"/>
    </row>
    <row r="47" spans="2:10" ht="37.5" customHeight="1" x14ac:dyDescent="0.35">
      <c r="B47" s="44"/>
      <c r="C47" s="239" t="s">
        <v>152</v>
      </c>
      <c r="D47" s="239"/>
      <c r="E47" s="239"/>
      <c r="F47" s="239"/>
      <c r="G47" s="239"/>
      <c r="H47" s="239"/>
      <c r="I47" s="239"/>
      <c r="J47" s="44"/>
    </row>
    <row r="48" spans="2:10" ht="122.25" customHeight="1" x14ac:dyDescent="0.35">
      <c r="B48" s="44"/>
      <c r="C48" s="245"/>
      <c r="D48" s="246"/>
      <c r="E48" s="246"/>
      <c r="F48" s="246"/>
      <c r="G48" s="246"/>
      <c r="H48" s="246"/>
      <c r="I48" s="246"/>
      <c r="J48" s="44"/>
    </row>
    <row r="49" spans="2:99" x14ac:dyDescent="0.35">
      <c r="CO49" s="45"/>
      <c r="CP49" s="45"/>
      <c r="CQ49" s="45"/>
      <c r="CR49" s="45"/>
      <c r="CS49" s="45"/>
      <c r="CT49" s="45"/>
      <c r="CU49" s="45"/>
    </row>
    <row r="50" spans="2:99" x14ac:dyDescent="0.35">
      <c r="B50" s="45"/>
      <c r="C50" s="45"/>
      <c r="D50" s="45"/>
      <c r="E50" s="45"/>
      <c r="F50" s="45"/>
      <c r="G50" s="45"/>
      <c r="H50" s="45"/>
      <c r="I50" s="45"/>
      <c r="J50" s="45"/>
      <c r="CO50" s="45"/>
      <c r="CP50" s="45"/>
      <c r="CQ50" s="45"/>
      <c r="CR50" s="45"/>
      <c r="CS50" s="45"/>
      <c r="CT50" s="45"/>
      <c r="CU50" s="45"/>
    </row>
    <row r="51" spans="2:99" x14ac:dyDescent="0.35">
      <c r="B51" s="45"/>
      <c r="C51" s="45"/>
      <c r="D51" s="45"/>
      <c r="E51" s="45"/>
      <c r="F51" s="45"/>
      <c r="G51" s="45"/>
      <c r="H51" s="45"/>
      <c r="I51" s="45"/>
      <c r="J51" s="45"/>
      <c r="CO51" s="45"/>
      <c r="CP51" s="45"/>
      <c r="CQ51" s="45"/>
      <c r="CR51" s="45"/>
      <c r="CS51" s="45"/>
      <c r="CT51" s="45"/>
      <c r="CU51" s="45"/>
    </row>
    <row r="52" spans="2:99" x14ac:dyDescent="0.35">
      <c r="B52" s="45"/>
      <c r="C52" s="45"/>
      <c r="D52" s="45"/>
      <c r="E52" s="45"/>
      <c r="F52" s="45"/>
      <c r="G52" s="45"/>
      <c r="H52" s="45"/>
      <c r="I52" s="45"/>
      <c r="J52" s="45"/>
      <c r="CO52" s="45"/>
      <c r="CP52" s="45"/>
      <c r="CQ52" s="45"/>
      <c r="CR52" s="45"/>
      <c r="CS52" s="45"/>
      <c r="CT52" s="45"/>
      <c r="CU52" s="45"/>
    </row>
    <row r="53" spans="2:99" x14ac:dyDescent="0.35">
      <c r="B53" s="45"/>
      <c r="C53" s="45"/>
      <c r="D53" s="45"/>
      <c r="E53" s="45"/>
      <c r="F53" s="45"/>
      <c r="G53" s="45"/>
      <c r="H53" s="45"/>
      <c r="I53" s="45"/>
      <c r="J53" s="45"/>
      <c r="CO53" s="45"/>
      <c r="CP53" s="45"/>
      <c r="CQ53" s="45"/>
      <c r="CR53" s="45"/>
      <c r="CS53" s="45"/>
      <c r="CT53" s="45"/>
      <c r="CU53" s="45"/>
    </row>
    <row r="54" spans="2:99" x14ac:dyDescent="0.35">
      <c r="B54" s="45"/>
      <c r="C54" s="45"/>
      <c r="D54" s="45"/>
      <c r="E54" s="45"/>
      <c r="F54" s="45"/>
      <c r="G54" s="45"/>
      <c r="H54" s="45"/>
      <c r="I54" s="45"/>
      <c r="J54" s="45"/>
      <c r="CO54" s="45"/>
      <c r="CP54" s="45"/>
      <c r="CQ54" s="45"/>
      <c r="CR54" s="45"/>
      <c r="CS54" s="45"/>
      <c r="CT54" s="45"/>
      <c r="CU54" s="45"/>
    </row>
    <row r="55" spans="2:99" x14ac:dyDescent="0.35">
      <c r="B55" s="45"/>
      <c r="C55" s="45"/>
      <c r="D55" s="45"/>
      <c r="E55" s="45"/>
      <c r="F55" s="45"/>
      <c r="G55" s="45"/>
      <c r="H55" s="45"/>
      <c r="I55" s="45"/>
      <c r="J55" s="45"/>
      <c r="CO55" s="45"/>
      <c r="CP55" s="45"/>
      <c r="CQ55" s="45"/>
      <c r="CR55" s="45"/>
      <c r="CS55" s="45"/>
      <c r="CT55" s="45"/>
      <c r="CU55" s="45"/>
    </row>
    <row r="56" spans="2:99" x14ac:dyDescent="0.35">
      <c r="B56" s="45"/>
      <c r="C56" s="45"/>
      <c r="D56" s="45"/>
      <c r="E56" s="45"/>
      <c r="F56" s="45"/>
      <c r="G56" s="45"/>
      <c r="H56" s="45"/>
      <c r="I56" s="45"/>
      <c r="J56" s="45"/>
      <c r="CO56" s="45"/>
      <c r="CP56" s="45"/>
      <c r="CQ56" s="45"/>
      <c r="CR56" s="45"/>
      <c r="CS56" s="45"/>
      <c r="CT56" s="45"/>
      <c r="CU56" s="45"/>
    </row>
    <row r="57" spans="2:99" x14ac:dyDescent="0.35">
      <c r="B57" s="45"/>
      <c r="C57" s="45"/>
      <c r="D57" s="45"/>
      <c r="E57" s="45"/>
      <c r="F57" s="45"/>
      <c r="G57" s="45"/>
      <c r="H57" s="45"/>
      <c r="I57" s="45"/>
      <c r="J57" s="45"/>
      <c r="CO57" s="45"/>
      <c r="CP57" s="45"/>
      <c r="CQ57" s="45"/>
      <c r="CR57" s="45"/>
      <c r="CS57" s="45"/>
      <c r="CT57" s="45"/>
      <c r="CU57" s="45"/>
    </row>
    <row r="58" spans="2:99" x14ac:dyDescent="0.35">
      <c r="B58" s="45"/>
      <c r="C58" s="45"/>
      <c r="D58" s="45"/>
      <c r="E58" s="45"/>
      <c r="F58" s="45"/>
      <c r="G58" s="45"/>
      <c r="H58" s="45"/>
      <c r="I58" s="45"/>
      <c r="J58" s="45"/>
      <c r="CO58" s="45"/>
      <c r="CP58" s="45"/>
      <c r="CQ58" s="45"/>
      <c r="CR58" s="45"/>
      <c r="CS58" s="45"/>
      <c r="CT58" s="45"/>
      <c r="CU58" s="45"/>
    </row>
    <row r="59" spans="2:99" x14ac:dyDescent="0.35">
      <c r="B59" s="45"/>
      <c r="C59" s="45"/>
      <c r="D59" s="45"/>
      <c r="E59" s="45"/>
      <c r="F59" s="45"/>
      <c r="G59" s="45"/>
      <c r="H59" s="45"/>
      <c r="I59" s="45"/>
      <c r="J59" s="45"/>
      <c r="CO59" s="45"/>
      <c r="CP59" s="45"/>
      <c r="CQ59" s="45"/>
      <c r="CR59" s="45"/>
      <c r="CS59" s="45"/>
      <c r="CT59" s="45"/>
      <c r="CU59" s="45"/>
    </row>
    <row r="60" spans="2:99" x14ac:dyDescent="0.35">
      <c r="B60" s="45"/>
      <c r="C60" s="45"/>
      <c r="D60" s="45"/>
      <c r="E60" s="45"/>
      <c r="F60" s="45"/>
      <c r="G60" s="45"/>
      <c r="H60" s="45"/>
      <c r="I60" s="45"/>
      <c r="J60" s="45"/>
      <c r="CO60" s="45"/>
      <c r="CP60" s="45"/>
      <c r="CQ60" s="45"/>
      <c r="CR60" s="45"/>
      <c r="CS60" s="45"/>
      <c r="CT60" s="45"/>
      <c r="CU60" s="45"/>
    </row>
    <row r="61" spans="2:99" x14ac:dyDescent="0.35">
      <c r="B61" s="45"/>
      <c r="C61" s="45"/>
      <c r="D61" s="45"/>
      <c r="E61" s="45"/>
      <c r="F61" s="45"/>
      <c r="G61" s="45"/>
      <c r="H61" s="45"/>
      <c r="I61" s="45"/>
      <c r="J61" s="45"/>
      <c r="CO61" s="45"/>
      <c r="CP61" s="45"/>
      <c r="CQ61" s="45"/>
      <c r="CR61" s="45"/>
      <c r="CS61" s="45"/>
      <c r="CT61" s="45"/>
      <c r="CU61" s="45"/>
    </row>
    <row r="62" spans="2:99" x14ac:dyDescent="0.35">
      <c r="B62" s="45"/>
      <c r="C62" s="45"/>
      <c r="D62" s="45"/>
      <c r="E62" s="45"/>
      <c r="F62" s="45"/>
      <c r="G62" s="45"/>
      <c r="H62" s="45"/>
      <c r="I62" s="45"/>
      <c r="J62" s="45"/>
      <c r="CO62" s="45"/>
      <c r="CP62" s="45"/>
      <c r="CQ62" s="45"/>
      <c r="CR62" s="45"/>
      <c r="CS62" s="45"/>
      <c r="CT62" s="45"/>
      <c r="CU62" s="45"/>
    </row>
    <row r="63" spans="2:99" x14ac:dyDescent="0.35">
      <c r="B63" s="45"/>
      <c r="C63" s="45"/>
      <c r="D63" s="45"/>
      <c r="E63" s="45"/>
      <c r="F63" s="45"/>
      <c r="G63" s="45"/>
      <c r="H63" s="45"/>
      <c r="I63" s="45"/>
      <c r="J63" s="45"/>
      <c r="CO63" s="45"/>
      <c r="CP63" s="45"/>
      <c r="CQ63" s="45"/>
      <c r="CR63" s="45"/>
      <c r="CS63" s="45"/>
      <c r="CT63" s="45"/>
      <c r="CU63" s="45"/>
    </row>
    <row r="64" spans="2:99" x14ac:dyDescent="0.35">
      <c r="B64" s="45"/>
      <c r="C64" s="45"/>
      <c r="D64" s="45"/>
      <c r="E64" s="45"/>
      <c r="F64" s="45"/>
      <c r="G64" s="45"/>
      <c r="H64" s="45"/>
      <c r="I64" s="45"/>
      <c r="J64" s="45"/>
      <c r="CO64" s="45"/>
      <c r="CP64" s="45"/>
      <c r="CQ64" s="45"/>
      <c r="CR64" s="45"/>
      <c r="CS64" s="45"/>
      <c r="CT64" s="45"/>
      <c r="CU64" s="45"/>
    </row>
    <row r="65" spans="2:99" x14ac:dyDescent="0.35">
      <c r="B65" s="45"/>
      <c r="C65" s="45"/>
      <c r="D65" s="45"/>
      <c r="E65" s="45"/>
      <c r="F65" s="45"/>
      <c r="G65" s="45"/>
      <c r="H65" s="45"/>
      <c r="I65" s="45"/>
      <c r="J65" s="45"/>
      <c r="CO65" s="45"/>
      <c r="CP65" s="45"/>
      <c r="CQ65" s="45"/>
      <c r="CR65" s="45"/>
      <c r="CS65" s="45"/>
      <c r="CT65" s="45"/>
      <c r="CU65" s="45"/>
    </row>
    <row r="66" spans="2:99" x14ac:dyDescent="0.35">
      <c r="B66" s="45"/>
      <c r="C66" s="45"/>
      <c r="D66" s="45"/>
      <c r="E66" s="45"/>
      <c r="F66" s="45"/>
      <c r="G66" s="45"/>
      <c r="H66" s="45"/>
      <c r="I66" s="45"/>
      <c r="J66" s="45"/>
      <c r="CO66" s="45"/>
      <c r="CP66" s="45"/>
      <c r="CQ66" s="45"/>
      <c r="CR66" s="45"/>
      <c r="CS66" s="45"/>
      <c r="CT66" s="45"/>
      <c r="CU66" s="45"/>
    </row>
    <row r="67" spans="2:99" x14ac:dyDescent="0.35">
      <c r="B67" s="45"/>
      <c r="C67" s="45"/>
      <c r="D67" s="45"/>
      <c r="E67" s="45"/>
      <c r="F67" s="45"/>
      <c r="G67" s="45"/>
      <c r="H67" s="45"/>
      <c r="I67" s="45"/>
      <c r="J67" s="45"/>
      <c r="CO67" s="45"/>
      <c r="CP67" s="45"/>
      <c r="CQ67" s="45"/>
      <c r="CR67" s="45"/>
      <c r="CS67" s="45"/>
      <c r="CT67" s="45"/>
      <c r="CU67" s="45"/>
    </row>
    <row r="68" spans="2:99" x14ac:dyDescent="0.35">
      <c r="B68" s="45"/>
      <c r="C68" s="45"/>
      <c r="D68" s="45"/>
      <c r="E68" s="45"/>
      <c r="F68" s="45"/>
      <c r="G68" s="45"/>
      <c r="H68" s="45"/>
      <c r="I68" s="45"/>
      <c r="J68" s="45"/>
      <c r="CO68" s="45"/>
      <c r="CP68" s="45"/>
      <c r="CQ68" s="45"/>
      <c r="CR68" s="45"/>
      <c r="CS68" s="45"/>
      <c r="CT68" s="45"/>
      <c r="CU68" s="45"/>
    </row>
    <row r="69" spans="2:99" x14ac:dyDescent="0.35">
      <c r="B69" s="45"/>
      <c r="C69" s="45"/>
      <c r="D69" s="45"/>
      <c r="E69" s="45"/>
      <c r="F69" s="45"/>
      <c r="G69" s="45"/>
      <c r="H69" s="45"/>
      <c r="I69" s="45"/>
      <c r="J69" s="45"/>
      <c r="CO69" s="45"/>
      <c r="CP69" s="45"/>
      <c r="CQ69" s="45"/>
      <c r="CR69" s="45"/>
      <c r="CS69" s="45"/>
      <c r="CT69" s="45"/>
      <c r="CU69" s="45"/>
    </row>
    <row r="70" spans="2:99" x14ac:dyDescent="0.35">
      <c r="B70" s="45"/>
      <c r="C70" s="45"/>
      <c r="D70" s="45"/>
      <c r="E70" s="45"/>
      <c r="F70" s="45"/>
      <c r="G70" s="45"/>
      <c r="H70" s="45"/>
      <c r="I70" s="45"/>
      <c r="J70" s="45"/>
      <c r="CO70" s="45"/>
      <c r="CP70" s="45"/>
      <c r="CQ70" s="45"/>
      <c r="CR70" s="45"/>
      <c r="CS70" s="45"/>
      <c r="CT70" s="45"/>
      <c r="CU70" s="45"/>
    </row>
    <row r="71" spans="2:99" x14ac:dyDescent="0.35">
      <c r="B71" s="45"/>
      <c r="C71" s="45"/>
      <c r="D71" s="45"/>
      <c r="E71" s="45"/>
      <c r="F71" s="45"/>
      <c r="G71" s="45"/>
      <c r="H71" s="45"/>
      <c r="I71" s="45"/>
      <c r="J71" s="45"/>
      <c r="CO71" s="45"/>
      <c r="CP71" s="45"/>
      <c r="CQ71" s="45"/>
      <c r="CR71" s="45"/>
      <c r="CS71" s="45"/>
      <c r="CT71" s="45"/>
      <c r="CU71" s="45"/>
    </row>
    <row r="72" spans="2:99" x14ac:dyDescent="0.35">
      <c r="B72" s="45"/>
      <c r="C72" s="45"/>
      <c r="D72" s="45"/>
      <c r="E72" s="45"/>
      <c r="F72" s="45"/>
      <c r="G72" s="45"/>
      <c r="H72" s="45"/>
      <c r="I72" s="45"/>
      <c r="J72" s="45"/>
      <c r="CO72" s="45"/>
      <c r="CP72" s="45"/>
      <c r="CQ72" s="45"/>
      <c r="CR72" s="45"/>
      <c r="CS72" s="45"/>
      <c r="CT72" s="45"/>
      <c r="CU72" s="45"/>
    </row>
    <row r="73" spans="2:99" x14ac:dyDescent="0.35">
      <c r="B73" s="45"/>
      <c r="C73" s="45"/>
      <c r="D73" s="45"/>
      <c r="E73" s="45"/>
      <c r="F73" s="45"/>
      <c r="G73" s="45"/>
      <c r="H73" s="45"/>
      <c r="I73" s="45"/>
      <c r="J73" s="45"/>
      <c r="CO73" s="45"/>
      <c r="CP73" s="45"/>
      <c r="CQ73" s="45"/>
      <c r="CR73" s="45"/>
      <c r="CS73" s="45"/>
      <c r="CT73" s="45"/>
      <c r="CU73" s="45"/>
    </row>
    <row r="74" spans="2:99" x14ac:dyDescent="0.35">
      <c r="B74" s="45"/>
      <c r="C74" s="45"/>
      <c r="D74" s="45"/>
      <c r="E74" s="45"/>
      <c r="F74" s="45"/>
      <c r="G74" s="45"/>
      <c r="H74" s="45"/>
      <c r="I74" s="45"/>
      <c r="J74" s="45"/>
      <c r="CO74" s="45"/>
      <c r="CP74" s="45"/>
      <c r="CQ74" s="45"/>
      <c r="CR74" s="45"/>
      <c r="CS74" s="45"/>
      <c r="CT74" s="45"/>
      <c r="CU74" s="45"/>
    </row>
    <row r="75" spans="2:99" x14ac:dyDescent="0.35">
      <c r="B75" s="45"/>
      <c r="C75" s="45"/>
      <c r="D75" s="45"/>
      <c r="E75" s="45"/>
      <c r="F75" s="45"/>
      <c r="G75" s="45"/>
      <c r="H75" s="45"/>
      <c r="I75" s="45"/>
      <c r="J75" s="45"/>
      <c r="CO75" s="45"/>
      <c r="CP75" s="45"/>
      <c r="CQ75" s="45"/>
      <c r="CR75" s="45"/>
      <c r="CS75" s="45"/>
      <c r="CT75" s="45"/>
      <c r="CU75" s="45"/>
    </row>
    <row r="76" spans="2:99" x14ac:dyDescent="0.35">
      <c r="B76" s="45"/>
      <c r="C76" s="45"/>
      <c r="D76" s="45"/>
      <c r="E76" s="45"/>
      <c r="F76" s="45"/>
      <c r="G76" s="45"/>
      <c r="H76" s="45"/>
      <c r="I76" s="45"/>
      <c r="J76" s="45"/>
      <c r="CO76" s="45"/>
      <c r="CP76" s="45"/>
      <c r="CQ76" s="45"/>
      <c r="CR76" s="45"/>
      <c r="CS76" s="45"/>
      <c r="CT76" s="45"/>
      <c r="CU76" s="45"/>
    </row>
    <row r="77" spans="2:99" x14ac:dyDescent="0.35">
      <c r="B77" s="45"/>
      <c r="C77" s="45"/>
      <c r="D77" s="45"/>
      <c r="E77" s="45"/>
      <c r="F77" s="45"/>
      <c r="G77" s="45"/>
      <c r="H77" s="45"/>
      <c r="I77" s="45"/>
      <c r="J77" s="45"/>
      <c r="CO77" s="45"/>
      <c r="CP77" s="45"/>
      <c r="CQ77" s="45"/>
      <c r="CR77" s="45"/>
      <c r="CS77" s="45"/>
      <c r="CT77" s="45"/>
      <c r="CU77" s="45"/>
    </row>
    <row r="78" spans="2:99" x14ac:dyDescent="0.35">
      <c r="B78" s="45"/>
      <c r="C78" s="45"/>
      <c r="D78" s="45"/>
      <c r="E78" s="45"/>
      <c r="F78" s="45"/>
      <c r="G78" s="45"/>
      <c r="H78" s="45"/>
      <c r="I78" s="45"/>
      <c r="J78" s="45"/>
      <c r="CO78" s="45"/>
      <c r="CP78" s="45"/>
      <c r="CQ78" s="45"/>
      <c r="CR78" s="45"/>
      <c r="CS78" s="45"/>
      <c r="CT78" s="45"/>
      <c r="CU78" s="45"/>
    </row>
    <row r="79" spans="2:99" x14ac:dyDescent="0.35">
      <c r="B79" s="45"/>
      <c r="C79" s="45"/>
      <c r="D79" s="45"/>
      <c r="E79" s="45"/>
      <c r="F79" s="45"/>
      <c r="G79" s="45"/>
      <c r="H79" s="45"/>
      <c r="I79" s="45"/>
      <c r="J79" s="45"/>
      <c r="CO79" s="45"/>
      <c r="CP79" s="45"/>
      <c r="CQ79" s="45"/>
      <c r="CR79" s="45"/>
      <c r="CS79" s="45"/>
      <c r="CT79" s="45"/>
      <c r="CU79" s="45"/>
    </row>
    <row r="80" spans="2:99" x14ac:dyDescent="0.35">
      <c r="B80" s="45"/>
      <c r="C80" s="45"/>
      <c r="D80" s="45"/>
      <c r="E80" s="45"/>
      <c r="F80" s="45"/>
      <c r="G80" s="45"/>
      <c r="H80" s="45"/>
      <c r="I80" s="45"/>
      <c r="J80" s="45"/>
      <c r="CO80" s="45"/>
      <c r="CP80" s="45"/>
      <c r="CQ80" s="45"/>
      <c r="CR80" s="45"/>
      <c r="CS80" s="45"/>
      <c r="CT80" s="45"/>
      <c r="CU80" s="45"/>
    </row>
    <row r="81" spans="2:99" x14ac:dyDescent="0.35">
      <c r="B81" s="45"/>
      <c r="C81" s="45"/>
      <c r="D81" s="45"/>
      <c r="E81" s="45"/>
      <c r="F81" s="45"/>
      <c r="G81" s="45"/>
      <c r="H81" s="45"/>
      <c r="I81" s="45"/>
      <c r="J81" s="45"/>
      <c r="CO81" s="45"/>
      <c r="CP81" s="45"/>
      <c r="CQ81" s="45"/>
      <c r="CR81" s="45"/>
      <c r="CS81" s="45"/>
      <c r="CT81" s="45"/>
      <c r="CU81" s="45"/>
    </row>
    <row r="82" spans="2:99" x14ac:dyDescent="0.35">
      <c r="B82" s="45"/>
      <c r="C82" s="45"/>
      <c r="D82" s="45"/>
      <c r="E82" s="45"/>
      <c r="F82" s="45"/>
      <c r="G82" s="45"/>
      <c r="H82" s="45"/>
      <c r="I82" s="45"/>
      <c r="J82" s="45"/>
      <c r="CO82" s="45"/>
      <c r="CP82" s="45"/>
      <c r="CQ82" s="45"/>
      <c r="CR82" s="45"/>
      <c r="CS82" s="45"/>
      <c r="CT82" s="45"/>
      <c r="CU82" s="45"/>
    </row>
    <row r="83" spans="2:99" x14ac:dyDescent="0.35">
      <c r="B83" s="45"/>
      <c r="C83" s="45"/>
      <c r="D83" s="45"/>
      <c r="E83" s="45"/>
      <c r="F83" s="45"/>
      <c r="G83" s="45"/>
      <c r="H83" s="45"/>
      <c r="I83" s="45"/>
      <c r="J83" s="45"/>
      <c r="CO83" s="45"/>
      <c r="CP83" s="45"/>
      <c r="CQ83" s="45"/>
      <c r="CR83" s="45"/>
      <c r="CS83" s="45"/>
      <c r="CT83" s="45"/>
      <c r="CU83" s="45"/>
    </row>
    <row r="84" spans="2:99" x14ac:dyDescent="0.35">
      <c r="B84" s="45"/>
      <c r="C84" s="45"/>
      <c r="D84" s="45"/>
      <c r="E84" s="45"/>
      <c r="F84" s="45"/>
      <c r="G84" s="45"/>
      <c r="H84" s="45"/>
      <c r="I84" s="45"/>
      <c r="J84" s="45"/>
      <c r="CO84" s="45"/>
      <c r="CP84" s="45"/>
      <c r="CQ84" s="45"/>
      <c r="CR84" s="45"/>
      <c r="CS84" s="45"/>
      <c r="CT84" s="45"/>
      <c r="CU84" s="45"/>
    </row>
    <row r="85" spans="2:99" x14ac:dyDescent="0.35">
      <c r="B85" s="45"/>
      <c r="C85" s="45"/>
      <c r="D85" s="45"/>
      <c r="E85" s="45"/>
      <c r="F85" s="45"/>
      <c r="G85" s="45"/>
      <c r="H85" s="45"/>
      <c r="I85" s="45"/>
      <c r="J85" s="45"/>
      <c r="CO85" s="45"/>
      <c r="CP85" s="45"/>
      <c r="CQ85" s="45"/>
      <c r="CR85" s="45"/>
      <c r="CS85" s="45"/>
      <c r="CT85" s="45"/>
      <c r="CU85" s="45"/>
    </row>
    <row r="86" spans="2:99" x14ac:dyDescent="0.35">
      <c r="B86" s="45"/>
      <c r="C86" s="45"/>
      <c r="D86" s="45"/>
      <c r="E86" s="45"/>
      <c r="F86" s="45"/>
      <c r="G86" s="45"/>
      <c r="H86" s="45"/>
      <c r="I86" s="45"/>
      <c r="J86" s="45"/>
      <c r="CO86" s="45"/>
      <c r="CP86" s="45"/>
      <c r="CQ86" s="45"/>
      <c r="CR86" s="45"/>
      <c r="CS86" s="45"/>
      <c r="CT86" s="45"/>
      <c r="CU86" s="45"/>
    </row>
    <row r="87" spans="2:99" x14ac:dyDescent="0.35">
      <c r="B87" s="45"/>
      <c r="C87" s="45"/>
      <c r="D87" s="45"/>
      <c r="E87" s="45"/>
      <c r="F87" s="45"/>
      <c r="G87" s="45"/>
      <c r="H87" s="45"/>
      <c r="I87" s="45"/>
      <c r="J87" s="45"/>
      <c r="CO87" s="45"/>
      <c r="CP87" s="45"/>
      <c r="CQ87" s="45"/>
      <c r="CR87" s="45"/>
      <c r="CS87" s="45"/>
      <c r="CT87" s="45"/>
      <c r="CU87" s="45"/>
    </row>
    <row r="88" spans="2:99" x14ac:dyDescent="0.35">
      <c r="B88" s="45"/>
      <c r="C88" s="45"/>
      <c r="D88" s="45"/>
      <c r="E88" s="45"/>
      <c r="F88" s="45"/>
      <c r="G88" s="45"/>
      <c r="H88" s="45"/>
      <c r="I88" s="45"/>
      <c r="J88" s="45"/>
      <c r="CO88" s="45"/>
      <c r="CP88" s="45"/>
      <c r="CQ88" s="45"/>
      <c r="CR88" s="45"/>
      <c r="CS88" s="45"/>
      <c r="CT88" s="45"/>
      <c r="CU88" s="45"/>
    </row>
    <row r="89" spans="2:99" x14ac:dyDescent="0.35">
      <c r="B89" s="45"/>
      <c r="C89" s="45"/>
      <c r="D89" s="45"/>
      <c r="E89" s="45"/>
      <c r="F89" s="45"/>
      <c r="G89" s="45"/>
      <c r="H89" s="45"/>
      <c r="I89" s="45"/>
      <c r="J89" s="45"/>
      <c r="CO89" s="45"/>
      <c r="CP89" s="45"/>
      <c r="CQ89" s="45"/>
      <c r="CR89" s="45"/>
      <c r="CS89" s="45"/>
      <c r="CT89" s="45"/>
      <c r="CU89" s="45"/>
    </row>
    <row r="90" spans="2:99" x14ac:dyDescent="0.35">
      <c r="B90" s="45"/>
      <c r="C90" s="45"/>
      <c r="D90" s="45"/>
      <c r="E90" s="45"/>
      <c r="F90" s="45"/>
      <c r="G90" s="45"/>
      <c r="H90" s="45"/>
      <c r="I90" s="45"/>
      <c r="J90" s="45"/>
      <c r="CO90" s="45"/>
      <c r="CP90" s="45"/>
      <c r="CQ90" s="45"/>
      <c r="CR90" s="45"/>
      <c r="CS90" s="45"/>
      <c r="CT90" s="45"/>
      <c r="CU90" s="45"/>
    </row>
    <row r="91" spans="2:99" x14ac:dyDescent="0.35">
      <c r="B91" s="45"/>
      <c r="C91" s="45"/>
      <c r="D91" s="45"/>
      <c r="E91" s="45"/>
      <c r="F91" s="45"/>
      <c r="G91" s="45"/>
      <c r="H91" s="45"/>
      <c r="I91" s="45"/>
      <c r="J91" s="45"/>
      <c r="CO91" s="45"/>
      <c r="CP91" s="45"/>
      <c r="CQ91" s="45"/>
      <c r="CR91" s="45"/>
      <c r="CS91" s="45"/>
      <c r="CT91" s="45"/>
      <c r="CU91" s="45"/>
    </row>
    <row r="92" spans="2:99" x14ac:dyDescent="0.35">
      <c r="B92" s="45"/>
      <c r="C92" s="45"/>
      <c r="D92" s="45"/>
      <c r="E92" s="45"/>
      <c r="F92" s="45"/>
      <c r="G92" s="45"/>
      <c r="H92" s="45"/>
      <c r="I92" s="45"/>
      <c r="J92" s="45"/>
      <c r="CO92" s="45"/>
      <c r="CP92" s="45"/>
      <c r="CQ92" s="45"/>
      <c r="CR92" s="45"/>
      <c r="CS92" s="45"/>
      <c r="CT92" s="45"/>
      <c r="CU92" s="45"/>
    </row>
    <row r="93" spans="2:99" x14ac:dyDescent="0.35">
      <c r="B93" s="45"/>
      <c r="C93" s="45"/>
      <c r="D93" s="45"/>
      <c r="E93" s="45"/>
      <c r="F93" s="45"/>
      <c r="G93" s="45"/>
      <c r="H93" s="45"/>
      <c r="I93" s="45"/>
      <c r="J93" s="45"/>
      <c r="CO93" s="45"/>
      <c r="CP93" s="45"/>
      <c r="CQ93" s="45"/>
      <c r="CR93" s="45"/>
      <c r="CS93" s="45"/>
      <c r="CT93" s="45"/>
      <c r="CU93" s="45"/>
    </row>
    <row r="94" spans="2:99" x14ac:dyDescent="0.35">
      <c r="B94" s="45"/>
      <c r="C94" s="45"/>
      <c r="D94" s="45"/>
      <c r="E94" s="45"/>
      <c r="F94" s="45"/>
      <c r="G94" s="45"/>
      <c r="H94" s="45"/>
      <c r="I94" s="45"/>
      <c r="J94" s="45"/>
      <c r="CO94" s="45"/>
      <c r="CP94" s="45"/>
      <c r="CQ94" s="45"/>
      <c r="CR94" s="45"/>
      <c r="CS94" s="45"/>
      <c r="CT94" s="45"/>
      <c r="CU94" s="45"/>
    </row>
    <row r="95" spans="2:99" x14ac:dyDescent="0.35">
      <c r="B95" s="45"/>
      <c r="C95" s="45"/>
      <c r="D95" s="45"/>
      <c r="E95" s="45"/>
      <c r="F95" s="45"/>
      <c r="G95" s="45"/>
      <c r="H95" s="45"/>
      <c r="I95" s="45"/>
      <c r="J95" s="45"/>
      <c r="CO95" s="45"/>
      <c r="CP95" s="45"/>
      <c r="CQ95" s="45"/>
      <c r="CR95" s="45"/>
      <c r="CS95" s="45"/>
      <c r="CT95" s="45"/>
      <c r="CU95" s="45"/>
    </row>
    <row r="96" spans="2:99" x14ac:dyDescent="0.35">
      <c r="B96" s="45"/>
      <c r="C96" s="45"/>
      <c r="D96" s="45"/>
      <c r="E96" s="45"/>
      <c r="F96" s="45"/>
      <c r="G96" s="45"/>
      <c r="H96" s="45"/>
      <c r="I96" s="45"/>
      <c r="J96" s="45"/>
      <c r="CO96" s="45"/>
      <c r="CP96" s="45"/>
      <c r="CQ96" s="45"/>
      <c r="CR96" s="45"/>
      <c r="CS96" s="45"/>
      <c r="CT96" s="45"/>
      <c r="CU96" s="45"/>
    </row>
    <row r="97" spans="2:99" x14ac:dyDescent="0.35">
      <c r="B97" s="45"/>
      <c r="C97" s="45"/>
      <c r="D97" s="45"/>
      <c r="E97" s="45"/>
      <c r="F97" s="45"/>
      <c r="G97" s="45"/>
      <c r="H97" s="45"/>
      <c r="I97" s="45"/>
      <c r="J97" s="45"/>
      <c r="CO97" s="45"/>
      <c r="CP97" s="45"/>
      <c r="CQ97" s="45"/>
      <c r="CR97" s="45"/>
      <c r="CS97" s="45"/>
      <c r="CT97" s="45"/>
      <c r="CU97" s="45"/>
    </row>
    <row r="98" spans="2:99" x14ac:dyDescent="0.35">
      <c r="B98" s="45"/>
      <c r="C98" s="45"/>
      <c r="D98" s="45"/>
      <c r="E98" s="45"/>
      <c r="F98" s="45"/>
      <c r="G98" s="45"/>
      <c r="H98" s="45"/>
      <c r="I98" s="45"/>
      <c r="J98" s="45"/>
      <c r="CO98" s="45"/>
      <c r="CP98" s="45"/>
      <c r="CQ98" s="45"/>
      <c r="CR98" s="45"/>
      <c r="CS98" s="45"/>
      <c r="CT98" s="45"/>
      <c r="CU98" s="45"/>
    </row>
    <row r="99" spans="2:99" x14ac:dyDescent="0.35">
      <c r="B99" s="45"/>
      <c r="C99" s="45"/>
      <c r="D99" s="45"/>
      <c r="E99" s="45"/>
      <c r="F99" s="45"/>
      <c r="G99" s="45"/>
      <c r="H99" s="45"/>
      <c r="I99" s="45"/>
      <c r="J99" s="45"/>
      <c r="CO99" s="45"/>
      <c r="CP99" s="45"/>
      <c r="CQ99" s="45"/>
      <c r="CR99" s="45"/>
      <c r="CS99" s="45"/>
      <c r="CT99" s="45"/>
      <c r="CU99" s="45"/>
    </row>
    <row r="100" spans="2:99" x14ac:dyDescent="0.35">
      <c r="B100" s="45"/>
      <c r="C100" s="45"/>
      <c r="D100" s="45"/>
      <c r="E100" s="45"/>
      <c r="F100" s="45"/>
      <c r="G100" s="45"/>
      <c r="H100" s="45"/>
      <c r="I100" s="45"/>
      <c r="J100" s="45"/>
      <c r="CO100" s="45"/>
      <c r="CP100" s="45"/>
      <c r="CQ100" s="45"/>
      <c r="CR100" s="45"/>
      <c r="CS100" s="45"/>
      <c r="CT100" s="45"/>
      <c r="CU100" s="45"/>
    </row>
    <row r="101" spans="2:99" x14ac:dyDescent="0.35">
      <c r="B101" s="45"/>
      <c r="C101" s="45"/>
      <c r="D101" s="45"/>
      <c r="E101" s="45"/>
      <c r="F101" s="45"/>
      <c r="G101" s="45"/>
      <c r="H101" s="45"/>
      <c r="I101" s="45"/>
      <c r="J101" s="45"/>
      <c r="CO101" s="45"/>
      <c r="CP101" s="45"/>
      <c r="CQ101" s="45"/>
      <c r="CR101" s="45"/>
      <c r="CS101" s="45"/>
      <c r="CT101" s="45"/>
      <c r="CU101" s="45"/>
    </row>
    <row r="102" spans="2:99" x14ac:dyDescent="0.35">
      <c r="B102" s="45"/>
      <c r="C102" s="45"/>
      <c r="D102" s="45"/>
      <c r="E102" s="45"/>
      <c r="F102" s="45"/>
      <c r="G102" s="45"/>
      <c r="H102" s="45"/>
      <c r="I102" s="45"/>
      <c r="J102" s="45"/>
      <c r="CO102" s="45"/>
      <c r="CP102" s="45"/>
      <c r="CQ102" s="45"/>
      <c r="CR102" s="45"/>
      <c r="CS102" s="45"/>
      <c r="CT102" s="45"/>
      <c r="CU102" s="45"/>
    </row>
    <row r="103" spans="2:99" x14ac:dyDescent="0.35">
      <c r="B103" s="45"/>
      <c r="C103" s="45"/>
      <c r="D103" s="45"/>
      <c r="E103" s="45"/>
      <c r="F103" s="45"/>
      <c r="G103" s="45"/>
      <c r="H103" s="45"/>
      <c r="I103" s="45"/>
      <c r="J103" s="45"/>
      <c r="CO103" s="45"/>
      <c r="CP103" s="45"/>
      <c r="CQ103" s="45"/>
      <c r="CR103" s="45"/>
      <c r="CS103" s="45"/>
      <c r="CT103" s="45"/>
      <c r="CU103" s="45"/>
    </row>
    <row r="104" spans="2:99" x14ac:dyDescent="0.35">
      <c r="B104" s="45"/>
      <c r="C104" s="45"/>
      <c r="D104" s="45"/>
      <c r="E104" s="45"/>
      <c r="F104" s="45"/>
      <c r="G104" s="45"/>
      <c r="H104" s="45"/>
      <c r="I104" s="45"/>
      <c r="J104" s="45"/>
      <c r="CO104" s="45"/>
      <c r="CP104" s="45"/>
      <c r="CQ104" s="45"/>
      <c r="CR104" s="45"/>
      <c r="CS104" s="45"/>
      <c r="CT104" s="45"/>
      <c r="CU104" s="45"/>
    </row>
    <row r="105" spans="2:99" x14ac:dyDescent="0.35">
      <c r="B105" s="45"/>
      <c r="C105" s="45"/>
      <c r="D105" s="45"/>
      <c r="E105" s="45"/>
      <c r="F105" s="45"/>
      <c r="G105" s="45"/>
      <c r="H105" s="45"/>
      <c r="I105" s="45"/>
      <c r="J105" s="45"/>
      <c r="CO105" s="45"/>
      <c r="CP105" s="45"/>
      <c r="CQ105" s="45"/>
      <c r="CR105" s="45"/>
      <c r="CS105" s="45"/>
      <c r="CT105" s="45"/>
      <c r="CU105" s="45"/>
    </row>
    <row r="106" spans="2:99" x14ac:dyDescent="0.35">
      <c r="B106" s="45"/>
      <c r="C106" s="45"/>
      <c r="D106" s="45"/>
      <c r="E106" s="45"/>
      <c r="F106" s="45"/>
      <c r="G106" s="45"/>
      <c r="H106" s="45"/>
      <c r="I106" s="45"/>
      <c r="J106" s="45"/>
      <c r="CO106" s="45"/>
      <c r="CP106" s="45"/>
      <c r="CQ106" s="45"/>
      <c r="CR106" s="45"/>
      <c r="CS106" s="45"/>
      <c r="CT106" s="45"/>
      <c r="CU106" s="45"/>
    </row>
    <row r="107" spans="2:99" x14ac:dyDescent="0.35">
      <c r="B107" s="45"/>
      <c r="C107" s="45"/>
      <c r="D107" s="45"/>
      <c r="E107" s="45"/>
      <c r="F107" s="45"/>
      <c r="G107" s="45"/>
      <c r="H107" s="45"/>
      <c r="I107" s="45"/>
      <c r="J107" s="45"/>
      <c r="CO107" s="45"/>
      <c r="CP107" s="45"/>
      <c r="CQ107" s="45"/>
      <c r="CR107" s="45"/>
      <c r="CS107" s="45"/>
      <c r="CT107" s="45"/>
      <c r="CU107" s="45"/>
    </row>
    <row r="108" spans="2:99" x14ac:dyDescent="0.35">
      <c r="B108" s="45"/>
      <c r="C108" s="45"/>
      <c r="D108" s="45"/>
      <c r="E108" s="45"/>
      <c r="F108" s="45"/>
      <c r="G108" s="45"/>
      <c r="H108" s="45"/>
      <c r="I108" s="45"/>
      <c r="J108" s="45"/>
      <c r="CO108" s="45"/>
      <c r="CP108" s="45"/>
      <c r="CQ108" s="45"/>
      <c r="CR108" s="45"/>
      <c r="CS108" s="45"/>
      <c r="CT108" s="45"/>
      <c r="CU108" s="45"/>
    </row>
    <row r="109" spans="2:99" x14ac:dyDescent="0.35">
      <c r="B109" s="45"/>
      <c r="C109" s="45"/>
      <c r="D109" s="45"/>
      <c r="E109" s="45"/>
      <c r="F109" s="45"/>
      <c r="G109" s="45"/>
      <c r="H109" s="45"/>
      <c r="I109" s="45"/>
      <c r="J109" s="45"/>
      <c r="CO109" s="45"/>
      <c r="CP109" s="45"/>
      <c r="CQ109" s="45"/>
      <c r="CR109" s="45"/>
      <c r="CS109" s="45"/>
      <c r="CT109" s="45"/>
      <c r="CU109" s="45"/>
    </row>
    <row r="110" spans="2:99" x14ac:dyDescent="0.35">
      <c r="B110" s="45"/>
      <c r="C110" s="45"/>
      <c r="D110" s="45"/>
      <c r="E110" s="45"/>
      <c r="F110" s="45"/>
      <c r="G110" s="45"/>
      <c r="H110" s="45"/>
      <c r="I110" s="45"/>
      <c r="J110" s="45"/>
      <c r="CO110" s="45"/>
      <c r="CP110" s="45"/>
      <c r="CQ110" s="45"/>
      <c r="CR110" s="45"/>
      <c r="CS110" s="45"/>
      <c r="CT110" s="45"/>
      <c r="CU110" s="45"/>
    </row>
    <row r="111" spans="2:99" x14ac:dyDescent="0.35">
      <c r="B111" s="45"/>
      <c r="C111" s="45"/>
      <c r="D111" s="45"/>
      <c r="E111" s="45"/>
      <c r="F111" s="45"/>
      <c r="G111" s="45"/>
      <c r="H111" s="45"/>
      <c r="I111" s="45"/>
      <c r="J111" s="45"/>
      <c r="CO111" s="45"/>
      <c r="CP111" s="45"/>
      <c r="CQ111" s="45"/>
      <c r="CR111" s="45"/>
      <c r="CS111" s="45"/>
      <c r="CT111" s="45"/>
      <c r="CU111" s="45"/>
    </row>
    <row r="112" spans="2:99" x14ac:dyDescent="0.35">
      <c r="B112" s="45"/>
      <c r="C112" s="45"/>
      <c r="D112" s="45"/>
      <c r="E112" s="45"/>
      <c r="F112" s="45"/>
      <c r="G112" s="45"/>
      <c r="H112" s="45"/>
      <c r="I112" s="45"/>
      <c r="J112" s="45"/>
      <c r="CO112" s="45"/>
      <c r="CP112" s="45"/>
      <c r="CQ112" s="45"/>
      <c r="CR112" s="45"/>
      <c r="CS112" s="45"/>
      <c r="CT112" s="45"/>
      <c r="CU112" s="45"/>
    </row>
    <row r="113" spans="2:99" x14ac:dyDescent="0.35">
      <c r="B113" s="45"/>
      <c r="C113" s="45"/>
      <c r="D113" s="45"/>
      <c r="E113" s="45"/>
      <c r="F113" s="45"/>
      <c r="G113" s="45"/>
      <c r="H113" s="45"/>
      <c r="I113" s="45"/>
      <c r="J113" s="45"/>
      <c r="CO113" s="45"/>
      <c r="CP113" s="45"/>
      <c r="CQ113" s="45"/>
      <c r="CR113" s="45"/>
      <c r="CS113" s="45"/>
      <c r="CT113" s="45"/>
      <c r="CU113" s="45"/>
    </row>
    <row r="114" spans="2:99" x14ac:dyDescent="0.35">
      <c r="B114" s="45"/>
      <c r="C114" s="45"/>
      <c r="D114" s="45"/>
      <c r="E114" s="45"/>
      <c r="F114" s="45"/>
      <c r="G114" s="45"/>
      <c r="H114" s="45"/>
      <c r="I114" s="45"/>
      <c r="J114" s="45"/>
      <c r="CO114" s="45"/>
      <c r="CP114" s="45"/>
      <c r="CQ114" s="45"/>
      <c r="CR114" s="45"/>
      <c r="CS114" s="45"/>
      <c r="CT114" s="45"/>
      <c r="CU114" s="45"/>
    </row>
    <row r="115" spans="2:99" x14ac:dyDescent="0.35">
      <c r="B115" s="45"/>
      <c r="C115" s="45"/>
      <c r="D115" s="45"/>
      <c r="E115" s="45"/>
      <c r="F115" s="45"/>
      <c r="G115" s="45"/>
      <c r="H115" s="45"/>
      <c r="I115" s="45"/>
      <c r="J115" s="45"/>
      <c r="CO115" s="45"/>
      <c r="CP115" s="45"/>
      <c r="CQ115" s="45"/>
      <c r="CR115" s="45"/>
      <c r="CS115" s="45"/>
      <c r="CT115" s="45"/>
      <c r="CU115" s="45"/>
    </row>
    <row r="116" spans="2:99" x14ac:dyDescent="0.35">
      <c r="B116" s="45"/>
      <c r="C116" s="45"/>
      <c r="D116" s="45"/>
      <c r="E116" s="45"/>
      <c r="F116" s="45"/>
      <c r="G116" s="45"/>
      <c r="H116" s="45"/>
      <c r="I116" s="45"/>
      <c r="J116" s="45"/>
      <c r="CO116" s="45"/>
      <c r="CP116" s="45"/>
      <c r="CQ116" s="45"/>
      <c r="CR116" s="45"/>
      <c r="CS116" s="45"/>
      <c r="CT116" s="45"/>
      <c r="CU116" s="45"/>
    </row>
    <row r="117" spans="2:99" x14ac:dyDescent="0.35">
      <c r="B117" s="45"/>
      <c r="C117" s="45"/>
      <c r="D117" s="45"/>
      <c r="E117" s="45"/>
      <c r="F117" s="45"/>
      <c r="G117" s="45"/>
      <c r="H117" s="45"/>
      <c r="I117" s="45"/>
      <c r="J117" s="45"/>
      <c r="CO117" s="45"/>
      <c r="CP117" s="45"/>
      <c r="CQ117" s="45"/>
      <c r="CR117" s="45"/>
      <c r="CS117" s="45"/>
      <c r="CT117" s="45"/>
      <c r="CU117" s="45"/>
    </row>
    <row r="118" spans="2:99" x14ac:dyDescent="0.35">
      <c r="B118" s="45"/>
      <c r="C118" s="45"/>
      <c r="D118" s="45"/>
      <c r="E118" s="45"/>
      <c r="F118" s="45"/>
      <c r="G118" s="45"/>
      <c r="H118" s="45"/>
      <c r="I118" s="45"/>
      <c r="J118" s="45"/>
      <c r="CO118" s="45"/>
      <c r="CP118" s="45"/>
      <c r="CQ118" s="45"/>
      <c r="CR118" s="45"/>
      <c r="CS118" s="45"/>
      <c r="CT118" s="45"/>
      <c r="CU118" s="45"/>
    </row>
    <row r="119" spans="2:99" x14ac:dyDescent="0.35">
      <c r="B119" s="45"/>
      <c r="C119" s="45"/>
      <c r="D119" s="45"/>
      <c r="E119" s="45"/>
      <c r="F119" s="45"/>
      <c r="G119" s="45"/>
      <c r="H119" s="45"/>
      <c r="I119" s="45"/>
      <c r="J119" s="45"/>
      <c r="CO119" s="45"/>
      <c r="CP119" s="45"/>
      <c r="CQ119" s="45"/>
      <c r="CR119" s="45"/>
      <c r="CS119" s="45"/>
      <c r="CT119" s="45"/>
      <c r="CU119" s="45"/>
    </row>
    <row r="120" spans="2:99" x14ac:dyDescent="0.35">
      <c r="B120" s="45"/>
      <c r="C120" s="45"/>
      <c r="D120" s="45"/>
      <c r="E120" s="45"/>
      <c r="F120" s="45"/>
      <c r="G120" s="45"/>
      <c r="H120" s="45"/>
      <c r="I120" s="45"/>
      <c r="J120" s="45"/>
      <c r="CO120" s="45"/>
      <c r="CP120" s="45"/>
      <c r="CQ120" s="45"/>
      <c r="CR120" s="45"/>
      <c r="CS120" s="45"/>
      <c r="CT120" s="45"/>
      <c r="CU120" s="45"/>
    </row>
    <row r="121" spans="2:99" x14ac:dyDescent="0.35">
      <c r="B121" s="45"/>
      <c r="C121" s="45"/>
      <c r="D121" s="45"/>
      <c r="E121" s="45"/>
      <c r="F121" s="45"/>
      <c r="G121" s="45"/>
      <c r="H121" s="45"/>
      <c r="I121" s="45"/>
      <c r="J121" s="45"/>
      <c r="CO121" s="45"/>
      <c r="CP121" s="45"/>
      <c r="CQ121" s="45"/>
      <c r="CR121" s="45"/>
      <c r="CS121" s="45"/>
      <c r="CT121" s="45"/>
      <c r="CU121" s="45"/>
    </row>
    <row r="122" spans="2:99" x14ac:dyDescent="0.35">
      <c r="B122" s="45"/>
      <c r="C122" s="45"/>
      <c r="D122" s="45"/>
      <c r="E122" s="45"/>
      <c r="F122" s="45"/>
      <c r="G122" s="45"/>
      <c r="H122" s="45"/>
      <c r="I122" s="45"/>
      <c r="J122" s="45"/>
      <c r="CO122" s="45"/>
      <c r="CP122" s="45"/>
      <c r="CQ122" s="45"/>
      <c r="CR122" s="45"/>
      <c r="CS122" s="45"/>
      <c r="CT122" s="45"/>
      <c r="CU122" s="45"/>
    </row>
    <row r="123" spans="2:99" x14ac:dyDescent="0.35">
      <c r="B123" s="45"/>
      <c r="C123" s="45"/>
      <c r="D123" s="45"/>
      <c r="E123" s="45"/>
      <c r="F123" s="45"/>
      <c r="G123" s="45"/>
      <c r="H123" s="45"/>
      <c r="I123" s="45"/>
      <c r="J123" s="45"/>
      <c r="CO123" s="45"/>
      <c r="CP123" s="45"/>
      <c r="CQ123" s="45"/>
      <c r="CR123" s="45"/>
      <c r="CS123" s="45"/>
      <c r="CT123" s="45"/>
      <c r="CU123" s="45"/>
    </row>
    <row r="124" spans="2:99" x14ac:dyDescent="0.35">
      <c r="B124" s="45"/>
      <c r="C124" s="45"/>
      <c r="D124" s="45"/>
      <c r="E124" s="45"/>
      <c r="F124" s="45"/>
      <c r="G124" s="45"/>
      <c r="H124" s="45"/>
      <c r="I124" s="45"/>
      <c r="J124" s="45"/>
      <c r="CO124" s="45"/>
      <c r="CP124" s="45"/>
      <c r="CQ124" s="45"/>
      <c r="CR124" s="45"/>
      <c r="CS124" s="45"/>
      <c r="CT124" s="45"/>
      <c r="CU124" s="45"/>
    </row>
    <row r="125" spans="2:99" x14ac:dyDescent="0.35">
      <c r="B125" s="45"/>
      <c r="C125" s="45"/>
      <c r="D125" s="45"/>
      <c r="E125" s="45"/>
      <c r="F125" s="45"/>
      <c r="G125" s="45"/>
      <c r="H125" s="45"/>
      <c r="I125" s="45"/>
      <c r="J125" s="45"/>
      <c r="CO125" s="45"/>
      <c r="CP125" s="45"/>
      <c r="CQ125" s="45"/>
      <c r="CR125" s="45"/>
      <c r="CS125" s="45"/>
      <c r="CT125" s="45"/>
      <c r="CU125" s="45"/>
    </row>
    <row r="126" spans="2:99" x14ac:dyDescent="0.35">
      <c r="B126" s="45"/>
      <c r="C126" s="45"/>
      <c r="D126" s="45"/>
      <c r="E126" s="45"/>
      <c r="F126" s="45"/>
      <c r="G126" s="45"/>
      <c r="H126" s="45"/>
      <c r="I126" s="45"/>
      <c r="J126" s="45"/>
      <c r="CO126" s="45"/>
      <c r="CP126" s="45"/>
      <c r="CQ126" s="45"/>
      <c r="CR126" s="45"/>
      <c r="CS126" s="45"/>
      <c r="CT126" s="45"/>
      <c r="CU126" s="45"/>
    </row>
    <row r="127" spans="2:99" x14ac:dyDescent="0.35">
      <c r="B127" s="45"/>
      <c r="C127" s="45"/>
      <c r="D127" s="45"/>
      <c r="E127" s="45"/>
      <c r="F127" s="45"/>
      <c r="G127" s="45"/>
      <c r="H127" s="45"/>
      <c r="I127" s="45"/>
      <c r="J127" s="45"/>
      <c r="CO127" s="45"/>
      <c r="CP127" s="45"/>
      <c r="CQ127" s="45"/>
      <c r="CR127" s="45"/>
      <c r="CS127" s="45"/>
      <c r="CT127" s="45"/>
      <c r="CU127" s="45"/>
    </row>
    <row r="128" spans="2:99" x14ac:dyDescent="0.35">
      <c r="B128" s="45"/>
      <c r="C128" s="45"/>
      <c r="D128" s="45"/>
      <c r="E128" s="45"/>
      <c r="F128" s="45"/>
      <c r="G128" s="45"/>
      <c r="H128" s="45"/>
      <c r="I128" s="45"/>
      <c r="J128" s="45"/>
      <c r="CO128" s="45"/>
      <c r="CP128" s="45"/>
      <c r="CQ128" s="45"/>
      <c r="CR128" s="45"/>
      <c r="CS128" s="45"/>
      <c r="CT128" s="45"/>
      <c r="CU128" s="45"/>
    </row>
    <row r="129" spans="2:99" x14ac:dyDescent="0.35">
      <c r="B129" s="45"/>
      <c r="C129" s="45"/>
      <c r="D129" s="45"/>
      <c r="E129" s="45"/>
      <c r="F129" s="45"/>
      <c r="G129" s="45"/>
      <c r="H129" s="45"/>
      <c r="I129" s="45"/>
      <c r="J129" s="45"/>
      <c r="CO129" s="45"/>
      <c r="CP129" s="45"/>
      <c r="CQ129" s="45"/>
      <c r="CR129" s="45"/>
      <c r="CS129" s="45"/>
      <c r="CT129" s="45"/>
      <c r="CU129" s="45"/>
    </row>
    <row r="130" spans="2:99" x14ac:dyDescent="0.35">
      <c r="B130" s="45"/>
      <c r="C130" s="45"/>
      <c r="D130" s="45"/>
      <c r="E130" s="45"/>
      <c r="F130" s="45"/>
      <c r="G130" s="45"/>
      <c r="H130" s="45"/>
      <c r="I130" s="45"/>
      <c r="J130" s="45"/>
      <c r="CO130" s="45"/>
      <c r="CP130" s="45"/>
      <c r="CQ130" s="45"/>
      <c r="CR130" s="45"/>
      <c r="CS130" s="45"/>
      <c r="CT130" s="45"/>
      <c r="CU130" s="45"/>
    </row>
    <row r="131" spans="2:99" x14ac:dyDescent="0.35">
      <c r="B131" s="45"/>
      <c r="C131" s="45"/>
      <c r="D131" s="45"/>
      <c r="E131" s="45"/>
      <c r="F131" s="45"/>
      <c r="G131" s="45"/>
      <c r="H131" s="45"/>
      <c r="I131" s="45"/>
      <c r="J131" s="45"/>
      <c r="CO131" s="45"/>
      <c r="CP131" s="45"/>
      <c r="CQ131" s="45"/>
      <c r="CR131" s="45"/>
      <c r="CS131" s="45"/>
      <c r="CT131" s="45"/>
      <c r="CU131" s="45"/>
    </row>
    <row r="132" spans="2:99" x14ac:dyDescent="0.35">
      <c r="B132" s="45"/>
      <c r="C132" s="45"/>
      <c r="D132" s="45"/>
      <c r="E132" s="45"/>
      <c r="F132" s="45"/>
      <c r="G132" s="45"/>
      <c r="H132" s="45"/>
      <c r="I132" s="45"/>
      <c r="J132" s="45"/>
      <c r="CO132" s="45"/>
      <c r="CP132" s="45"/>
      <c r="CQ132" s="45"/>
      <c r="CR132" s="45"/>
      <c r="CS132" s="45"/>
      <c r="CT132" s="45"/>
      <c r="CU132" s="45"/>
    </row>
    <row r="133" spans="2:99" x14ac:dyDescent="0.35">
      <c r="B133" s="45"/>
      <c r="C133" s="45"/>
      <c r="D133" s="45"/>
      <c r="E133" s="45"/>
      <c r="F133" s="45"/>
      <c r="G133" s="45"/>
      <c r="H133" s="45"/>
      <c r="I133" s="45"/>
      <c r="J133" s="45"/>
      <c r="CO133" s="45"/>
      <c r="CP133" s="45"/>
      <c r="CQ133" s="45"/>
      <c r="CR133" s="45"/>
      <c r="CS133" s="45"/>
      <c r="CT133" s="45"/>
      <c r="CU133" s="45"/>
    </row>
  </sheetData>
  <mergeCells count="16">
    <mergeCell ref="C48:I48"/>
    <mergeCell ref="C45:I45"/>
    <mergeCell ref="C47:I47"/>
    <mergeCell ref="H8:H9"/>
    <mergeCell ref="I8:I9"/>
    <mergeCell ref="C44:I44"/>
    <mergeCell ref="C8:C9"/>
    <mergeCell ref="D8:D9"/>
    <mergeCell ref="E8:E9"/>
    <mergeCell ref="F8:F9"/>
    <mergeCell ref="G8:G9"/>
    <mergeCell ref="B2:J2"/>
    <mergeCell ref="B3:J3"/>
    <mergeCell ref="B4:J4"/>
    <mergeCell ref="B5:J5"/>
    <mergeCell ref="B6:J6"/>
  </mergeCells>
  <dataValidations count="4">
    <dataValidation type="list" allowBlank="1" showInputMessage="1" showErrorMessage="1" sqref="H10:H20 H35" xr:uid="{A5105A51-ABD1-456E-A6B1-D9F1E0FB3186}">
      <formula1>$H$65:$H$66</formula1>
    </dataValidation>
    <dataValidation type="list" allowBlank="1" showInputMessage="1" showErrorMessage="1" sqref="H36 H21:H34" xr:uid="{D1665BCB-3A39-4C7B-B4AD-2699D0CD8F38}">
      <formula1>$H$76:$H$77</formula1>
    </dataValidation>
    <dataValidation type="list" allowBlank="1" showInputMessage="1" showErrorMessage="1" sqref="H37:H40" xr:uid="{B3531575-7DF9-4BEE-9BCC-58A459ED77AF}">
      <formula1>$H$60:$H$61</formula1>
    </dataValidation>
    <dataValidation type="list" allowBlank="1" showInputMessage="1" showErrorMessage="1" sqref="H41" xr:uid="{0AB3A5A5-1E70-4488-BF0C-13340D0C60B5}">
      <formula1>$H$64:$H$65</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6A830-2482-43D6-A95C-A152B7EFC28A}">
  <dimension ref="A1:DI858"/>
  <sheetViews>
    <sheetView topLeftCell="A26" zoomScale="50" zoomScaleNormal="100" workbookViewId="0">
      <selection activeCell="D32" sqref="D32:J32"/>
    </sheetView>
  </sheetViews>
  <sheetFormatPr defaultRowHeight="14.5" x14ac:dyDescent="0.35"/>
  <cols>
    <col min="1" max="1" width="9.1796875" style="45"/>
    <col min="2" max="2" width="9.54296875" customWidth="1"/>
    <col min="3" max="3" width="18.26953125" bestFit="1" customWidth="1"/>
    <col min="4" max="4" width="10.54296875" bestFit="1" customWidth="1"/>
    <col min="5" max="5" width="23.7265625" customWidth="1"/>
    <col min="6" max="6" width="10.54296875" bestFit="1" customWidth="1"/>
    <col min="7" max="7" width="42.81640625" customWidth="1"/>
    <col min="8" max="8" width="51.7265625" bestFit="1" customWidth="1"/>
    <col min="9" max="9" width="146.1796875" bestFit="1" customWidth="1"/>
    <col min="10" max="10" width="11" style="44" customWidth="1"/>
    <col min="11" max="11" width="9.1796875" style="44"/>
    <col min="12" max="113" width="9.1796875" style="45"/>
  </cols>
  <sheetData>
    <row r="1" spans="2:11" s="45" customFormat="1" x14ac:dyDescent="0.35"/>
    <row r="2" spans="2:11" ht="20" x14ac:dyDescent="0.4">
      <c r="B2" s="241" t="s">
        <v>10</v>
      </c>
      <c r="C2" s="241"/>
      <c r="D2" s="241"/>
      <c r="E2" s="241"/>
      <c r="F2" s="241"/>
      <c r="G2" s="241"/>
      <c r="H2" s="241"/>
      <c r="I2" s="241"/>
      <c r="J2" s="241"/>
      <c r="K2" s="241"/>
    </row>
    <row r="3" spans="2:11" ht="18" x14ac:dyDescent="0.4">
      <c r="B3" s="242" t="s">
        <v>41</v>
      </c>
      <c r="C3" s="242"/>
      <c r="D3" s="242"/>
      <c r="E3" s="242"/>
      <c r="F3" s="242"/>
      <c r="G3" s="242"/>
      <c r="H3" s="242"/>
      <c r="I3" s="242"/>
      <c r="J3" s="242"/>
      <c r="K3" s="242"/>
    </row>
    <row r="4" spans="2:11" x14ac:dyDescent="0.35">
      <c r="B4" s="243" t="s">
        <v>354</v>
      </c>
      <c r="C4" s="243"/>
      <c r="D4" s="243"/>
      <c r="E4" s="243"/>
      <c r="F4" s="243"/>
      <c r="G4" s="243"/>
      <c r="H4" s="243"/>
      <c r="I4" s="243"/>
      <c r="J4" s="243"/>
      <c r="K4" s="243"/>
    </row>
    <row r="5" spans="2:11" x14ac:dyDescent="0.35">
      <c r="B5" s="244" t="s">
        <v>2</v>
      </c>
      <c r="C5" s="244"/>
      <c r="D5" s="244"/>
      <c r="E5" s="244"/>
      <c r="F5" s="244"/>
      <c r="G5" s="244"/>
      <c r="H5" s="244"/>
      <c r="I5" s="244"/>
      <c r="J5" s="244"/>
      <c r="K5" s="244"/>
    </row>
    <row r="6" spans="2:11" x14ac:dyDescent="0.35">
      <c r="B6" s="244" t="s">
        <v>12</v>
      </c>
      <c r="C6" s="244"/>
      <c r="D6" s="244"/>
      <c r="E6" s="244"/>
      <c r="F6" s="244"/>
      <c r="G6" s="244"/>
      <c r="H6" s="244"/>
      <c r="I6" s="244"/>
      <c r="J6" s="244"/>
      <c r="K6" s="244"/>
    </row>
    <row r="7" spans="2:11" x14ac:dyDescent="0.35">
      <c r="B7" s="132"/>
      <c r="C7" s="131"/>
      <c r="D7" s="131"/>
      <c r="E7" s="131"/>
      <c r="F7" s="131"/>
      <c r="G7" s="131"/>
      <c r="H7" s="44"/>
      <c r="I7" s="44"/>
    </row>
    <row r="8" spans="2:11" x14ac:dyDescent="0.35">
      <c r="B8" s="56"/>
      <c r="C8" s="240" t="s">
        <v>42</v>
      </c>
      <c r="D8" s="240" t="s">
        <v>43</v>
      </c>
      <c r="E8" s="240" t="s">
        <v>44</v>
      </c>
      <c r="F8" s="240" t="s">
        <v>45</v>
      </c>
      <c r="G8" s="240" t="s">
        <v>46</v>
      </c>
      <c r="H8" s="240" t="s">
        <v>48</v>
      </c>
      <c r="I8" s="240" t="s">
        <v>400</v>
      </c>
    </row>
    <row r="9" spans="2:11" x14ac:dyDescent="0.35">
      <c r="B9" s="44"/>
      <c r="C9" s="240"/>
      <c r="D9" s="240"/>
      <c r="E9" s="240"/>
      <c r="F9" s="240"/>
      <c r="G9" s="240"/>
      <c r="H9" s="240"/>
      <c r="I9" s="240"/>
    </row>
    <row r="10" spans="2:11" ht="338.5" x14ac:dyDescent="0.35">
      <c r="B10" s="44"/>
      <c r="C10" s="62" t="s">
        <v>60</v>
      </c>
      <c r="D10" s="113" t="s">
        <v>186</v>
      </c>
      <c r="E10" s="113" t="s">
        <v>80</v>
      </c>
      <c r="F10" s="113" t="s">
        <v>53</v>
      </c>
      <c r="G10" s="114" t="s">
        <v>187</v>
      </c>
      <c r="H10" s="108"/>
      <c r="I10" s="204" t="s">
        <v>573</v>
      </c>
    </row>
    <row r="11" spans="2:11" ht="301" x14ac:dyDescent="0.35">
      <c r="B11" s="44"/>
      <c r="C11" s="62" t="s">
        <v>66</v>
      </c>
      <c r="D11" s="113" t="s">
        <v>186</v>
      </c>
      <c r="E11" s="113" t="s">
        <v>82</v>
      </c>
      <c r="F11" s="113" t="s">
        <v>53</v>
      </c>
      <c r="G11" s="114" t="s">
        <v>83</v>
      </c>
      <c r="H11" s="108"/>
      <c r="I11" s="204" t="s">
        <v>502</v>
      </c>
    </row>
    <row r="12" spans="2:11" ht="226" x14ac:dyDescent="0.35">
      <c r="B12" s="44"/>
      <c r="C12" s="62" t="s">
        <v>66</v>
      </c>
      <c r="D12" s="113" t="s">
        <v>186</v>
      </c>
      <c r="E12" s="113" t="s">
        <v>82</v>
      </c>
      <c r="F12" s="113" t="s">
        <v>58</v>
      </c>
      <c r="G12" s="114" t="s">
        <v>188</v>
      </c>
      <c r="H12" s="108"/>
      <c r="I12" s="204" t="s">
        <v>503</v>
      </c>
    </row>
    <row r="13" spans="2:11" ht="409.6" x14ac:dyDescent="0.35">
      <c r="B13" s="44"/>
      <c r="C13" s="62" t="s">
        <v>60</v>
      </c>
      <c r="D13" s="113" t="s">
        <v>186</v>
      </c>
      <c r="E13" s="113" t="s">
        <v>84</v>
      </c>
      <c r="F13" s="113" t="s">
        <v>53</v>
      </c>
      <c r="G13" s="114" t="s">
        <v>85</v>
      </c>
      <c r="H13" s="108"/>
      <c r="I13" s="204" t="s">
        <v>504</v>
      </c>
    </row>
    <row r="14" spans="2:11" ht="338.5" x14ac:dyDescent="0.35">
      <c r="B14" s="44"/>
      <c r="C14" s="62" t="s">
        <v>66</v>
      </c>
      <c r="D14" s="113" t="s">
        <v>186</v>
      </c>
      <c r="E14" s="113" t="s">
        <v>189</v>
      </c>
      <c r="F14" s="113" t="s">
        <v>53</v>
      </c>
      <c r="G14" s="114" t="s">
        <v>190</v>
      </c>
      <c r="H14" s="108"/>
      <c r="I14" s="204" t="s">
        <v>505</v>
      </c>
    </row>
    <row r="15" spans="2:11" ht="409.6" x14ac:dyDescent="0.35">
      <c r="B15" s="44"/>
      <c r="C15" s="62" t="s">
        <v>60</v>
      </c>
      <c r="D15" s="113" t="s">
        <v>186</v>
      </c>
      <c r="E15" s="113" t="s">
        <v>86</v>
      </c>
      <c r="F15" s="113" t="s">
        <v>70</v>
      </c>
      <c r="G15" s="114" t="s">
        <v>87</v>
      </c>
      <c r="H15" s="108"/>
      <c r="I15" s="204" t="s">
        <v>506</v>
      </c>
    </row>
    <row r="16" spans="2:11" ht="87.5" x14ac:dyDescent="0.35">
      <c r="B16" s="44"/>
      <c r="C16" s="62" t="s">
        <v>111</v>
      </c>
      <c r="D16" s="113" t="s">
        <v>191</v>
      </c>
      <c r="E16" s="113" t="s">
        <v>122</v>
      </c>
      <c r="F16" s="113" t="s">
        <v>53</v>
      </c>
      <c r="G16" s="114" t="s">
        <v>123</v>
      </c>
      <c r="H16" s="108"/>
      <c r="I16" s="204" t="s">
        <v>507</v>
      </c>
    </row>
    <row r="17" spans="2:10" ht="201" x14ac:dyDescent="0.35">
      <c r="B17" s="44"/>
      <c r="C17" s="62" t="s">
        <v>66</v>
      </c>
      <c r="D17" s="113" t="s">
        <v>191</v>
      </c>
      <c r="E17" s="113" t="s">
        <v>124</v>
      </c>
      <c r="F17" s="113" t="s">
        <v>58</v>
      </c>
      <c r="G17" s="114" t="s">
        <v>125</v>
      </c>
      <c r="H17" s="108"/>
      <c r="I17" s="204" t="s">
        <v>508</v>
      </c>
    </row>
    <row r="18" spans="2:10" ht="241.5" x14ac:dyDescent="0.35">
      <c r="B18" s="44"/>
      <c r="C18" s="62" t="s">
        <v>66</v>
      </c>
      <c r="D18" s="113" t="s">
        <v>186</v>
      </c>
      <c r="E18" s="113" t="s">
        <v>82</v>
      </c>
      <c r="F18" s="113" t="s">
        <v>53</v>
      </c>
      <c r="G18" s="114" t="s">
        <v>128</v>
      </c>
      <c r="H18" s="108"/>
      <c r="I18" s="210" t="s">
        <v>574</v>
      </c>
    </row>
    <row r="19" spans="2:10" ht="326" x14ac:dyDescent="0.35">
      <c r="B19" s="44"/>
      <c r="C19" s="62" t="s">
        <v>111</v>
      </c>
      <c r="D19" s="113" t="s">
        <v>186</v>
      </c>
      <c r="E19" s="113" t="s">
        <v>129</v>
      </c>
      <c r="F19" s="113" t="s">
        <v>53</v>
      </c>
      <c r="G19" s="114" t="s">
        <v>130</v>
      </c>
      <c r="H19" s="108"/>
      <c r="I19" s="204" t="s">
        <v>509</v>
      </c>
    </row>
    <row r="20" spans="2:10" ht="401" x14ac:dyDescent="0.35">
      <c r="B20" s="44"/>
      <c r="C20" s="62" t="s">
        <v>111</v>
      </c>
      <c r="D20" s="113" t="s">
        <v>186</v>
      </c>
      <c r="E20" s="113" t="s">
        <v>192</v>
      </c>
      <c r="F20" s="113" t="s">
        <v>70</v>
      </c>
      <c r="G20" s="114" t="s">
        <v>193</v>
      </c>
      <c r="H20" s="108"/>
      <c r="I20" s="204" t="s">
        <v>510</v>
      </c>
    </row>
    <row r="21" spans="2:10" ht="251" x14ac:dyDescent="0.35">
      <c r="B21" s="44"/>
      <c r="C21" s="62" t="s">
        <v>66</v>
      </c>
      <c r="D21" s="113" t="s">
        <v>186</v>
      </c>
      <c r="E21" s="113" t="s">
        <v>131</v>
      </c>
      <c r="F21" s="113" t="s">
        <v>53</v>
      </c>
      <c r="G21" s="114" t="s">
        <v>132</v>
      </c>
      <c r="H21" s="108"/>
      <c r="I21" s="204" t="s">
        <v>511</v>
      </c>
    </row>
    <row r="22" spans="2:10" ht="263.5" x14ac:dyDescent="0.35">
      <c r="B22" s="44"/>
      <c r="C22" s="62" t="s">
        <v>95</v>
      </c>
      <c r="D22" s="113" t="s">
        <v>51</v>
      </c>
      <c r="E22" s="113" t="s">
        <v>140</v>
      </c>
      <c r="F22" s="113" t="s">
        <v>53</v>
      </c>
      <c r="G22" s="116" t="s">
        <v>141</v>
      </c>
      <c r="H22" s="108"/>
      <c r="I22" s="204" t="s">
        <v>572</v>
      </c>
    </row>
    <row r="23" spans="2:10" ht="388.5" x14ac:dyDescent="0.35">
      <c r="B23" s="44"/>
      <c r="C23" s="62" t="s">
        <v>111</v>
      </c>
      <c r="D23" s="113" t="s">
        <v>147</v>
      </c>
      <c r="E23" s="113" t="s">
        <v>148</v>
      </c>
      <c r="F23" s="113" t="s">
        <v>53</v>
      </c>
      <c r="G23" s="114" t="s">
        <v>149</v>
      </c>
      <c r="H23" s="108"/>
      <c r="I23" s="204" t="s">
        <v>512</v>
      </c>
    </row>
    <row r="24" spans="2:10" ht="62.5" x14ac:dyDescent="0.35">
      <c r="B24" s="44"/>
      <c r="C24" s="62" t="s">
        <v>111</v>
      </c>
      <c r="D24" s="113" t="s">
        <v>186</v>
      </c>
      <c r="E24" s="113" t="s">
        <v>82</v>
      </c>
      <c r="F24" s="113" t="s">
        <v>53</v>
      </c>
      <c r="G24" s="114" t="s">
        <v>194</v>
      </c>
      <c r="H24" s="108"/>
      <c r="I24" s="204" t="s">
        <v>513</v>
      </c>
    </row>
    <row r="25" spans="2:10" ht="401" x14ac:dyDescent="0.35">
      <c r="B25" s="44"/>
      <c r="C25" s="62" t="s">
        <v>95</v>
      </c>
      <c r="D25" s="113" t="s">
        <v>186</v>
      </c>
      <c r="E25" s="113" t="s">
        <v>129</v>
      </c>
      <c r="F25" s="113" t="s">
        <v>53</v>
      </c>
      <c r="G25" s="114" t="s">
        <v>150</v>
      </c>
      <c r="H25" s="108"/>
      <c r="I25" s="204" t="s">
        <v>514</v>
      </c>
    </row>
    <row r="26" spans="2:10" x14ac:dyDescent="0.35">
      <c r="B26" s="44"/>
      <c r="C26" s="44"/>
      <c r="D26" s="28"/>
      <c r="E26" s="28"/>
      <c r="F26" s="28"/>
      <c r="G26" s="28"/>
      <c r="H26" s="28"/>
      <c r="I26" s="28"/>
      <c r="J26" s="28"/>
    </row>
    <row r="27" spans="2:10" x14ac:dyDescent="0.35">
      <c r="B27" s="44"/>
      <c r="C27" s="44"/>
      <c r="D27" s="28"/>
      <c r="E27" s="28"/>
      <c r="F27" s="28"/>
      <c r="G27" s="28"/>
      <c r="H27" s="28"/>
      <c r="I27" s="28"/>
      <c r="J27" s="28"/>
    </row>
    <row r="28" spans="2:10" x14ac:dyDescent="0.35">
      <c r="B28" s="44"/>
      <c r="C28" s="44"/>
      <c r="D28" s="239" t="s">
        <v>151</v>
      </c>
      <c r="E28" s="239"/>
      <c r="F28" s="239"/>
      <c r="G28" s="239"/>
      <c r="H28" s="239"/>
      <c r="I28" s="239"/>
      <c r="J28" s="239"/>
    </row>
    <row r="29" spans="2:10" ht="120.75" customHeight="1" x14ac:dyDescent="0.35">
      <c r="B29" s="44"/>
      <c r="C29" s="44"/>
      <c r="D29" s="245"/>
      <c r="E29" s="246"/>
      <c r="F29" s="246"/>
      <c r="G29" s="246"/>
      <c r="H29" s="246"/>
      <c r="I29" s="246"/>
      <c r="J29" s="247"/>
    </row>
    <row r="30" spans="2:10" x14ac:dyDescent="0.35">
      <c r="B30" s="44"/>
      <c r="C30" s="44"/>
      <c r="D30" s="16"/>
      <c r="E30" s="16"/>
      <c r="F30" s="16"/>
      <c r="G30" s="16"/>
      <c r="H30" s="18"/>
      <c r="I30" s="18"/>
      <c r="J30" s="140"/>
    </row>
    <row r="31" spans="2:10" x14ac:dyDescent="0.35">
      <c r="B31" s="44"/>
      <c r="C31" s="44"/>
      <c r="D31" s="239" t="s">
        <v>152</v>
      </c>
      <c r="E31" s="239"/>
      <c r="F31" s="239"/>
      <c r="G31" s="239"/>
      <c r="H31" s="239"/>
      <c r="I31" s="239"/>
      <c r="J31" s="239"/>
    </row>
    <row r="32" spans="2:10" ht="133.5" customHeight="1" x14ac:dyDescent="0.35">
      <c r="B32" s="44"/>
      <c r="C32" s="44"/>
      <c r="D32" s="245" t="s">
        <v>637</v>
      </c>
      <c r="E32" s="246"/>
      <c r="F32" s="246"/>
      <c r="G32" s="246"/>
      <c r="H32" s="246"/>
      <c r="I32" s="246"/>
      <c r="J32" s="247"/>
    </row>
    <row r="33" spans="2:11" s="45" customFormat="1" x14ac:dyDescent="0.35">
      <c r="B33" s="44"/>
      <c r="C33" s="44"/>
      <c r="D33" s="44"/>
      <c r="E33" s="44"/>
      <c r="F33" s="44"/>
      <c r="G33" s="44"/>
      <c r="H33" s="44"/>
      <c r="I33" s="44"/>
      <c r="J33" s="44"/>
      <c r="K33" s="44"/>
    </row>
    <row r="34" spans="2:11" s="45" customFormat="1" x14ac:dyDescent="0.35"/>
    <row r="35" spans="2:11" s="45" customFormat="1" x14ac:dyDescent="0.35"/>
    <row r="36" spans="2:11" s="45" customFormat="1" x14ac:dyDescent="0.35"/>
    <row r="37" spans="2:11" s="45" customFormat="1" x14ac:dyDescent="0.35"/>
    <row r="38" spans="2:11" s="45" customFormat="1" x14ac:dyDescent="0.35"/>
    <row r="39" spans="2:11" s="45" customFormat="1" x14ac:dyDescent="0.35"/>
    <row r="40" spans="2:11" s="45" customFormat="1" x14ac:dyDescent="0.35"/>
    <row r="41" spans="2:11" s="45" customFormat="1" x14ac:dyDescent="0.35"/>
    <row r="42" spans="2:11" s="45" customFormat="1" x14ac:dyDescent="0.35"/>
    <row r="43" spans="2:11" s="45" customFormat="1" x14ac:dyDescent="0.35"/>
    <row r="44" spans="2:11" s="45" customFormat="1" x14ac:dyDescent="0.35"/>
    <row r="45" spans="2:11" s="45" customFormat="1" x14ac:dyDescent="0.35"/>
    <row r="46" spans="2:11" s="45" customFormat="1" x14ac:dyDescent="0.35"/>
    <row r="47" spans="2:11" s="45" customFormat="1" x14ac:dyDescent="0.35"/>
    <row r="48" spans="2:11" s="45" customFormat="1" x14ac:dyDescent="0.35"/>
    <row r="49" s="45" customFormat="1" x14ac:dyDescent="0.35"/>
    <row r="50" s="45" customFormat="1" x14ac:dyDescent="0.35"/>
    <row r="51" s="45" customFormat="1" x14ac:dyDescent="0.35"/>
    <row r="52" s="45" customFormat="1" x14ac:dyDescent="0.35"/>
    <row r="53" s="45" customFormat="1" x14ac:dyDescent="0.35"/>
    <row r="54" s="45" customFormat="1" x14ac:dyDescent="0.35"/>
    <row r="55" s="45" customFormat="1" x14ac:dyDescent="0.35"/>
    <row r="56" s="45" customFormat="1" x14ac:dyDescent="0.35"/>
    <row r="57" s="45" customFormat="1" x14ac:dyDescent="0.35"/>
    <row r="58" s="45" customFormat="1" x14ac:dyDescent="0.35"/>
    <row r="59" s="45" customFormat="1" x14ac:dyDescent="0.35"/>
    <row r="60" s="45" customFormat="1" x14ac:dyDescent="0.35"/>
    <row r="61" s="45" customFormat="1" x14ac:dyDescent="0.35"/>
    <row r="62" s="45" customFormat="1" x14ac:dyDescent="0.35"/>
    <row r="63" s="45" customFormat="1" x14ac:dyDescent="0.35"/>
    <row r="64" s="45" customFormat="1" x14ac:dyDescent="0.35"/>
    <row r="65" s="45" customFormat="1" x14ac:dyDescent="0.35"/>
    <row r="66" s="45" customFormat="1" x14ac:dyDescent="0.35"/>
    <row r="67" s="45" customFormat="1" x14ac:dyDescent="0.35"/>
    <row r="68" s="45" customFormat="1" x14ac:dyDescent="0.35"/>
    <row r="69" s="45" customFormat="1" x14ac:dyDescent="0.35"/>
    <row r="70" s="45" customFormat="1" x14ac:dyDescent="0.35"/>
    <row r="71" s="45" customFormat="1" x14ac:dyDescent="0.35"/>
    <row r="72" s="45" customFormat="1" x14ac:dyDescent="0.35"/>
    <row r="73" s="45" customFormat="1" x14ac:dyDescent="0.35"/>
    <row r="74" s="45" customFormat="1" x14ac:dyDescent="0.35"/>
    <row r="75" s="45" customFormat="1" x14ac:dyDescent="0.35"/>
    <row r="76" s="45" customFormat="1" x14ac:dyDescent="0.35"/>
    <row r="77" s="45" customFormat="1" x14ac:dyDescent="0.35"/>
    <row r="78" s="45" customFormat="1" x14ac:dyDescent="0.35"/>
    <row r="79" s="45" customFormat="1" x14ac:dyDescent="0.35"/>
    <row r="80" s="45" customFormat="1" x14ac:dyDescent="0.35"/>
    <row r="81" s="45" customFormat="1" x14ac:dyDescent="0.35"/>
    <row r="82" s="45" customFormat="1" x14ac:dyDescent="0.35"/>
    <row r="83" s="45" customFormat="1" x14ac:dyDescent="0.35"/>
    <row r="84" s="45" customFormat="1" x14ac:dyDescent="0.35"/>
    <row r="85" s="45" customFormat="1" x14ac:dyDescent="0.35"/>
    <row r="86" s="45" customFormat="1" x14ac:dyDescent="0.35"/>
    <row r="87" s="45" customFormat="1" x14ac:dyDescent="0.35"/>
    <row r="88" s="45" customFormat="1" x14ac:dyDescent="0.35"/>
    <row r="89" s="45" customFormat="1" x14ac:dyDescent="0.35"/>
    <row r="90" s="45" customFormat="1" x14ac:dyDescent="0.35"/>
    <row r="91" s="45" customFormat="1" x14ac:dyDescent="0.35"/>
    <row r="92" s="45" customFormat="1" x14ac:dyDescent="0.35"/>
    <row r="93" s="45" customFormat="1" x14ac:dyDescent="0.35"/>
    <row r="94" s="45" customFormat="1" x14ac:dyDescent="0.35"/>
    <row r="95" s="45" customFormat="1" x14ac:dyDescent="0.35"/>
    <row r="96" s="45" customFormat="1" x14ac:dyDescent="0.35"/>
    <row r="97" s="45" customFormat="1" x14ac:dyDescent="0.35"/>
    <row r="98" s="45" customFormat="1" x14ac:dyDescent="0.35"/>
    <row r="99" s="45" customFormat="1" x14ac:dyDescent="0.35"/>
    <row r="100" s="45" customFormat="1" x14ac:dyDescent="0.35"/>
    <row r="101" s="45" customFormat="1" x14ac:dyDescent="0.35"/>
    <row r="102" s="45" customFormat="1" x14ac:dyDescent="0.35"/>
    <row r="103" s="45" customFormat="1" x14ac:dyDescent="0.35"/>
    <row r="104" s="45" customFormat="1" x14ac:dyDescent="0.35"/>
    <row r="105" s="45" customFormat="1" x14ac:dyDescent="0.35"/>
    <row r="106" s="45" customFormat="1" x14ac:dyDescent="0.35"/>
    <row r="107" s="45" customFormat="1" x14ac:dyDescent="0.35"/>
    <row r="108" s="45" customFormat="1" x14ac:dyDescent="0.35"/>
    <row r="109" s="45" customFormat="1" x14ac:dyDescent="0.35"/>
    <row r="110" s="45" customFormat="1" x14ac:dyDescent="0.35"/>
    <row r="111" s="45" customFormat="1" x14ac:dyDescent="0.35"/>
    <row r="112" s="45" customFormat="1" x14ac:dyDescent="0.35"/>
    <row r="113" s="45" customFormat="1" x14ac:dyDescent="0.35"/>
    <row r="114" s="45" customFormat="1" x14ac:dyDescent="0.35"/>
    <row r="115" s="45" customFormat="1" x14ac:dyDescent="0.35"/>
    <row r="116" s="45" customFormat="1" x14ac:dyDescent="0.35"/>
    <row r="117" s="45" customFormat="1" x14ac:dyDescent="0.35"/>
    <row r="118" s="45" customFormat="1" x14ac:dyDescent="0.35"/>
    <row r="119" s="45" customFormat="1" x14ac:dyDescent="0.35"/>
    <row r="120" s="45" customFormat="1" x14ac:dyDescent="0.35"/>
    <row r="121" s="45" customFormat="1" x14ac:dyDescent="0.35"/>
    <row r="122" s="45" customFormat="1" x14ac:dyDescent="0.35"/>
    <row r="123" s="45" customFormat="1" x14ac:dyDescent="0.35"/>
    <row r="124" s="45" customFormat="1" x14ac:dyDescent="0.35"/>
    <row r="125" s="45" customFormat="1" x14ac:dyDescent="0.35"/>
    <row r="126" s="45" customFormat="1" x14ac:dyDescent="0.35"/>
    <row r="127" s="45" customFormat="1" x14ac:dyDescent="0.35"/>
    <row r="128" s="45" customFormat="1" x14ac:dyDescent="0.35"/>
    <row r="129" s="45" customFormat="1" x14ac:dyDescent="0.35"/>
    <row r="130" s="45" customFormat="1" x14ac:dyDescent="0.35"/>
    <row r="131" s="45" customFormat="1" x14ac:dyDescent="0.35"/>
    <row r="132" s="45" customFormat="1" x14ac:dyDescent="0.35"/>
    <row r="133" s="45" customFormat="1" x14ac:dyDescent="0.35"/>
    <row r="134" s="45" customFormat="1" x14ac:dyDescent="0.35"/>
    <row r="135" s="45" customFormat="1" x14ac:dyDescent="0.35"/>
    <row r="136" s="45" customFormat="1" x14ac:dyDescent="0.35"/>
    <row r="137" s="45" customFormat="1" x14ac:dyDescent="0.35"/>
    <row r="138" s="45" customFormat="1" x14ac:dyDescent="0.35"/>
    <row r="139" s="45" customFormat="1" x14ac:dyDescent="0.35"/>
    <row r="140" s="45" customFormat="1" x14ac:dyDescent="0.35"/>
    <row r="141" s="45" customFormat="1" x14ac:dyDescent="0.35"/>
    <row r="142" s="45" customFormat="1" x14ac:dyDescent="0.35"/>
    <row r="143" s="45" customFormat="1" x14ac:dyDescent="0.35"/>
    <row r="144" s="45" customFormat="1" x14ac:dyDescent="0.35"/>
    <row r="145" s="45" customFormat="1" x14ac:dyDescent="0.35"/>
    <row r="146" s="45" customFormat="1" x14ac:dyDescent="0.35"/>
    <row r="147" s="45" customFormat="1" x14ac:dyDescent="0.35"/>
    <row r="148" s="45" customFormat="1" x14ac:dyDescent="0.35"/>
    <row r="149" s="45" customFormat="1" x14ac:dyDescent="0.35"/>
    <row r="150" s="45" customFormat="1" x14ac:dyDescent="0.35"/>
    <row r="151" s="45" customFormat="1" x14ac:dyDescent="0.35"/>
    <row r="152" s="45" customFormat="1" x14ac:dyDescent="0.35"/>
    <row r="153" s="45" customFormat="1" x14ac:dyDescent="0.35"/>
    <row r="154" s="45" customFormat="1" x14ac:dyDescent="0.35"/>
    <row r="155" s="45" customFormat="1" x14ac:dyDescent="0.35"/>
    <row r="156" s="45" customFormat="1" x14ac:dyDescent="0.35"/>
    <row r="157" s="45" customFormat="1" x14ac:dyDescent="0.35"/>
    <row r="158" s="45" customFormat="1" x14ac:dyDescent="0.35"/>
    <row r="159" s="45" customFormat="1" x14ac:dyDescent="0.35"/>
    <row r="160" s="45" customFormat="1" x14ac:dyDescent="0.35"/>
    <row r="161" s="45" customFormat="1" x14ac:dyDescent="0.35"/>
    <row r="162" s="45" customFormat="1" x14ac:dyDescent="0.35"/>
    <row r="163" s="45" customFormat="1" x14ac:dyDescent="0.35"/>
    <row r="164" s="45" customFormat="1" x14ac:dyDescent="0.35"/>
    <row r="165" s="45" customFormat="1" x14ac:dyDescent="0.35"/>
    <row r="166" s="45" customFormat="1" x14ac:dyDescent="0.35"/>
    <row r="167" s="45" customFormat="1" x14ac:dyDescent="0.35"/>
    <row r="168" s="45" customFormat="1" x14ac:dyDescent="0.35"/>
    <row r="169" s="45" customFormat="1" x14ac:dyDescent="0.35"/>
    <row r="170" s="45" customFormat="1" x14ac:dyDescent="0.35"/>
    <row r="171" s="45" customFormat="1" x14ac:dyDescent="0.35"/>
    <row r="172" s="45" customFormat="1" x14ac:dyDescent="0.35"/>
    <row r="173" s="45" customFormat="1" x14ac:dyDescent="0.35"/>
    <row r="174" s="45" customFormat="1" x14ac:dyDescent="0.35"/>
    <row r="175" s="45" customFormat="1" x14ac:dyDescent="0.35"/>
    <row r="176" s="45" customFormat="1" x14ac:dyDescent="0.35"/>
    <row r="177" s="45" customFormat="1" x14ac:dyDescent="0.35"/>
    <row r="178" s="45" customFormat="1" x14ac:dyDescent="0.35"/>
    <row r="179" s="45" customFormat="1" x14ac:dyDescent="0.35"/>
    <row r="180" s="45" customFormat="1" x14ac:dyDescent="0.35"/>
    <row r="181" s="45" customFormat="1" x14ac:dyDescent="0.35"/>
    <row r="182" s="45" customFormat="1" x14ac:dyDescent="0.35"/>
    <row r="183" s="45" customFormat="1" x14ac:dyDescent="0.35"/>
    <row r="184" s="45" customFormat="1" x14ac:dyDescent="0.35"/>
    <row r="185" s="45" customFormat="1" x14ac:dyDescent="0.35"/>
    <row r="186" s="45" customFormat="1" x14ac:dyDescent="0.35"/>
    <row r="187" s="45" customFormat="1" x14ac:dyDescent="0.35"/>
    <row r="188" s="45" customFormat="1" x14ac:dyDescent="0.35"/>
    <row r="189" s="45" customFormat="1" x14ac:dyDescent="0.35"/>
    <row r="190" s="45" customFormat="1" x14ac:dyDescent="0.35"/>
    <row r="191" s="45" customFormat="1" x14ac:dyDescent="0.35"/>
    <row r="192" s="45" customFormat="1" x14ac:dyDescent="0.35"/>
    <row r="193" s="45" customFormat="1" x14ac:dyDescent="0.35"/>
    <row r="194" s="45" customFormat="1" x14ac:dyDescent="0.35"/>
    <row r="195" s="45" customFormat="1" x14ac:dyDescent="0.35"/>
    <row r="196" s="45" customFormat="1" x14ac:dyDescent="0.35"/>
    <row r="197" s="45" customFormat="1" x14ac:dyDescent="0.35"/>
    <row r="198" s="45" customFormat="1" x14ac:dyDescent="0.35"/>
    <row r="199" s="45" customFormat="1" x14ac:dyDescent="0.35"/>
    <row r="200" s="45" customFormat="1" x14ac:dyDescent="0.35"/>
    <row r="201" s="45" customFormat="1" x14ac:dyDescent="0.35"/>
    <row r="202" s="45" customFormat="1" x14ac:dyDescent="0.35"/>
    <row r="203" s="45" customFormat="1" x14ac:dyDescent="0.35"/>
    <row r="204" s="45" customFormat="1" x14ac:dyDescent="0.35"/>
    <row r="205" s="45" customFormat="1" x14ac:dyDescent="0.35"/>
    <row r="206" s="45" customFormat="1" x14ac:dyDescent="0.35"/>
    <row r="207" s="45" customFormat="1" x14ac:dyDescent="0.35"/>
    <row r="208" s="45" customFormat="1" x14ac:dyDescent="0.35"/>
    <row r="209" s="45" customFormat="1" x14ac:dyDescent="0.35"/>
    <row r="210" s="45" customFormat="1" x14ac:dyDescent="0.35"/>
    <row r="211" s="45" customFormat="1" x14ac:dyDescent="0.35"/>
    <row r="212" s="45" customFormat="1" x14ac:dyDescent="0.35"/>
    <row r="213" s="45" customFormat="1" x14ac:dyDescent="0.35"/>
    <row r="214" s="45" customFormat="1" x14ac:dyDescent="0.35"/>
    <row r="215" s="45" customFormat="1" x14ac:dyDescent="0.35"/>
    <row r="216" s="45" customFormat="1" x14ac:dyDescent="0.35"/>
    <row r="217" s="45" customFormat="1" x14ac:dyDescent="0.35"/>
    <row r="218" s="45" customFormat="1" x14ac:dyDescent="0.35"/>
    <row r="219" s="45" customFormat="1" x14ac:dyDescent="0.35"/>
    <row r="220" s="45" customFormat="1" x14ac:dyDescent="0.35"/>
    <row r="221" s="45" customFormat="1" x14ac:dyDescent="0.35"/>
    <row r="222" s="45" customFormat="1" x14ac:dyDescent="0.35"/>
    <row r="223" s="45" customFormat="1" x14ac:dyDescent="0.35"/>
    <row r="224" s="45" customFormat="1" x14ac:dyDescent="0.35"/>
    <row r="225" s="45" customFormat="1" x14ac:dyDescent="0.35"/>
    <row r="226" s="45" customFormat="1" x14ac:dyDescent="0.35"/>
    <row r="227" s="45" customFormat="1" x14ac:dyDescent="0.35"/>
    <row r="228" s="45" customFormat="1" x14ac:dyDescent="0.35"/>
    <row r="229" s="45" customFormat="1" x14ac:dyDescent="0.35"/>
    <row r="230" s="45" customFormat="1" x14ac:dyDescent="0.35"/>
    <row r="231" s="45" customFormat="1" x14ac:dyDescent="0.35"/>
    <row r="232" s="45" customFormat="1" x14ac:dyDescent="0.35"/>
    <row r="233" s="45" customFormat="1" x14ac:dyDescent="0.35"/>
    <row r="234" s="45" customFormat="1" x14ac:dyDescent="0.35"/>
    <row r="235" s="45" customFormat="1" x14ac:dyDescent="0.35"/>
    <row r="236" s="45" customFormat="1" x14ac:dyDescent="0.35"/>
    <row r="237" s="45" customFormat="1" x14ac:dyDescent="0.35"/>
    <row r="238" s="45" customFormat="1" x14ac:dyDescent="0.35"/>
    <row r="239" s="45" customFormat="1" x14ac:dyDescent="0.35"/>
    <row r="240" s="45" customFormat="1" x14ac:dyDescent="0.35"/>
    <row r="241" s="45" customFormat="1" x14ac:dyDescent="0.35"/>
    <row r="242" s="45" customFormat="1" x14ac:dyDescent="0.35"/>
    <row r="243" s="45" customFormat="1" x14ac:dyDescent="0.35"/>
    <row r="244" s="45" customFormat="1" x14ac:dyDescent="0.35"/>
    <row r="245" s="45" customFormat="1" x14ac:dyDescent="0.35"/>
    <row r="246" s="45" customFormat="1" x14ac:dyDescent="0.35"/>
    <row r="247" s="45" customFormat="1" x14ac:dyDescent="0.35"/>
    <row r="248" s="45" customFormat="1" x14ac:dyDescent="0.35"/>
    <row r="249" s="45" customFormat="1" x14ac:dyDescent="0.35"/>
    <row r="250" s="45" customFormat="1" x14ac:dyDescent="0.35"/>
    <row r="251" s="45" customFormat="1" x14ac:dyDescent="0.35"/>
    <row r="252" s="45" customFormat="1" x14ac:dyDescent="0.35"/>
    <row r="253" s="45" customFormat="1" x14ac:dyDescent="0.35"/>
    <row r="254" s="45" customFormat="1" x14ac:dyDescent="0.35"/>
    <row r="255" s="45" customFormat="1" x14ac:dyDescent="0.35"/>
    <row r="256" s="45" customFormat="1" x14ac:dyDescent="0.35"/>
    <row r="257" s="45" customFormat="1" x14ac:dyDescent="0.35"/>
    <row r="258" s="45" customFormat="1" x14ac:dyDescent="0.35"/>
    <row r="259" s="45" customFormat="1" x14ac:dyDescent="0.35"/>
    <row r="260" s="45" customFormat="1" x14ac:dyDescent="0.35"/>
    <row r="261" s="45" customFormat="1" x14ac:dyDescent="0.35"/>
    <row r="262" s="45" customFormat="1" x14ac:dyDescent="0.35"/>
    <row r="263" s="45" customFormat="1" x14ac:dyDescent="0.35"/>
    <row r="264" s="45" customFormat="1" x14ac:dyDescent="0.35"/>
    <row r="265" s="45" customFormat="1" x14ac:dyDescent="0.35"/>
    <row r="266" s="45" customFormat="1" x14ac:dyDescent="0.35"/>
    <row r="267" s="45" customFormat="1" x14ac:dyDescent="0.35"/>
    <row r="268" s="45" customFormat="1" x14ac:dyDescent="0.35"/>
    <row r="269" s="45" customFormat="1" x14ac:dyDescent="0.35"/>
    <row r="270" s="45" customFormat="1" x14ac:dyDescent="0.35"/>
    <row r="271" s="45" customFormat="1" x14ac:dyDescent="0.35"/>
    <row r="272" s="45" customFormat="1" x14ac:dyDescent="0.35"/>
    <row r="273" s="45" customFormat="1" x14ac:dyDescent="0.35"/>
    <row r="274" s="45" customFormat="1" x14ac:dyDescent="0.35"/>
    <row r="275" s="45" customFormat="1" x14ac:dyDescent="0.35"/>
    <row r="276" s="45" customFormat="1" x14ac:dyDescent="0.35"/>
    <row r="277" s="45" customFormat="1" x14ac:dyDescent="0.35"/>
    <row r="278" s="45" customFormat="1" x14ac:dyDescent="0.35"/>
    <row r="279" s="45" customFormat="1" x14ac:dyDescent="0.35"/>
    <row r="280" s="45" customFormat="1" x14ac:dyDescent="0.35"/>
    <row r="281" s="45" customFormat="1" x14ac:dyDescent="0.35"/>
    <row r="282" s="45" customFormat="1" x14ac:dyDescent="0.35"/>
    <row r="283" s="45" customFormat="1" x14ac:dyDescent="0.35"/>
    <row r="284" s="45" customFormat="1" x14ac:dyDescent="0.35"/>
    <row r="285" s="45" customFormat="1" x14ac:dyDescent="0.35"/>
    <row r="286" s="45" customFormat="1" x14ac:dyDescent="0.35"/>
    <row r="287" s="45" customFormat="1" x14ac:dyDescent="0.35"/>
    <row r="288" s="45" customFormat="1" x14ac:dyDescent="0.35"/>
    <row r="289" s="45" customFormat="1" x14ac:dyDescent="0.35"/>
    <row r="290" s="45" customFormat="1" x14ac:dyDescent="0.35"/>
    <row r="291" s="45" customFormat="1" x14ac:dyDescent="0.35"/>
    <row r="292" s="45" customFormat="1" x14ac:dyDescent="0.35"/>
    <row r="293" s="45" customFormat="1" x14ac:dyDescent="0.35"/>
    <row r="294" s="45" customFormat="1" x14ac:dyDescent="0.35"/>
    <row r="295" s="45" customFormat="1" x14ac:dyDescent="0.35"/>
    <row r="296" s="45" customFormat="1" x14ac:dyDescent="0.35"/>
    <row r="297" s="45" customFormat="1" x14ac:dyDescent="0.35"/>
    <row r="298" s="45" customFormat="1" x14ac:dyDescent="0.35"/>
    <row r="299" s="45" customFormat="1" x14ac:dyDescent="0.35"/>
    <row r="300" s="45" customFormat="1" x14ac:dyDescent="0.35"/>
    <row r="301" s="45" customFormat="1" x14ac:dyDescent="0.35"/>
    <row r="302" s="45" customFormat="1" x14ac:dyDescent="0.35"/>
    <row r="303" s="45" customFormat="1" x14ac:dyDescent="0.35"/>
    <row r="304" s="45" customFormat="1" x14ac:dyDescent="0.35"/>
    <row r="305" s="45" customFormat="1" x14ac:dyDescent="0.35"/>
    <row r="306" s="45" customFormat="1" x14ac:dyDescent="0.35"/>
    <row r="307" s="45" customFormat="1" x14ac:dyDescent="0.35"/>
    <row r="308" s="45" customFormat="1" x14ac:dyDescent="0.35"/>
    <row r="309" s="45" customFormat="1" x14ac:dyDescent="0.35"/>
    <row r="310" s="45" customFormat="1" x14ac:dyDescent="0.35"/>
    <row r="311" s="45" customFormat="1" x14ac:dyDescent="0.35"/>
    <row r="312" s="45" customFormat="1" x14ac:dyDescent="0.35"/>
    <row r="313" s="45" customFormat="1" x14ac:dyDescent="0.35"/>
    <row r="314" s="45" customFormat="1" x14ac:dyDescent="0.35"/>
    <row r="315" s="45" customFormat="1" x14ac:dyDescent="0.35"/>
    <row r="316" s="45" customFormat="1" x14ac:dyDescent="0.35"/>
    <row r="317" s="45" customFormat="1" x14ac:dyDescent="0.35"/>
    <row r="318" s="45" customFormat="1" x14ac:dyDescent="0.35"/>
    <row r="319" s="45" customFormat="1" x14ac:dyDescent="0.35"/>
    <row r="320" s="45" customFormat="1" x14ac:dyDescent="0.35"/>
    <row r="321" s="45" customFormat="1" x14ac:dyDescent="0.35"/>
    <row r="322" s="45" customFormat="1" x14ac:dyDescent="0.35"/>
    <row r="323" s="45" customFormat="1" x14ac:dyDescent="0.35"/>
    <row r="324" s="45" customFormat="1" x14ac:dyDescent="0.35"/>
    <row r="325" s="45" customFormat="1" x14ac:dyDescent="0.35"/>
    <row r="326" s="45" customFormat="1" x14ac:dyDescent="0.35"/>
    <row r="327" s="45" customFormat="1" x14ac:dyDescent="0.35"/>
    <row r="328" s="45" customFormat="1" x14ac:dyDescent="0.35"/>
    <row r="329" s="45" customFormat="1" x14ac:dyDescent="0.35"/>
    <row r="330" s="45" customFormat="1" x14ac:dyDescent="0.35"/>
    <row r="331" s="45" customFormat="1" x14ac:dyDescent="0.35"/>
    <row r="332" s="45" customFormat="1" x14ac:dyDescent="0.35"/>
    <row r="333" s="45" customFormat="1" x14ac:dyDescent="0.35"/>
    <row r="334" s="45" customFormat="1" x14ac:dyDescent="0.35"/>
    <row r="335" s="45" customFormat="1" x14ac:dyDescent="0.35"/>
    <row r="336" s="45" customFormat="1" x14ac:dyDescent="0.35"/>
    <row r="337" s="45" customFormat="1" x14ac:dyDescent="0.35"/>
    <row r="338" s="45" customFormat="1" x14ac:dyDescent="0.35"/>
    <row r="339" s="45" customFormat="1" x14ac:dyDescent="0.35"/>
    <row r="340" s="45" customFormat="1" x14ac:dyDescent="0.35"/>
    <row r="341" s="45" customFormat="1" x14ac:dyDescent="0.35"/>
    <row r="342" s="45" customFormat="1" x14ac:dyDescent="0.35"/>
    <row r="343" s="45" customFormat="1" x14ac:dyDescent="0.35"/>
    <row r="344" s="45" customFormat="1" x14ac:dyDescent="0.35"/>
    <row r="345" s="45" customFormat="1" x14ac:dyDescent="0.35"/>
    <row r="346" s="45" customFormat="1" x14ac:dyDescent="0.35"/>
    <row r="347" s="45" customFormat="1" x14ac:dyDescent="0.35"/>
    <row r="348" s="45" customFormat="1" x14ac:dyDescent="0.35"/>
    <row r="349" s="45" customFormat="1" x14ac:dyDescent="0.35"/>
    <row r="350" s="45" customFormat="1" x14ac:dyDescent="0.35"/>
    <row r="351" s="45" customFormat="1" x14ac:dyDescent="0.35"/>
    <row r="352" s="45" customFormat="1" x14ac:dyDescent="0.35"/>
    <row r="353" s="45" customFormat="1" x14ac:dyDescent="0.35"/>
    <row r="354" s="45" customFormat="1" x14ac:dyDescent="0.35"/>
    <row r="355" s="45" customFormat="1" x14ac:dyDescent="0.35"/>
    <row r="356" s="45" customFormat="1" x14ac:dyDescent="0.35"/>
    <row r="357" s="45" customFormat="1" x14ac:dyDescent="0.35"/>
    <row r="358" s="45" customFormat="1" x14ac:dyDescent="0.35"/>
    <row r="359" s="45" customFormat="1" x14ac:dyDescent="0.35"/>
    <row r="360" s="45" customFormat="1" x14ac:dyDescent="0.35"/>
    <row r="361" s="45" customFormat="1" x14ac:dyDescent="0.35"/>
    <row r="362" s="45" customFormat="1" x14ac:dyDescent="0.35"/>
    <row r="363" s="45" customFormat="1" x14ac:dyDescent="0.35"/>
    <row r="364" s="45" customFormat="1" x14ac:dyDescent="0.35"/>
    <row r="365" s="45" customFormat="1" x14ac:dyDescent="0.35"/>
    <row r="366" s="45" customFormat="1" x14ac:dyDescent="0.35"/>
    <row r="367" s="45" customFormat="1" x14ac:dyDescent="0.35"/>
    <row r="368" s="45" customFormat="1" x14ac:dyDescent="0.35"/>
    <row r="369" s="45" customFormat="1" x14ac:dyDescent="0.35"/>
    <row r="370" s="45" customFormat="1" x14ac:dyDescent="0.35"/>
    <row r="371" s="45" customFormat="1" x14ac:dyDescent="0.35"/>
    <row r="372" s="45" customFormat="1" x14ac:dyDescent="0.35"/>
    <row r="373" s="45" customFormat="1" x14ac:dyDescent="0.35"/>
    <row r="374" s="45" customFormat="1" x14ac:dyDescent="0.35"/>
    <row r="375" s="45" customFormat="1" x14ac:dyDescent="0.35"/>
    <row r="376" s="45" customFormat="1" x14ac:dyDescent="0.35"/>
    <row r="377" s="45" customFormat="1" x14ac:dyDescent="0.35"/>
    <row r="378" s="45" customFormat="1" x14ac:dyDescent="0.35"/>
    <row r="379" s="45" customFormat="1" x14ac:dyDescent="0.35"/>
    <row r="380" s="45" customFormat="1" x14ac:dyDescent="0.35"/>
    <row r="381" s="45" customFormat="1" x14ac:dyDescent="0.35"/>
    <row r="382" s="45" customFormat="1" x14ac:dyDescent="0.35"/>
    <row r="383" s="45" customFormat="1" x14ac:dyDescent="0.35"/>
    <row r="384" s="45" customFormat="1" x14ac:dyDescent="0.35"/>
    <row r="385" s="45" customFormat="1" x14ac:dyDescent="0.35"/>
    <row r="386" s="45" customFormat="1" x14ac:dyDescent="0.35"/>
    <row r="387" s="45" customFormat="1" x14ac:dyDescent="0.35"/>
    <row r="388" s="45" customFormat="1" x14ac:dyDescent="0.35"/>
    <row r="389" s="45" customFormat="1" x14ac:dyDescent="0.35"/>
    <row r="390" s="45" customFormat="1" x14ac:dyDescent="0.35"/>
    <row r="391" s="45" customFormat="1" x14ac:dyDescent="0.35"/>
    <row r="392" s="45" customFormat="1" x14ac:dyDescent="0.35"/>
    <row r="393" s="45" customFormat="1" x14ac:dyDescent="0.35"/>
    <row r="394" s="45" customFormat="1" x14ac:dyDescent="0.35"/>
    <row r="395" s="45" customFormat="1" x14ac:dyDescent="0.35"/>
    <row r="396" s="45" customFormat="1" x14ac:dyDescent="0.35"/>
    <row r="397" s="45" customFormat="1" x14ac:dyDescent="0.35"/>
    <row r="398" s="45" customFormat="1" x14ac:dyDescent="0.35"/>
    <row r="399" s="45" customFormat="1" x14ac:dyDescent="0.35"/>
    <row r="400" s="45" customFormat="1" x14ac:dyDescent="0.35"/>
    <row r="401" s="45" customFormat="1" x14ac:dyDescent="0.35"/>
    <row r="402" s="45" customFormat="1" x14ac:dyDescent="0.35"/>
    <row r="403" s="45" customFormat="1" x14ac:dyDescent="0.35"/>
    <row r="404" s="45" customFormat="1" x14ac:dyDescent="0.35"/>
    <row r="405" s="45" customFormat="1" x14ac:dyDescent="0.35"/>
    <row r="406" s="45" customFormat="1" x14ac:dyDescent="0.35"/>
    <row r="407" s="45" customFormat="1" x14ac:dyDescent="0.35"/>
    <row r="408" s="45" customFormat="1" x14ac:dyDescent="0.35"/>
    <row r="409" s="45" customFormat="1" x14ac:dyDescent="0.35"/>
    <row r="410" s="45" customFormat="1" x14ac:dyDescent="0.35"/>
    <row r="411" s="45" customFormat="1" x14ac:dyDescent="0.35"/>
    <row r="412" s="45" customFormat="1" x14ac:dyDescent="0.35"/>
    <row r="413" s="45" customFormat="1" x14ac:dyDescent="0.35"/>
    <row r="414" s="45" customFormat="1" x14ac:dyDescent="0.35"/>
    <row r="415" s="45" customFormat="1" x14ac:dyDescent="0.35"/>
    <row r="416" s="45" customFormat="1" x14ac:dyDescent="0.35"/>
    <row r="417" s="45" customFormat="1" x14ac:dyDescent="0.35"/>
    <row r="418" s="45" customFormat="1" x14ac:dyDescent="0.35"/>
    <row r="419" s="45" customFormat="1" x14ac:dyDescent="0.35"/>
    <row r="420" s="45" customFormat="1" x14ac:dyDescent="0.35"/>
    <row r="421" s="45" customFormat="1" x14ac:dyDescent="0.35"/>
    <row r="422" s="45" customFormat="1" x14ac:dyDescent="0.35"/>
    <row r="423" s="45" customFormat="1" x14ac:dyDescent="0.35"/>
    <row r="424" s="45" customFormat="1" x14ac:dyDescent="0.35"/>
    <row r="425" s="45" customFormat="1" x14ac:dyDescent="0.35"/>
    <row r="426" s="45" customFormat="1" x14ac:dyDescent="0.35"/>
    <row r="427" s="45" customFormat="1" x14ac:dyDescent="0.35"/>
    <row r="428" s="45" customFormat="1" x14ac:dyDescent="0.35"/>
    <row r="429" s="45" customFormat="1" x14ac:dyDescent="0.35"/>
    <row r="430" s="45" customFormat="1" x14ac:dyDescent="0.35"/>
    <row r="431" s="45" customFormat="1" x14ac:dyDescent="0.35"/>
    <row r="432" s="45" customFormat="1" x14ac:dyDescent="0.35"/>
    <row r="433" s="45" customFormat="1" x14ac:dyDescent="0.35"/>
    <row r="434" s="45" customFormat="1" x14ac:dyDescent="0.35"/>
    <row r="435" s="45" customFormat="1" x14ac:dyDescent="0.35"/>
    <row r="436" s="45" customFormat="1" x14ac:dyDescent="0.35"/>
    <row r="437" s="45" customFormat="1" x14ac:dyDescent="0.35"/>
    <row r="438" s="45" customFormat="1" x14ac:dyDescent="0.35"/>
    <row r="439" s="45" customFormat="1" x14ac:dyDescent="0.35"/>
    <row r="440" s="45" customFormat="1" x14ac:dyDescent="0.35"/>
    <row r="441" s="45" customFormat="1" x14ac:dyDescent="0.35"/>
    <row r="442" s="45" customFormat="1" x14ac:dyDescent="0.35"/>
    <row r="443" s="45" customFormat="1" x14ac:dyDescent="0.35"/>
    <row r="444" s="45" customFormat="1" x14ac:dyDescent="0.35"/>
    <row r="445" s="45" customFormat="1" x14ac:dyDescent="0.35"/>
    <row r="446" s="45" customFormat="1" x14ac:dyDescent="0.35"/>
    <row r="447" s="45" customFormat="1" x14ac:dyDescent="0.35"/>
    <row r="448" s="45" customFormat="1" x14ac:dyDescent="0.35"/>
    <row r="449" s="45" customFormat="1" x14ac:dyDescent="0.35"/>
    <row r="450" s="45" customFormat="1" x14ac:dyDescent="0.35"/>
    <row r="451" s="45" customFormat="1" x14ac:dyDescent="0.35"/>
    <row r="452" s="45" customFormat="1" x14ac:dyDescent="0.35"/>
    <row r="453" s="45" customFormat="1" x14ac:dyDescent="0.35"/>
    <row r="454" s="45" customFormat="1" x14ac:dyDescent="0.35"/>
    <row r="455" s="45" customFormat="1" x14ac:dyDescent="0.35"/>
    <row r="456" s="45" customFormat="1" x14ac:dyDescent="0.35"/>
    <row r="457" s="45" customFormat="1" x14ac:dyDescent="0.35"/>
    <row r="458" s="45" customFormat="1" x14ac:dyDescent="0.35"/>
    <row r="459" s="45" customFormat="1" x14ac:dyDescent="0.35"/>
    <row r="460" s="45" customFormat="1" x14ac:dyDescent="0.35"/>
    <row r="461" s="45" customFormat="1" x14ac:dyDescent="0.35"/>
    <row r="462" s="45" customFormat="1" x14ac:dyDescent="0.35"/>
    <row r="463" s="45" customFormat="1" x14ac:dyDescent="0.35"/>
    <row r="464" s="45" customFormat="1" x14ac:dyDescent="0.35"/>
    <row r="465" s="45" customFormat="1" x14ac:dyDescent="0.35"/>
    <row r="466" s="45" customFormat="1" x14ac:dyDescent="0.35"/>
    <row r="467" s="45" customFormat="1" x14ac:dyDescent="0.35"/>
    <row r="468" s="45" customFormat="1" x14ac:dyDescent="0.35"/>
    <row r="469" s="45" customFormat="1" x14ac:dyDescent="0.35"/>
    <row r="470" s="45" customFormat="1" x14ac:dyDescent="0.35"/>
    <row r="471" s="45" customFormat="1" x14ac:dyDescent="0.35"/>
    <row r="472" s="45" customFormat="1" x14ac:dyDescent="0.35"/>
    <row r="473" s="45" customFormat="1" x14ac:dyDescent="0.35"/>
    <row r="474" s="45" customFormat="1" x14ac:dyDescent="0.35"/>
    <row r="475" s="45" customFormat="1" x14ac:dyDescent="0.35"/>
    <row r="476" s="45" customFormat="1" x14ac:dyDescent="0.35"/>
    <row r="477" s="45" customFormat="1" x14ac:dyDescent="0.35"/>
    <row r="478" s="45" customFormat="1" x14ac:dyDescent="0.35"/>
    <row r="479" s="45" customFormat="1" x14ac:dyDescent="0.35"/>
    <row r="480" s="45" customFormat="1" x14ac:dyDescent="0.35"/>
    <row r="481" s="45" customFormat="1" x14ac:dyDescent="0.35"/>
    <row r="482" s="45" customFormat="1" x14ac:dyDescent="0.35"/>
    <row r="483" s="45" customFormat="1" x14ac:dyDescent="0.35"/>
    <row r="484" s="45" customFormat="1" x14ac:dyDescent="0.35"/>
    <row r="485" s="45" customFormat="1" x14ac:dyDescent="0.35"/>
    <row r="486" s="45" customFormat="1" x14ac:dyDescent="0.35"/>
    <row r="487" s="45" customFormat="1" x14ac:dyDescent="0.35"/>
    <row r="488" s="45" customFormat="1" x14ac:dyDescent="0.35"/>
    <row r="489" s="45" customFormat="1" x14ac:dyDescent="0.35"/>
    <row r="490" s="45" customFormat="1" x14ac:dyDescent="0.35"/>
    <row r="491" s="45" customFormat="1" x14ac:dyDescent="0.35"/>
    <row r="492" s="45" customFormat="1" x14ac:dyDescent="0.35"/>
    <row r="493" s="45" customFormat="1" x14ac:dyDescent="0.35"/>
    <row r="494" s="45" customFormat="1" x14ac:dyDescent="0.35"/>
    <row r="495" s="45" customFormat="1" x14ac:dyDescent="0.35"/>
    <row r="496" s="45" customFormat="1" x14ac:dyDescent="0.35"/>
    <row r="497" s="45" customFormat="1" x14ac:dyDescent="0.35"/>
    <row r="498" s="45" customFormat="1" x14ac:dyDescent="0.35"/>
    <row r="499" s="45" customFormat="1" x14ac:dyDescent="0.35"/>
    <row r="500" s="45" customFormat="1" x14ac:dyDescent="0.35"/>
    <row r="501" s="45" customFormat="1" x14ac:dyDescent="0.35"/>
    <row r="502" s="45" customFormat="1" x14ac:dyDescent="0.35"/>
    <row r="503" s="45" customFormat="1" x14ac:dyDescent="0.35"/>
    <row r="504" s="45" customFormat="1" x14ac:dyDescent="0.35"/>
    <row r="505" s="45" customFormat="1" x14ac:dyDescent="0.35"/>
    <row r="506" s="45" customFormat="1" x14ac:dyDescent="0.35"/>
    <row r="507" s="45" customFormat="1" x14ac:dyDescent="0.35"/>
    <row r="508" s="45" customFormat="1" x14ac:dyDescent="0.35"/>
    <row r="509" s="45" customFormat="1" x14ac:dyDescent="0.35"/>
    <row r="510" s="45" customFormat="1" x14ac:dyDescent="0.35"/>
    <row r="511" s="45" customFormat="1" x14ac:dyDescent="0.35"/>
    <row r="512" s="45" customFormat="1" x14ac:dyDescent="0.35"/>
    <row r="513" s="45" customFormat="1" x14ac:dyDescent="0.35"/>
    <row r="514" s="45" customFormat="1" x14ac:dyDescent="0.35"/>
    <row r="515" s="45" customFormat="1" x14ac:dyDescent="0.35"/>
    <row r="516" s="45" customFormat="1" x14ac:dyDescent="0.35"/>
    <row r="517" s="45" customFormat="1" x14ac:dyDescent="0.35"/>
    <row r="518" s="45" customFormat="1" x14ac:dyDescent="0.35"/>
    <row r="519" s="45" customFormat="1" x14ac:dyDescent="0.35"/>
    <row r="520" s="45" customFormat="1" x14ac:dyDescent="0.35"/>
    <row r="521" s="45" customFormat="1" x14ac:dyDescent="0.35"/>
    <row r="522" s="45" customFormat="1" x14ac:dyDescent="0.35"/>
    <row r="523" s="45" customFormat="1" x14ac:dyDescent="0.35"/>
    <row r="524" s="45" customFormat="1" x14ac:dyDescent="0.35"/>
    <row r="525" s="45" customFormat="1" x14ac:dyDescent="0.35"/>
    <row r="526" s="45" customFormat="1" x14ac:dyDescent="0.35"/>
    <row r="527" s="45" customFormat="1" x14ac:dyDescent="0.35"/>
    <row r="528" s="45" customFormat="1" x14ac:dyDescent="0.35"/>
    <row r="529" s="45" customFormat="1" x14ac:dyDescent="0.35"/>
    <row r="530" s="45" customFormat="1" x14ac:dyDescent="0.35"/>
    <row r="531" s="45" customFormat="1" x14ac:dyDescent="0.35"/>
    <row r="532" s="45" customFormat="1" x14ac:dyDescent="0.35"/>
    <row r="533" s="45" customFormat="1" x14ac:dyDescent="0.35"/>
    <row r="534" s="45" customFormat="1" x14ac:dyDescent="0.35"/>
    <row r="535" s="45" customFormat="1" x14ac:dyDescent="0.35"/>
    <row r="536" s="45" customFormat="1" x14ac:dyDescent="0.35"/>
    <row r="537" s="45" customFormat="1" x14ac:dyDescent="0.35"/>
    <row r="538" s="45" customFormat="1" x14ac:dyDescent="0.35"/>
    <row r="539" s="45" customFormat="1" x14ac:dyDescent="0.35"/>
    <row r="540" s="45" customFormat="1" x14ac:dyDescent="0.35"/>
    <row r="541" s="45" customFormat="1" x14ac:dyDescent="0.35"/>
    <row r="542" s="45" customFormat="1" x14ac:dyDescent="0.35"/>
    <row r="543" s="45" customFormat="1" x14ac:dyDescent="0.35"/>
    <row r="544" s="45" customFormat="1" x14ac:dyDescent="0.35"/>
    <row r="545" s="45" customFormat="1" x14ac:dyDescent="0.35"/>
    <row r="546" s="45" customFormat="1" x14ac:dyDescent="0.35"/>
    <row r="547" s="45" customFormat="1" x14ac:dyDescent="0.35"/>
    <row r="548" s="45" customFormat="1" x14ac:dyDescent="0.35"/>
    <row r="549" s="45" customFormat="1" x14ac:dyDescent="0.35"/>
    <row r="550" s="45" customFormat="1" x14ac:dyDescent="0.35"/>
    <row r="551" s="45" customFormat="1" x14ac:dyDescent="0.35"/>
    <row r="552" s="45" customFormat="1" x14ac:dyDescent="0.35"/>
    <row r="553" s="45" customFormat="1" x14ac:dyDescent="0.35"/>
    <row r="554" s="45" customFormat="1" x14ac:dyDescent="0.35"/>
    <row r="555" s="45" customFormat="1" x14ac:dyDescent="0.35"/>
    <row r="556" s="45" customFormat="1" x14ac:dyDescent="0.35"/>
    <row r="557" s="45" customFormat="1" x14ac:dyDescent="0.35"/>
    <row r="558" s="45" customFormat="1" x14ac:dyDescent="0.35"/>
    <row r="559" s="45" customFormat="1" x14ac:dyDescent="0.35"/>
    <row r="560" s="45" customFormat="1" x14ac:dyDescent="0.35"/>
    <row r="561" s="45" customFormat="1" x14ac:dyDescent="0.35"/>
    <row r="562" s="45" customFormat="1" x14ac:dyDescent="0.35"/>
    <row r="563" s="45" customFormat="1" x14ac:dyDescent="0.35"/>
    <row r="564" s="45" customFormat="1" x14ac:dyDescent="0.35"/>
    <row r="565" s="45" customFormat="1" x14ac:dyDescent="0.35"/>
    <row r="566" s="45" customFormat="1" x14ac:dyDescent="0.35"/>
    <row r="567" s="45" customFormat="1" x14ac:dyDescent="0.35"/>
    <row r="568" s="45" customFormat="1" x14ac:dyDescent="0.35"/>
    <row r="569" s="45" customFormat="1" x14ac:dyDescent="0.35"/>
    <row r="570" s="45" customFormat="1" x14ac:dyDescent="0.35"/>
    <row r="571" s="45" customFormat="1" x14ac:dyDescent="0.35"/>
    <row r="572" s="45" customFormat="1" x14ac:dyDescent="0.35"/>
    <row r="573" s="45" customFormat="1" x14ac:dyDescent="0.35"/>
    <row r="574" s="45" customFormat="1" x14ac:dyDescent="0.35"/>
    <row r="575" s="45" customFormat="1" x14ac:dyDescent="0.35"/>
    <row r="576" s="45" customFormat="1" x14ac:dyDescent="0.35"/>
    <row r="577" s="45" customFormat="1" x14ac:dyDescent="0.35"/>
    <row r="578" s="45" customFormat="1" x14ac:dyDescent="0.35"/>
    <row r="579" s="45" customFormat="1" x14ac:dyDescent="0.35"/>
    <row r="580" s="45" customFormat="1" x14ac:dyDescent="0.35"/>
    <row r="581" s="45" customFormat="1" x14ac:dyDescent="0.35"/>
    <row r="582" s="45" customFormat="1" x14ac:dyDescent="0.35"/>
    <row r="583" s="45" customFormat="1" x14ac:dyDescent="0.35"/>
    <row r="584" s="45" customFormat="1" x14ac:dyDescent="0.35"/>
    <row r="585" s="45" customFormat="1" x14ac:dyDescent="0.35"/>
    <row r="586" s="45" customFormat="1" x14ac:dyDescent="0.35"/>
    <row r="587" s="45" customFormat="1" x14ac:dyDescent="0.35"/>
    <row r="588" s="45" customFormat="1" x14ac:dyDescent="0.35"/>
    <row r="589" s="45" customFormat="1" x14ac:dyDescent="0.35"/>
    <row r="590" s="45" customFormat="1" x14ac:dyDescent="0.35"/>
    <row r="591" s="45" customFormat="1" x14ac:dyDescent="0.35"/>
    <row r="592" s="45" customFormat="1" x14ac:dyDescent="0.35"/>
    <row r="593" s="45" customFormat="1" x14ac:dyDescent="0.35"/>
    <row r="594" s="45" customFormat="1" x14ac:dyDescent="0.35"/>
    <row r="595" s="45" customFormat="1" x14ac:dyDescent="0.35"/>
    <row r="596" s="45" customFormat="1" x14ac:dyDescent="0.35"/>
    <row r="597" s="45" customFormat="1" x14ac:dyDescent="0.35"/>
    <row r="598" s="45" customFormat="1" x14ac:dyDescent="0.35"/>
    <row r="599" s="45" customFormat="1" x14ac:dyDescent="0.35"/>
    <row r="600" s="45" customFormat="1" x14ac:dyDescent="0.35"/>
    <row r="601" s="45" customFormat="1" x14ac:dyDescent="0.35"/>
    <row r="602" s="45" customFormat="1" x14ac:dyDescent="0.35"/>
    <row r="603" s="45" customFormat="1" x14ac:dyDescent="0.35"/>
    <row r="604" s="45" customFormat="1" x14ac:dyDescent="0.35"/>
    <row r="605" s="45" customFormat="1" x14ac:dyDescent="0.35"/>
    <row r="606" s="45" customFormat="1" x14ac:dyDescent="0.35"/>
    <row r="607" s="45" customFormat="1" x14ac:dyDescent="0.35"/>
    <row r="608" s="45" customFormat="1" x14ac:dyDescent="0.35"/>
    <row r="609" s="45" customFormat="1" x14ac:dyDescent="0.35"/>
    <row r="610" s="45" customFormat="1" x14ac:dyDescent="0.35"/>
    <row r="611" s="45" customFormat="1" x14ac:dyDescent="0.35"/>
    <row r="612" s="45" customFormat="1" x14ac:dyDescent="0.35"/>
    <row r="613" s="45" customFormat="1" x14ac:dyDescent="0.35"/>
    <row r="614" s="45" customFormat="1" x14ac:dyDescent="0.35"/>
    <row r="615" s="45" customFormat="1" x14ac:dyDescent="0.35"/>
    <row r="616" s="45" customFormat="1" x14ac:dyDescent="0.35"/>
    <row r="617" s="45" customFormat="1" x14ac:dyDescent="0.35"/>
    <row r="618" s="45" customFormat="1" x14ac:dyDescent="0.35"/>
    <row r="619" s="45" customFormat="1" x14ac:dyDescent="0.35"/>
    <row r="620" s="45" customFormat="1" x14ac:dyDescent="0.35"/>
    <row r="621" s="45" customFormat="1" x14ac:dyDescent="0.35"/>
    <row r="622" s="45" customFormat="1" x14ac:dyDescent="0.35"/>
    <row r="623" s="45" customFormat="1" x14ac:dyDescent="0.35"/>
    <row r="624" s="45" customFormat="1" x14ac:dyDescent="0.35"/>
    <row r="625" s="45" customFormat="1" x14ac:dyDescent="0.35"/>
    <row r="626" s="45" customFormat="1" x14ac:dyDescent="0.35"/>
    <row r="627" s="45" customFormat="1" x14ac:dyDescent="0.35"/>
    <row r="628" s="45" customFormat="1" x14ac:dyDescent="0.35"/>
    <row r="629" s="45" customFormat="1" x14ac:dyDescent="0.35"/>
    <row r="630" s="45" customFormat="1" x14ac:dyDescent="0.35"/>
    <row r="631" s="45" customFormat="1" x14ac:dyDescent="0.35"/>
    <row r="632" s="45" customFormat="1" x14ac:dyDescent="0.35"/>
    <row r="633" s="45" customFormat="1" x14ac:dyDescent="0.35"/>
    <row r="634" s="45" customFormat="1" x14ac:dyDescent="0.35"/>
    <row r="635" s="45" customFormat="1" x14ac:dyDescent="0.35"/>
    <row r="636" s="45" customFormat="1" x14ac:dyDescent="0.35"/>
    <row r="637" s="45" customFormat="1" x14ac:dyDescent="0.35"/>
    <row r="638" s="45" customFormat="1" x14ac:dyDescent="0.35"/>
    <row r="639" s="45" customFormat="1" x14ac:dyDescent="0.35"/>
    <row r="640" s="45" customFormat="1" x14ac:dyDescent="0.35"/>
    <row r="641" s="45" customFormat="1" x14ac:dyDescent="0.35"/>
    <row r="642" s="45" customFormat="1" x14ac:dyDescent="0.35"/>
    <row r="643" s="45" customFormat="1" x14ac:dyDescent="0.35"/>
    <row r="644" s="45" customFormat="1" x14ac:dyDescent="0.35"/>
    <row r="645" s="45" customFormat="1" x14ac:dyDescent="0.35"/>
    <row r="646" s="45" customFormat="1" x14ac:dyDescent="0.35"/>
    <row r="647" s="45" customFormat="1" x14ac:dyDescent="0.35"/>
    <row r="648" s="45" customFormat="1" x14ac:dyDescent="0.35"/>
    <row r="649" s="45" customFormat="1" x14ac:dyDescent="0.35"/>
    <row r="650" s="45" customFormat="1" x14ac:dyDescent="0.35"/>
    <row r="651" s="45" customFormat="1" x14ac:dyDescent="0.35"/>
    <row r="652" s="45" customFormat="1" x14ac:dyDescent="0.35"/>
    <row r="653" s="45" customFormat="1" x14ac:dyDescent="0.35"/>
    <row r="654" s="45" customFormat="1" x14ac:dyDescent="0.35"/>
    <row r="655" s="45" customFormat="1" x14ac:dyDescent="0.35"/>
    <row r="656" s="45" customFormat="1" x14ac:dyDescent="0.35"/>
    <row r="657" s="45" customFormat="1" x14ac:dyDescent="0.35"/>
    <row r="658" s="45" customFormat="1" x14ac:dyDescent="0.35"/>
    <row r="659" s="45" customFormat="1" x14ac:dyDescent="0.35"/>
    <row r="660" s="45" customFormat="1" x14ac:dyDescent="0.35"/>
    <row r="661" s="45" customFormat="1" x14ac:dyDescent="0.35"/>
    <row r="662" s="45" customFormat="1" x14ac:dyDescent="0.35"/>
    <row r="663" s="45" customFormat="1" x14ac:dyDescent="0.35"/>
    <row r="664" s="45" customFormat="1" x14ac:dyDescent="0.35"/>
    <row r="665" s="45" customFormat="1" x14ac:dyDescent="0.35"/>
    <row r="666" s="45" customFormat="1" x14ac:dyDescent="0.35"/>
    <row r="667" s="45" customFormat="1" x14ac:dyDescent="0.35"/>
    <row r="668" s="45" customFormat="1" x14ac:dyDescent="0.35"/>
    <row r="669" s="45" customFormat="1" x14ac:dyDescent="0.35"/>
    <row r="670" s="45" customFormat="1" x14ac:dyDescent="0.35"/>
    <row r="671" s="45" customFormat="1" x14ac:dyDescent="0.35"/>
    <row r="672" s="45" customFormat="1" x14ac:dyDescent="0.35"/>
    <row r="673" s="45" customFormat="1" x14ac:dyDescent="0.35"/>
    <row r="674" s="45" customFormat="1" x14ac:dyDescent="0.35"/>
    <row r="675" s="45" customFormat="1" x14ac:dyDescent="0.35"/>
    <row r="676" s="45" customFormat="1" x14ac:dyDescent="0.35"/>
    <row r="677" s="45" customFormat="1" x14ac:dyDescent="0.35"/>
    <row r="678" s="45" customFormat="1" x14ac:dyDescent="0.35"/>
    <row r="679" s="45" customFormat="1" x14ac:dyDescent="0.35"/>
    <row r="680" s="45" customFormat="1" x14ac:dyDescent="0.35"/>
    <row r="681" s="45" customFormat="1" x14ac:dyDescent="0.35"/>
    <row r="682" s="45" customFormat="1" x14ac:dyDescent="0.35"/>
    <row r="683" s="45" customFormat="1" x14ac:dyDescent="0.35"/>
    <row r="684" s="45" customFormat="1" x14ac:dyDescent="0.35"/>
    <row r="685" s="45" customFormat="1" x14ac:dyDescent="0.35"/>
    <row r="686" s="45" customFormat="1" x14ac:dyDescent="0.35"/>
    <row r="687" s="45" customFormat="1" x14ac:dyDescent="0.35"/>
    <row r="688" s="45" customFormat="1" x14ac:dyDescent="0.35"/>
    <row r="689" s="45" customFormat="1" x14ac:dyDescent="0.35"/>
    <row r="690" s="45" customFormat="1" x14ac:dyDescent="0.35"/>
    <row r="691" s="45" customFormat="1" x14ac:dyDescent="0.35"/>
    <row r="692" s="45" customFormat="1" x14ac:dyDescent="0.35"/>
    <row r="693" s="45" customFormat="1" x14ac:dyDescent="0.35"/>
    <row r="694" s="45" customFormat="1" x14ac:dyDescent="0.35"/>
    <row r="695" s="45" customFormat="1" x14ac:dyDescent="0.35"/>
    <row r="696" s="45" customFormat="1" x14ac:dyDescent="0.35"/>
    <row r="697" s="45" customFormat="1" x14ac:dyDescent="0.35"/>
    <row r="698" s="45" customFormat="1" x14ac:dyDescent="0.35"/>
    <row r="699" s="45" customFormat="1" x14ac:dyDescent="0.35"/>
    <row r="700" s="45" customFormat="1" x14ac:dyDescent="0.35"/>
    <row r="701" s="45" customFormat="1" x14ac:dyDescent="0.35"/>
    <row r="702" s="45" customFormat="1" x14ac:dyDescent="0.35"/>
    <row r="703" s="45" customFormat="1" x14ac:dyDescent="0.35"/>
    <row r="704" s="45" customFormat="1" x14ac:dyDescent="0.35"/>
    <row r="705" s="45" customFormat="1" x14ac:dyDescent="0.35"/>
    <row r="706" s="45" customFormat="1" x14ac:dyDescent="0.35"/>
    <row r="707" s="45" customFormat="1" x14ac:dyDescent="0.35"/>
    <row r="708" s="45" customFormat="1" x14ac:dyDescent="0.35"/>
    <row r="709" s="45" customFormat="1" x14ac:dyDescent="0.35"/>
    <row r="710" s="45" customFormat="1" x14ac:dyDescent="0.35"/>
    <row r="711" s="45" customFormat="1" x14ac:dyDescent="0.35"/>
    <row r="712" s="45" customFormat="1" x14ac:dyDescent="0.35"/>
    <row r="713" s="45" customFormat="1" x14ac:dyDescent="0.35"/>
    <row r="714" s="45" customFormat="1" x14ac:dyDescent="0.35"/>
    <row r="715" s="45" customFormat="1" x14ac:dyDescent="0.35"/>
    <row r="716" s="45" customFormat="1" x14ac:dyDescent="0.35"/>
    <row r="717" s="45" customFormat="1" x14ac:dyDescent="0.35"/>
    <row r="718" s="45" customFormat="1" x14ac:dyDescent="0.35"/>
    <row r="719" s="45" customFormat="1" x14ac:dyDescent="0.35"/>
    <row r="720" s="45" customFormat="1" x14ac:dyDescent="0.35"/>
    <row r="721" s="45" customFormat="1" x14ac:dyDescent="0.35"/>
    <row r="722" s="45" customFormat="1" x14ac:dyDescent="0.35"/>
    <row r="723" s="45" customFormat="1" x14ac:dyDescent="0.35"/>
    <row r="724" s="45" customFormat="1" x14ac:dyDescent="0.35"/>
    <row r="725" s="45" customFormat="1" x14ac:dyDescent="0.35"/>
    <row r="726" s="45" customFormat="1" x14ac:dyDescent="0.35"/>
    <row r="727" s="45" customFormat="1" x14ac:dyDescent="0.35"/>
    <row r="728" s="45" customFormat="1" x14ac:dyDescent="0.35"/>
    <row r="729" s="45" customFormat="1" x14ac:dyDescent="0.35"/>
    <row r="730" s="45" customFormat="1" x14ac:dyDescent="0.35"/>
    <row r="731" s="45" customFormat="1" x14ac:dyDescent="0.35"/>
    <row r="732" s="45" customFormat="1" x14ac:dyDescent="0.35"/>
    <row r="733" s="45" customFormat="1" x14ac:dyDescent="0.35"/>
    <row r="734" s="45" customFormat="1" x14ac:dyDescent="0.35"/>
    <row r="735" s="45" customFormat="1" x14ac:dyDescent="0.35"/>
    <row r="736" s="45" customFormat="1" x14ac:dyDescent="0.35"/>
    <row r="737" s="45" customFormat="1" x14ac:dyDescent="0.35"/>
    <row r="738" s="45" customFormat="1" x14ac:dyDescent="0.35"/>
    <row r="739" s="45" customFormat="1" x14ac:dyDescent="0.35"/>
    <row r="740" s="45" customFormat="1" x14ac:dyDescent="0.35"/>
    <row r="741" s="45" customFormat="1" x14ac:dyDescent="0.35"/>
    <row r="742" s="45" customFormat="1" x14ac:dyDescent="0.35"/>
    <row r="743" s="45" customFormat="1" x14ac:dyDescent="0.35"/>
    <row r="744" s="45" customFormat="1" x14ac:dyDescent="0.35"/>
    <row r="745" s="45" customFormat="1" x14ac:dyDescent="0.35"/>
    <row r="746" s="45" customFormat="1" x14ac:dyDescent="0.35"/>
    <row r="747" s="45" customFormat="1" x14ac:dyDescent="0.35"/>
    <row r="748" s="45" customFormat="1" x14ac:dyDescent="0.35"/>
    <row r="749" s="45" customFormat="1" x14ac:dyDescent="0.35"/>
    <row r="750" s="45" customFormat="1" x14ac:dyDescent="0.35"/>
    <row r="751" s="45" customFormat="1" x14ac:dyDescent="0.35"/>
    <row r="752" s="45" customFormat="1" x14ac:dyDescent="0.35"/>
    <row r="753" s="45" customFormat="1" x14ac:dyDescent="0.35"/>
    <row r="754" s="45" customFormat="1" x14ac:dyDescent="0.35"/>
    <row r="755" s="45" customFormat="1" x14ac:dyDescent="0.35"/>
    <row r="756" s="45" customFormat="1" x14ac:dyDescent="0.35"/>
    <row r="757" s="45" customFormat="1" x14ac:dyDescent="0.35"/>
    <row r="758" s="45" customFormat="1" x14ac:dyDescent="0.35"/>
    <row r="759" s="45" customFormat="1" x14ac:dyDescent="0.35"/>
    <row r="760" s="45" customFormat="1" x14ac:dyDescent="0.35"/>
    <row r="761" s="45" customFormat="1" x14ac:dyDescent="0.35"/>
    <row r="762" s="45" customFormat="1" x14ac:dyDescent="0.35"/>
    <row r="763" s="45" customFormat="1" x14ac:dyDescent="0.35"/>
    <row r="764" s="45" customFormat="1" x14ac:dyDescent="0.35"/>
    <row r="765" s="45" customFormat="1" x14ac:dyDescent="0.35"/>
    <row r="766" s="45" customFormat="1" x14ac:dyDescent="0.35"/>
    <row r="767" s="45" customFormat="1" x14ac:dyDescent="0.35"/>
    <row r="768" s="45" customFormat="1" x14ac:dyDescent="0.35"/>
    <row r="769" s="45" customFormat="1" x14ac:dyDescent="0.35"/>
    <row r="770" s="45" customFormat="1" x14ac:dyDescent="0.35"/>
    <row r="771" s="45" customFormat="1" x14ac:dyDescent="0.35"/>
    <row r="772" s="45" customFormat="1" x14ac:dyDescent="0.35"/>
    <row r="773" s="45" customFormat="1" x14ac:dyDescent="0.35"/>
    <row r="774" s="45" customFormat="1" x14ac:dyDescent="0.35"/>
    <row r="775" s="45" customFormat="1" x14ac:dyDescent="0.35"/>
    <row r="776" s="45" customFormat="1" x14ac:dyDescent="0.35"/>
    <row r="777" s="45" customFormat="1" x14ac:dyDescent="0.35"/>
    <row r="778" s="45" customFormat="1" x14ac:dyDescent="0.35"/>
    <row r="779" s="45" customFormat="1" x14ac:dyDescent="0.35"/>
    <row r="780" s="45" customFormat="1" x14ac:dyDescent="0.35"/>
    <row r="781" s="45" customFormat="1" x14ac:dyDescent="0.35"/>
    <row r="782" s="45" customFormat="1" x14ac:dyDescent="0.35"/>
    <row r="783" s="45" customFormat="1" x14ac:dyDescent="0.35"/>
    <row r="784" s="45" customFormat="1" x14ac:dyDescent="0.35"/>
    <row r="785" s="45" customFormat="1" x14ac:dyDescent="0.35"/>
    <row r="786" s="45" customFormat="1" x14ac:dyDescent="0.35"/>
    <row r="787" s="45" customFormat="1" x14ac:dyDescent="0.35"/>
    <row r="788" s="45" customFormat="1" x14ac:dyDescent="0.35"/>
    <row r="789" s="45" customFormat="1" x14ac:dyDescent="0.35"/>
    <row r="790" s="45" customFormat="1" x14ac:dyDescent="0.35"/>
    <row r="791" s="45" customFormat="1" x14ac:dyDescent="0.35"/>
    <row r="792" s="45" customFormat="1" x14ac:dyDescent="0.35"/>
    <row r="793" s="45" customFormat="1" x14ac:dyDescent="0.35"/>
    <row r="794" s="45" customFormat="1" x14ac:dyDescent="0.35"/>
    <row r="795" s="45" customFormat="1" x14ac:dyDescent="0.35"/>
    <row r="796" s="45" customFormat="1" x14ac:dyDescent="0.35"/>
    <row r="797" s="45" customFormat="1" x14ac:dyDescent="0.35"/>
    <row r="798" s="45" customFormat="1" x14ac:dyDescent="0.35"/>
    <row r="799" s="45" customFormat="1" x14ac:dyDescent="0.35"/>
    <row r="800" s="45" customFormat="1" x14ac:dyDescent="0.35"/>
    <row r="801" s="45" customFormat="1" x14ac:dyDescent="0.35"/>
    <row r="802" s="45" customFormat="1" x14ac:dyDescent="0.35"/>
    <row r="803" s="45" customFormat="1" x14ac:dyDescent="0.35"/>
    <row r="804" s="45" customFormat="1" x14ac:dyDescent="0.35"/>
    <row r="805" s="45" customFormat="1" x14ac:dyDescent="0.35"/>
    <row r="806" s="45" customFormat="1" x14ac:dyDescent="0.35"/>
    <row r="807" s="45" customFormat="1" x14ac:dyDescent="0.35"/>
    <row r="808" s="45" customFormat="1" x14ac:dyDescent="0.35"/>
    <row r="809" s="45" customFormat="1" x14ac:dyDescent="0.35"/>
    <row r="810" s="45" customFormat="1" x14ac:dyDescent="0.35"/>
    <row r="811" s="45" customFormat="1" x14ac:dyDescent="0.35"/>
    <row r="812" s="45" customFormat="1" x14ac:dyDescent="0.35"/>
    <row r="813" s="45" customFormat="1" x14ac:dyDescent="0.35"/>
    <row r="814" s="45" customFormat="1" x14ac:dyDescent="0.35"/>
    <row r="815" s="45" customFormat="1" x14ac:dyDescent="0.35"/>
    <row r="816" s="45" customFormat="1" x14ac:dyDescent="0.35"/>
    <row r="817" s="45" customFormat="1" x14ac:dyDescent="0.35"/>
    <row r="818" s="45" customFormat="1" x14ac:dyDescent="0.35"/>
    <row r="819" s="45" customFormat="1" x14ac:dyDescent="0.35"/>
    <row r="820" s="45" customFormat="1" x14ac:dyDescent="0.35"/>
    <row r="821" s="45" customFormat="1" x14ac:dyDescent="0.35"/>
    <row r="822" s="45" customFormat="1" x14ac:dyDescent="0.35"/>
    <row r="823" s="45" customFormat="1" x14ac:dyDescent="0.35"/>
    <row r="824" s="45" customFormat="1" x14ac:dyDescent="0.35"/>
    <row r="825" s="45" customFormat="1" x14ac:dyDescent="0.35"/>
    <row r="826" s="45" customFormat="1" x14ac:dyDescent="0.35"/>
    <row r="827" s="45" customFormat="1" x14ac:dyDescent="0.35"/>
    <row r="828" s="45" customFormat="1" x14ac:dyDescent="0.35"/>
    <row r="829" s="45" customFormat="1" x14ac:dyDescent="0.35"/>
    <row r="830" s="45" customFormat="1" x14ac:dyDescent="0.35"/>
    <row r="831" s="45" customFormat="1" x14ac:dyDescent="0.35"/>
    <row r="832" s="45" customFormat="1" x14ac:dyDescent="0.35"/>
    <row r="833" s="45" customFormat="1" x14ac:dyDescent="0.35"/>
    <row r="834" s="45" customFormat="1" x14ac:dyDescent="0.35"/>
    <row r="835" s="45" customFormat="1" x14ac:dyDescent="0.35"/>
    <row r="836" s="45" customFormat="1" x14ac:dyDescent="0.35"/>
    <row r="837" s="45" customFormat="1" x14ac:dyDescent="0.35"/>
    <row r="838" s="45" customFormat="1" x14ac:dyDescent="0.35"/>
    <row r="839" s="45" customFormat="1" x14ac:dyDescent="0.35"/>
    <row r="840" s="45" customFormat="1" x14ac:dyDescent="0.35"/>
    <row r="841" s="45" customFormat="1" x14ac:dyDescent="0.35"/>
    <row r="842" s="45" customFormat="1" x14ac:dyDescent="0.35"/>
    <row r="843" s="45" customFormat="1" x14ac:dyDescent="0.35"/>
    <row r="844" s="45" customFormat="1" x14ac:dyDescent="0.35"/>
    <row r="845" s="45" customFormat="1" x14ac:dyDescent="0.35"/>
    <row r="846" s="45" customFormat="1" x14ac:dyDescent="0.35"/>
    <row r="847" s="45" customFormat="1" x14ac:dyDescent="0.35"/>
    <row r="848" s="45" customFormat="1" x14ac:dyDescent="0.35"/>
    <row r="849" s="45" customFormat="1" x14ac:dyDescent="0.35"/>
    <row r="850" s="45" customFormat="1" x14ac:dyDescent="0.35"/>
    <row r="851" s="45" customFormat="1" x14ac:dyDescent="0.35"/>
    <row r="852" s="45" customFormat="1" x14ac:dyDescent="0.35"/>
    <row r="853" s="45" customFormat="1" x14ac:dyDescent="0.35"/>
    <row r="854" s="45" customFormat="1" x14ac:dyDescent="0.35"/>
    <row r="855" s="45" customFormat="1" x14ac:dyDescent="0.35"/>
    <row r="856" s="45" customFormat="1" x14ac:dyDescent="0.35"/>
    <row r="857" s="45" customFormat="1" x14ac:dyDescent="0.35"/>
    <row r="858" s="45" customFormat="1" x14ac:dyDescent="0.35"/>
  </sheetData>
  <mergeCells count="16">
    <mergeCell ref="B2:K2"/>
    <mergeCell ref="B3:K3"/>
    <mergeCell ref="B4:K4"/>
    <mergeCell ref="B5:K5"/>
    <mergeCell ref="B6:K6"/>
    <mergeCell ref="C8:C9"/>
    <mergeCell ref="D8:D9"/>
    <mergeCell ref="E8:E9"/>
    <mergeCell ref="F8:F9"/>
    <mergeCell ref="G8:G9"/>
    <mergeCell ref="D29:J29"/>
    <mergeCell ref="D31:J31"/>
    <mergeCell ref="D32:J32"/>
    <mergeCell ref="H8:H9"/>
    <mergeCell ref="I8:I9"/>
    <mergeCell ref="D28:J28"/>
  </mergeCells>
  <dataValidations count="3">
    <dataValidation type="list" allowBlank="1" showInputMessage="1" showErrorMessage="1" sqref="H10:H15" xr:uid="{9A931029-9C9A-488A-A834-85A2B13256A3}">
      <formula1>$H$46:$H$47</formula1>
    </dataValidation>
    <dataValidation type="list" allowBlank="1" showInputMessage="1" showErrorMessage="1" sqref="H16:H21" xr:uid="{1821DDF6-6188-417C-950F-6CEC6AD40459}">
      <formula1>$H$57:$H$58</formula1>
    </dataValidation>
    <dataValidation type="list" allowBlank="1" showInputMessage="1" showErrorMessage="1" sqref="H22:H25" xr:uid="{E552F332-CA09-4CC1-8F9B-34770BD1D00A}">
      <formula1>$H$41:$H$42</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FBB96-A5DA-4955-BBE5-2A2DFAA13F34}">
  <dimension ref="A1:CT327"/>
  <sheetViews>
    <sheetView topLeftCell="A20" zoomScale="59" zoomScaleNormal="100" workbookViewId="0">
      <selection activeCell="D30" sqref="D30"/>
    </sheetView>
  </sheetViews>
  <sheetFormatPr defaultRowHeight="14.5" x14ac:dyDescent="0.35"/>
  <cols>
    <col min="1" max="1" width="9.1796875" style="45"/>
    <col min="2" max="2" width="11.81640625" customWidth="1"/>
    <col min="3" max="3" width="10.7265625" bestFit="1" customWidth="1"/>
    <col min="4" max="4" width="28.54296875" customWidth="1"/>
    <col min="5" max="5" width="16.1796875" customWidth="1"/>
    <col min="6" max="6" width="10.54296875" bestFit="1" customWidth="1"/>
    <col min="7" max="7" width="21.1796875" customWidth="1"/>
    <col min="8" max="8" width="37.7265625" bestFit="1" customWidth="1"/>
    <col min="9" max="9" width="118" bestFit="1" customWidth="1"/>
    <col min="10" max="10" width="147.7265625" bestFit="1" customWidth="1"/>
    <col min="11" max="12" width="9.1796875" style="44"/>
    <col min="13" max="98" width="9.1796875" style="45"/>
  </cols>
  <sheetData>
    <row r="1" spans="2:12" s="45" customFormat="1" x14ac:dyDescent="0.35"/>
    <row r="2" spans="2:12" ht="20" x14ac:dyDescent="0.4">
      <c r="B2" s="241" t="s">
        <v>10</v>
      </c>
      <c r="C2" s="241"/>
      <c r="D2" s="241"/>
      <c r="E2" s="241"/>
      <c r="F2" s="241"/>
      <c r="G2" s="241"/>
      <c r="H2" s="241"/>
      <c r="I2" s="241"/>
      <c r="J2" s="241"/>
      <c r="K2" s="241"/>
      <c r="L2" s="241"/>
    </row>
    <row r="3" spans="2:12" ht="18" x14ac:dyDescent="0.4">
      <c r="B3" s="242" t="s">
        <v>41</v>
      </c>
      <c r="C3" s="242"/>
      <c r="D3" s="242"/>
      <c r="E3" s="242"/>
      <c r="F3" s="242"/>
      <c r="G3" s="242"/>
      <c r="H3" s="242"/>
      <c r="I3" s="242"/>
      <c r="J3" s="242"/>
      <c r="K3" s="242"/>
      <c r="L3" s="242"/>
    </row>
    <row r="4" spans="2:12" x14ac:dyDescent="0.35">
      <c r="B4" s="243" t="s">
        <v>354</v>
      </c>
      <c r="C4" s="243"/>
      <c r="D4" s="243"/>
      <c r="E4" s="243"/>
      <c r="F4" s="243"/>
      <c r="G4" s="243"/>
      <c r="H4" s="243"/>
      <c r="I4" s="243"/>
      <c r="J4" s="243"/>
      <c r="K4" s="243"/>
      <c r="L4" s="243"/>
    </row>
    <row r="5" spans="2:12" x14ac:dyDescent="0.35">
      <c r="B5" s="244" t="s">
        <v>2</v>
      </c>
      <c r="C5" s="244"/>
      <c r="D5" s="244"/>
      <c r="E5" s="244"/>
      <c r="F5" s="244"/>
      <c r="G5" s="244"/>
      <c r="H5" s="244"/>
      <c r="I5" s="244"/>
      <c r="J5" s="244"/>
      <c r="K5" s="244"/>
      <c r="L5" s="244"/>
    </row>
    <row r="6" spans="2:12" x14ac:dyDescent="0.35">
      <c r="B6" s="244" t="s">
        <v>12</v>
      </c>
      <c r="C6" s="244"/>
      <c r="D6" s="244"/>
      <c r="E6" s="244"/>
      <c r="F6" s="244"/>
      <c r="G6" s="244"/>
      <c r="H6" s="244"/>
      <c r="I6" s="244"/>
      <c r="J6" s="244"/>
      <c r="K6" s="244"/>
      <c r="L6" s="244"/>
    </row>
    <row r="7" spans="2:12" x14ac:dyDescent="0.35">
      <c r="B7" s="132"/>
      <c r="C7" s="131"/>
      <c r="D7" s="131"/>
      <c r="E7" s="131"/>
      <c r="F7" s="131"/>
      <c r="G7" s="131"/>
      <c r="H7" s="44"/>
      <c r="I7" s="44"/>
      <c r="J7" s="44"/>
    </row>
    <row r="8" spans="2:12" x14ac:dyDescent="0.35">
      <c r="B8" s="56"/>
      <c r="C8" s="240" t="s">
        <v>195</v>
      </c>
      <c r="D8" s="240" t="s">
        <v>43</v>
      </c>
      <c r="E8" s="240" t="s">
        <v>44</v>
      </c>
      <c r="F8" s="240" t="s">
        <v>45</v>
      </c>
      <c r="G8" s="240" t="s">
        <v>46</v>
      </c>
      <c r="H8" s="240" t="s">
        <v>196</v>
      </c>
      <c r="I8" s="248" t="s">
        <v>197</v>
      </c>
      <c r="J8" s="240" t="s">
        <v>400</v>
      </c>
    </row>
    <row r="9" spans="2:12" x14ac:dyDescent="0.35">
      <c r="B9" s="44"/>
      <c r="C9" s="240"/>
      <c r="D9" s="240"/>
      <c r="E9" s="240"/>
      <c r="F9" s="240"/>
      <c r="G9" s="240"/>
      <c r="H9" s="240"/>
      <c r="I9" s="249"/>
      <c r="J9" s="240"/>
    </row>
    <row r="10" spans="2:12" ht="375" x14ac:dyDescent="0.35">
      <c r="B10" s="44"/>
      <c r="C10" s="62" t="s">
        <v>66</v>
      </c>
      <c r="D10" s="113" t="s">
        <v>198</v>
      </c>
      <c r="E10" s="113" t="s">
        <v>82</v>
      </c>
      <c r="F10" s="113" t="s">
        <v>53</v>
      </c>
      <c r="G10" s="114" t="s">
        <v>83</v>
      </c>
      <c r="H10" s="108"/>
      <c r="I10" s="109" t="s">
        <v>515</v>
      </c>
      <c r="J10" s="211" t="s">
        <v>575</v>
      </c>
    </row>
    <row r="11" spans="2:12" ht="409.5" x14ac:dyDescent="0.35">
      <c r="B11" s="44"/>
      <c r="C11" s="62" t="s">
        <v>66</v>
      </c>
      <c r="D11" s="113" t="s">
        <v>198</v>
      </c>
      <c r="E11" s="113" t="s">
        <v>82</v>
      </c>
      <c r="F11" s="113" t="s">
        <v>58</v>
      </c>
      <c r="G11" s="114" t="s">
        <v>199</v>
      </c>
      <c r="H11" s="108"/>
      <c r="I11" s="109" t="s">
        <v>589</v>
      </c>
      <c r="J11" s="211" t="s">
        <v>576</v>
      </c>
    </row>
    <row r="12" spans="2:12" ht="125" x14ac:dyDescent="0.35">
      <c r="B12" s="44"/>
      <c r="C12" s="62" t="s">
        <v>66</v>
      </c>
      <c r="D12" s="113" t="s">
        <v>198</v>
      </c>
      <c r="E12" s="113" t="s">
        <v>67</v>
      </c>
      <c r="F12" s="117" t="s">
        <v>58</v>
      </c>
      <c r="G12" s="114" t="s">
        <v>110</v>
      </c>
      <c r="H12" s="108"/>
      <c r="I12" s="109" t="s">
        <v>515</v>
      </c>
      <c r="J12" s="211" t="s">
        <v>577</v>
      </c>
    </row>
    <row r="13" spans="2:12" ht="237.5" x14ac:dyDescent="0.35">
      <c r="B13" s="44"/>
      <c r="C13" s="62" t="s">
        <v>66</v>
      </c>
      <c r="D13" s="113" t="s">
        <v>198</v>
      </c>
      <c r="E13" s="114" t="s">
        <v>124</v>
      </c>
      <c r="F13" s="118" t="s">
        <v>58</v>
      </c>
      <c r="G13" s="119" t="s">
        <v>125</v>
      </c>
      <c r="H13" s="108"/>
      <c r="I13" s="109" t="s">
        <v>515</v>
      </c>
      <c r="J13" s="211" t="s">
        <v>578</v>
      </c>
    </row>
    <row r="14" spans="2:12" ht="363.5" x14ac:dyDescent="0.35">
      <c r="B14" s="44"/>
      <c r="C14" s="62"/>
      <c r="D14" s="113" t="s">
        <v>198</v>
      </c>
      <c r="E14" s="114" t="s">
        <v>200</v>
      </c>
      <c r="F14" s="118" t="s">
        <v>58</v>
      </c>
      <c r="G14" s="119" t="s">
        <v>201</v>
      </c>
      <c r="H14" s="108"/>
      <c r="I14" s="109" t="s">
        <v>515</v>
      </c>
      <c r="J14" s="212" t="s">
        <v>579</v>
      </c>
    </row>
    <row r="15" spans="2:12" ht="387.5" x14ac:dyDescent="0.35">
      <c r="B15" s="44"/>
      <c r="C15" s="62"/>
      <c r="D15" s="113" t="s">
        <v>198</v>
      </c>
      <c r="E15" s="114" t="s">
        <v>200</v>
      </c>
      <c r="F15" s="120" t="s">
        <v>53</v>
      </c>
      <c r="G15" s="119" t="s">
        <v>202</v>
      </c>
      <c r="H15" s="108"/>
      <c r="I15" s="109" t="s">
        <v>515</v>
      </c>
      <c r="J15" s="211" t="s">
        <v>580</v>
      </c>
    </row>
    <row r="16" spans="2:12" ht="409.5" x14ac:dyDescent="0.35">
      <c r="B16" s="44"/>
      <c r="C16" s="62"/>
      <c r="D16" s="113" t="s">
        <v>198</v>
      </c>
      <c r="E16" s="114" t="s">
        <v>200</v>
      </c>
      <c r="F16" s="121" t="s">
        <v>70</v>
      </c>
      <c r="G16" s="119" t="s">
        <v>203</v>
      </c>
      <c r="H16" s="108"/>
      <c r="I16" s="109" t="s">
        <v>515</v>
      </c>
      <c r="J16" s="211" t="s">
        <v>581</v>
      </c>
    </row>
    <row r="17" spans="2:11" ht="362.5" x14ac:dyDescent="0.35">
      <c r="B17" s="44"/>
      <c r="C17" s="62"/>
      <c r="D17" s="113" t="s">
        <v>198</v>
      </c>
      <c r="E17" s="113" t="s">
        <v>200</v>
      </c>
      <c r="F17" s="122" t="s">
        <v>70</v>
      </c>
      <c r="G17" s="114" t="s">
        <v>204</v>
      </c>
      <c r="H17" s="108"/>
      <c r="I17" s="109" t="s">
        <v>515</v>
      </c>
      <c r="J17" s="211" t="s">
        <v>582</v>
      </c>
    </row>
    <row r="18" spans="2:11" ht="250" x14ac:dyDescent="0.35">
      <c r="B18" s="44"/>
      <c r="C18" s="62"/>
      <c r="D18" s="113" t="s">
        <v>198</v>
      </c>
      <c r="E18" s="113" t="s">
        <v>200</v>
      </c>
      <c r="F18" s="113" t="s">
        <v>53</v>
      </c>
      <c r="G18" s="114" t="s">
        <v>205</v>
      </c>
      <c r="H18" s="108"/>
      <c r="I18" s="109" t="s">
        <v>515</v>
      </c>
      <c r="J18" s="211" t="s">
        <v>583</v>
      </c>
    </row>
    <row r="19" spans="2:11" ht="409.5" x14ac:dyDescent="0.35">
      <c r="B19" s="44"/>
      <c r="C19" s="62" t="s">
        <v>66</v>
      </c>
      <c r="D19" s="113" t="s">
        <v>186</v>
      </c>
      <c r="E19" s="113" t="s">
        <v>82</v>
      </c>
      <c r="F19" s="113" t="s">
        <v>53</v>
      </c>
      <c r="G19" s="114" t="s">
        <v>128</v>
      </c>
      <c r="H19" s="108"/>
      <c r="I19" s="109" t="s">
        <v>515</v>
      </c>
      <c r="J19" s="211" t="s">
        <v>584</v>
      </c>
    </row>
    <row r="20" spans="2:11" ht="409.5" x14ac:dyDescent="0.35">
      <c r="B20" s="44"/>
      <c r="C20" s="62" t="s">
        <v>111</v>
      </c>
      <c r="D20" s="113" t="s">
        <v>186</v>
      </c>
      <c r="E20" s="113" t="s">
        <v>129</v>
      </c>
      <c r="F20" s="113" t="s">
        <v>53</v>
      </c>
      <c r="G20" s="114" t="s">
        <v>130</v>
      </c>
      <c r="H20" s="108"/>
      <c r="I20" s="109" t="s">
        <v>515</v>
      </c>
      <c r="J20" s="211" t="s">
        <v>585</v>
      </c>
    </row>
    <row r="21" spans="2:11" ht="225" x14ac:dyDescent="0.35">
      <c r="B21" s="44"/>
      <c r="C21" s="62" t="s">
        <v>111</v>
      </c>
      <c r="D21" s="113" t="s">
        <v>186</v>
      </c>
      <c r="E21" s="113" t="s">
        <v>192</v>
      </c>
      <c r="F21" s="113" t="s">
        <v>70</v>
      </c>
      <c r="G21" s="114" t="s">
        <v>193</v>
      </c>
      <c r="H21" s="108"/>
      <c r="I21" s="109" t="s">
        <v>515</v>
      </c>
      <c r="J21" s="211" t="s">
        <v>586</v>
      </c>
    </row>
    <row r="22" spans="2:11" ht="187.5" x14ac:dyDescent="0.35">
      <c r="B22" s="44"/>
      <c r="C22" s="62" t="s">
        <v>66</v>
      </c>
      <c r="D22" s="113" t="s">
        <v>186</v>
      </c>
      <c r="E22" s="113" t="s">
        <v>131</v>
      </c>
      <c r="F22" s="113" t="s">
        <v>53</v>
      </c>
      <c r="G22" s="114" t="s">
        <v>132</v>
      </c>
      <c r="H22" s="108"/>
      <c r="I22" s="109" t="s">
        <v>515</v>
      </c>
      <c r="J22" s="211" t="s">
        <v>587</v>
      </c>
    </row>
    <row r="23" spans="2:11" x14ac:dyDescent="0.35">
      <c r="B23" s="44"/>
      <c r="C23" s="44"/>
      <c r="D23" s="28"/>
      <c r="E23" s="28"/>
      <c r="F23" s="28"/>
      <c r="G23" s="28"/>
      <c r="H23" s="28"/>
      <c r="I23" s="28"/>
      <c r="J23" s="28"/>
      <c r="K23" s="28"/>
    </row>
    <row r="24" spans="2:11" x14ac:dyDescent="0.35">
      <c r="B24" s="44"/>
      <c r="C24" s="44"/>
      <c r="D24" s="239" t="s">
        <v>151</v>
      </c>
      <c r="E24" s="239"/>
      <c r="F24" s="239"/>
      <c r="G24" s="239"/>
      <c r="H24" s="239"/>
      <c r="I24" s="239"/>
      <c r="J24" s="239"/>
      <c r="K24" s="239"/>
    </row>
    <row r="25" spans="2:11" ht="140.25" customHeight="1" x14ac:dyDescent="0.35">
      <c r="B25" s="44"/>
      <c r="C25" s="44"/>
      <c r="D25" s="245" t="s">
        <v>516</v>
      </c>
      <c r="E25" s="246"/>
      <c r="F25" s="246"/>
      <c r="G25" s="246"/>
      <c r="H25" s="246"/>
      <c r="I25" s="246"/>
      <c r="J25" s="246"/>
      <c r="K25" s="247"/>
    </row>
    <row r="26" spans="2:11" x14ac:dyDescent="0.35">
      <c r="B26" s="44"/>
      <c r="C26" s="44"/>
      <c r="D26" s="16"/>
      <c r="E26" s="16"/>
      <c r="F26" s="16"/>
      <c r="G26" s="16"/>
      <c r="H26" s="18"/>
      <c r="I26" s="18"/>
      <c r="J26" s="18"/>
      <c r="K26" s="140"/>
    </row>
    <row r="27" spans="2:11" x14ac:dyDescent="0.35">
      <c r="B27" s="44"/>
      <c r="C27" s="44"/>
      <c r="D27" s="239" t="s">
        <v>152</v>
      </c>
      <c r="E27" s="239"/>
      <c r="F27" s="239"/>
      <c r="G27" s="239"/>
      <c r="H27" s="239"/>
      <c r="I27" s="239"/>
      <c r="J27" s="239"/>
      <c r="K27" s="239"/>
    </row>
    <row r="28" spans="2:11" ht="134.25" customHeight="1" x14ac:dyDescent="0.35">
      <c r="B28" s="44"/>
      <c r="C28" s="44"/>
      <c r="D28" s="245"/>
      <c r="E28" s="246"/>
      <c r="F28" s="246"/>
      <c r="G28" s="246"/>
      <c r="H28" s="246"/>
      <c r="I28" s="246"/>
      <c r="J28" s="246"/>
      <c r="K28" s="247"/>
    </row>
    <row r="29" spans="2:11" x14ac:dyDescent="0.35">
      <c r="B29" s="44"/>
      <c r="C29" s="44"/>
      <c r="D29" s="44"/>
      <c r="E29" s="44"/>
      <c r="F29" s="44"/>
      <c r="G29" s="44"/>
      <c r="H29" s="44"/>
      <c r="I29" s="44"/>
      <c r="J29" s="44"/>
    </row>
    <row r="30" spans="2:11" x14ac:dyDescent="0.35">
      <c r="B30" s="44"/>
      <c r="C30" s="44"/>
      <c r="D30" s="56" t="s">
        <v>206</v>
      </c>
      <c r="E30" s="44"/>
      <c r="F30" s="44"/>
      <c r="G30" s="44"/>
      <c r="H30" s="44"/>
      <c r="I30" s="44"/>
      <c r="J30" s="44"/>
    </row>
    <row r="31" spans="2:11" ht="123" customHeight="1" x14ac:dyDescent="0.35">
      <c r="B31" s="44"/>
      <c r="C31" s="44"/>
      <c r="D31" s="245"/>
      <c r="E31" s="246"/>
      <c r="F31" s="246"/>
      <c r="G31" s="246"/>
      <c r="H31" s="246"/>
      <c r="I31" s="246"/>
      <c r="J31" s="246"/>
      <c r="K31" s="247"/>
    </row>
    <row r="32" spans="2:11" x14ac:dyDescent="0.35">
      <c r="B32" s="44"/>
      <c r="C32" s="44"/>
      <c r="D32" s="44"/>
      <c r="E32" s="44"/>
      <c r="F32" s="44"/>
      <c r="G32" s="44"/>
      <c r="H32" s="44"/>
      <c r="I32" s="44"/>
      <c r="J32" s="44"/>
    </row>
    <row r="33" spans="2:12" x14ac:dyDescent="0.35">
      <c r="B33" s="45"/>
      <c r="C33" s="45"/>
      <c r="D33" s="45"/>
      <c r="E33" s="45"/>
      <c r="F33" s="45"/>
      <c r="G33" s="45"/>
      <c r="H33" s="45"/>
      <c r="I33" s="45"/>
      <c r="J33" s="45"/>
      <c r="K33" s="45"/>
      <c r="L33" s="45"/>
    </row>
    <row r="34" spans="2:12" x14ac:dyDescent="0.35">
      <c r="B34" s="45"/>
      <c r="C34" s="45"/>
      <c r="D34" s="45"/>
      <c r="E34" s="45"/>
      <c r="F34" s="45"/>
      <c r="G34" s="45"/>
      <c r="H34" s="45"/>
      <c r="I34" s="45"/>
      <c r="J34" s="45"/>
      <c r="K34" s="45"/>
      <c r="L34" s="45"/>
    </row>
    <row r="35" spans="2:12" x14ac:dyDescent="0.35">
      <c r="B35" s="45"/>
      <c r="C35" s="45"/>
      <c r="D35" s="45"/>
      <c r="E35" s="45"/>
      <c r="F35" s="45"/>
      <c r="G35" s="45"/>
      <c r="H35" s="45"/>
      <c r="I35" s="45"/>
      <c r="J35" s="45"/>
      <c r="K35" s="45"/>
      <c r="L35" s="45"/>
    </row>
    <row r="36" spans="2:12" x14ac:dyDescent="0.35">
      <c r="B36" s="45"/>
      <c r="C36" s="45"/>
      <c r="D36" s="45"/>
      <c r="E36" s="45"/>
      <c r="F36" s="45"/>
      <c r="G36" s="45"/>
      <c r="H36" s="45"/>
      <c r="I36" s="45"/>
      <c r="J36" s="45"/>
      <c r="K36" s="45"/>
      <c r="L36" s="45"/>
    </row>
    <row r="37" spans="2:12" x14ac:dyDescent="0.35">
      <c r="B37" s="45"/>
      <c r="C37" s="45"/>
      <c r="D37" s="45"/>
      <c r="E37" s="45"/>
      <c r="F37" s="45"/>
      <c r="G37" s="45"/>
      <c r="H37" s="45"/>
      <c r="I37" s="45"/>
      <c r="J37" s="45"/>
      <c r="K37" s="45"/>
      <c r="L37" s="45"/>
    </row>
    <row r="38" spans="2:12" x14ac:dyDescent="0.35">
      <c r="B38" s="45"/>
      <c r="C38" s="45"/>
      <c r="D38" s="45"/>
      <c r="E38" s="45"/>
      <c r="F38" s="45"/>
      <c r="G38" s="45"/>
      <c r="H38" s="45"/>
      <c r="I38" s="45"/>
      <c r="J38" s="45"/>
      <c r="K38" s="45"/>
      <c r="L38" s="45"/>
    </row>
    <row r="39" spans="2:12" x14ac:dyDescent="0.35">
      <c r="B39" s="45"/>
      <c r="C39" s="45"/>
      <c r="D39" s="45"/>
      <c r="E39" s="45"/>
      <c r="F39" s="45"/>
      <c r="G39" s="45"/>
      <c r="H39" s="45"/>
      <c r="I39" s="45"/>
      <c r="J39" s="45"/>
      <c r="K39" s="45"/>
      <c r="L39" s="45"/>
    </row>
    <row r="40" spans="2:12" x14ac:dyDescent="0.35">
      <c r="B40" s="45"/>
      <c r="C40" s="45"/>
      <c r="D40" s="45"/>
      <c r="E40" s="45"/>
      <c r="F40" s="45"/>
      <c r="G40" s="45"/>
      <c r="H40" s="45"/>
      <c r="I40" s="45"/>
      <c r="J40" s="45"/>
      <c r="K40" s="45"/>
      <c r="L40" s="45"/>
    </row>
    <row r="41" spans="2:12" x14ac:dyDescent="0.35">
      <c r="B41" s="45"/>
      <c r="C41" s="45"/>
      <c r="D41" s="45"/>
      <c r="E41" s="45"/>
      <c r="F41" s="45"/>
      <c r="G41" s="45"/>
      <c r="H41" s="45"/>
      <c r="I41" s="45"/>
      <c r="J41" s="45"/>
      <c r="K41" s="45"/>
      <c r="L41" s="45"/>
    </row>
    <row r="42" spans="2:12" x14ac:dyDescent="0.35">
      <c r="B42" s="45"/>
      <c r="C42" s="45"/>
      <c r="D42" s="45"/>
      <c r="E42" s="45"/>
      <c r="F42" s="45"/>
      <c r="G42" s="45"/>
      <c r="H42" s="45"/>
      <c r="I42" s="45"/>
      <c r="J42" s="45"/>
      <c r="K42" s="45"/>
      <c r="L42" s="45"/>
    </row>
    <row r="43" spans="2:12" x14ac:dyDescent="0.35">
      <c r="B43" s="45"/>
      <c r="C43" s="45"/>
      <c r="D43" s="45"/>
      <c r="E43" s="45"/>
      <c r="F43" s="45"/>
      <c r="G43" s="45"/>
      <c r="H43" s="45"/>
      <c r="I43" s="45"/>
      <c r="J43" s="45"/>
      <c r="K43" s="45"/>
      <c r="L43" s="45"/>
    </row>
    <row r="44" spans="2:12" x14ac:dyDescent="0.35">
      <c r="B44" s="45"/>
      <c r="C44" s="45"/>
      <c r="D44" s="45"/>
      <c r="E44" s="45"/>
      <c r="F44" s="45"/>
      <c r="G44" s="45"/>
      <c r="H44" s="45"/>
      <c r="I44" s="45"/>
      <c r="J44" s="45"/>
      <c r="K44" s="45"/>
      <c r="L44" s="45"/>
    </row>
    <row r="45" spans="2:12" x14ac:dyDescent="0.35">
      <c r="B45" s="45"/>
      <c r="C45" s="45"/>
      <c r="D45" s="45"/>
      <c r="E45" s="45"/>
      <c r="F45" s="45"/>
      <c r="G45" s="45"/>
      <c r="H45" s="45"/>
      <c r="I45" s="45"/>
      <c r="J45" s="45"/>
      <c r="K45" s="45"/>
      <c r="L45" s="45"/>
    </row>
    <row r="46" spans="2:12" x14ac:dyDescent="0.35">
      <c r="B46" s="45"/>
      <c r="C46" s="45"/>
      <c r="D46" s="45"/>
      <c r="E46" s="45"/>
      <c r="F46" s="45"/>
      <c r="G46" s="45"/>
      <c r="H46" s="45"/>
      <c r="I46" s="45"/>
      <c r="J46" s="45"/>
      <c r="K46" s="45"/>
      <c r="L46" s="45"/>
    </row>
    <row r="47" spans="2:12" x14ac:dyDescent="0.35">
      <c r="B47" s="45"/>
      <c r="C47" s="45"/>
      <c r="D47" s="45"/>
      <c r="E47" s="45"/>
      <c r="F47" s="45"/>
      <c r="G47" s="45"/>
      <c r="H47" s="45"/>
      <c r="I47" s="45"/>
      <c r="J47" s="45"/>
      <c r="K47" s="45"/>
      <c r="L47" s="45"/>
    </row>
    <row r="48" spans="2:12" x14ac:dyDescent="0.35">
      <c r="B48" s="45"/>
      <c r="C48" s="45"/>
      <c r="D48" s="45"/>
      <c r="E48" s="45"/>
      <c r="F48" s="45"/>
      <c r="G48" s="45"/>
      <c r="H48" s="45"/>
      <c r="I48" s="45"/>
      <c r="J48" s="45"/>
      <c r="K48" s="45"/>
      <c r="L48" s="45"/>
    </row>
    <row r="49" spans="2:12" x14ac:dyDescent="0.35">
      <c r="B49" s="45"/>
      <c r="C49" s="45"/>
      <c r="D49" s="45"/>
      <c r="E49" s="45"/>
      <c r="F49" s="45"/>
      <c r="G49" s="45"/>
      <c r="H49" s="45"/>
      <c r="I49" s="45"/>
      <c r="J49" s="45"/>
      <c r="K49" s="45"/>
      <c r="L49" s="45"/>
    </row>
    <row r="50" spans="2:12" x14ac:dyDescent="0.35">
      <c r="B50" s="45"/>
      <c r="C50" s="45"/>
      <c r="D50" s="45"/>
      <c r="E50" s="45"/>
      <c r="F50" s="45"/>
      <c r="G50" s="45"/>
      <c r="H50" s="45"/>
      <c r="I50" s="45"/>
      <c r="J50" s="45"/>
      <c r="K50" s="45"/>
      <c r="L50" s="45"/>
    </row>
    <row r="51" spans="2:12" x14ac:dyDescent="0.35">
      <c r="B51" s="45"/>
      <c r="C51" s="45"/>
      <c r="D51" s="45"/>
      <c r="E51" s="45"/>
      <c r="F51" s="45"/>
      <c r="G51" s="45"/>
      <c r="H51" s="45"/>
      <c r="I51" s="45"/>
      <c r="J51" s="45"/>
      <c r="K51" s="45"/>
      <c r="L51" s="45"/>
    </row>
    <row r="52" spans="2:12" x14ac:dyDescent="0.35">
      <c r="B52" s="45"/>
      <c r="C52" s="45"/>
      <c r="D52" s="45"/>
      <c r="E52" s="45"/>
      <c r="F52" s="45"/>
      <c r="G52" s="45"/>
      <c r="H52" s="45"/>
      <c r="I52" s="45"/>
      <c r="J52" s="45"/>
      <c r="K52" s="45"/>
      <c r="L52" s="45"/>
    </row>
    <row r="53" spans="2:12" x14ac:dyDescent="0.35">
      <c r="B53" s="45"/>
      <c r="C53" s="45"/>
      <c r="D53" s="45"/>
      <c r="E53" s="45"/>
      <c r="F53" s="45"/>
      <c r="G53" s="45"/>
      <c r="H53" s="45"/>
      <c r="I53" s="45"/>
      <c r="J53" s="45"/>
      <c r="K53" s="45"/>
      <c r="L53" s="45"/>
    </row>
    <row r="54" spans="2:12" x14ac:dyDescent="0.35">
      <c r="B54" s="45"/>
      <c r="C54" s="45"/>
      <c r="D54" s="45"/>
      <c r="E54" s="45"/>
      <c r="F54" s="45"/>
      <c r="G54" s="45"/>
      <c r="H54" s="45"/>
      <c r="I54" s="45"/>
      <c r="J54" s="45"/>
      <c r="K54" s="45"/>
      <c r="L54" s="45"/>
    </row>
    <row r="55" spans="2:12" x14ac:dyDescent="0.35">
      <c r="B55" s="45"/>
      <c r="C55" s="45"/>
      <c r="D55" s="45"/>
      <c r="E55" s="45"/>
      <c r="F55" s="45"/>
      <c r="G55" s="45"/>
      <c r="H55" s="45"/>
      <c r="I55" s="45"/>
      <c r="J55" s="45"/>
      <c r="K55" s="45"/>
      <c r="L55" s="45"/>
    </row>
    <row r="56" spans="2:12" x14ac:dyDescent="0.35">
      <c r="B56" s="45"/>
      <c r="C56" s="45"/>
      <c r="D56" s="45"/>
      <c r="E56" s="45"/>
      <c r="F56" s="45"/>
      <c r="G56" s="45"/>
      <c r="H56" s="45"/>
      <c r="I56" s="45"/>
      <c r="J56" s="45"/>
      <c r="K56" s="45"/>
      <c r="L56" s="45"/>
    </row>
    <row r="57" spans="2:12" x14ac:dyDescent="0.35">
      <c r="B57" s="45"/>
      <c r="C57" s="45"/>
      <c r="D57" s="45"/>
      <c r="E57" s="45"/>
      <c r="F57" s="45"/>
      <c r="G57" s="45"/>
      <c r="H57" s="45"/>
      <c r="I57" s="45"/>
      <c r="J57" s="45"/>
      <c r="K57" s="45"/>
      <c r="L57" s="45"/>
    </row>
    <row r="58" spans="2:12" x14ac:dyDescent="0.35">
      <c r="B58" s="45"/>
      <c r="C58" s="45"/>
      <c r="D58" s="45"/>
      <c r="E58" s="45"/>
      <c r="F58" s="45"/>
      <c r="G58" s="45"/>
      <c r="H58" s="45"/>
      <c r="I58" s="45"/>
      <c r="J58" s="45"/>
      <c r="K58" s="45"/>
      <c r="L58" s="45"/>
    </row>
    <row r="59" spans="2:12" x14ac:dyDescent="0.35">
      <c r="B59" s="45"/>
      <c r="C59" s="45"/>
      <c r="D59" s="45"/>
      <c r="E59" s="45"/>
      <c r="F59" s="45"/>
      <c r="G59" s="45"/>
      <c r="H59" s="45"/>
      <c r="I59" s="45"/>
      <c r="J59" s="45"/>
      <c r="K59" s="45"/>
      <c r="L59" s="45"/>
    </row>
    <row r="60" spans="2:12" x14ac:dyDescent="0.35">
      <c r="B60" s="45"/>
      <c r="C60" s="45"/>
      <c r="D60" s="45"/>
      <c r="E60" s="45"/>
      <c r="F60" s="45"/>
      <c r="G60" s="45"/>
      <c r="H60" s="45"/>
      <c r="I60" s="45"/>
      <c r="J60" s="45"/>
      <c r="K60" s="45"/>
      <c r="L60" s="45"/>
    </row>
    <row r="61" spans="2:12" x14ac:dyDescent="0.35">
      <c r="B61" s="45"/>
      <c r="C61" s="45"/>
      <c r="D61" s="45"/>
      <c r="E61" s="45"/>
      <c r="F61" s="45"/>
      <c r="G61" s="45"/>
      <c r="H61" s="45"/>
      <c r="I61" s="45"/>
      <c r="J61" s="45"/>
      <c r="K61" s="45"/>
      <c r="L61" s="45"/>
    </row>
    <row r="62" spans="2:12" x14ac:dyDescent="0.35">
      <c r="B62" s="45"/>
      <c r="C62" s="45"/>
      <c r="D62" s="45"/>
      <c r="E62" s="45"/>
      <c r="F62" s="45"/>
      <c r="G62" s="45"/>
      <c r="H62" s="45"/>
      <c r="I62" s="45"/>
      <c r="J62" s="45"/>
      <c r="K62" s="45"/>
      <c r="L62" s="45"/>
    </row>
    <row r="63" spans="2:12" x14ac:dyDescent="0.35">
      <c r="B63" s="45"/>
      <c r="C63" s="45"/>
      <c r="D63" s="45"/>
      <c r="E63" s="45"/>
      <c r="F63" s="45"/>
      <c r="G63" s="45"/>
      <c r="H63" s="45"/>
      <c r="I63" s="45"/>
      <c r="J63" s="45"/>
      <c r="K63" s="45"/>
      <c r="L63" s="45"/>
    </row>
    <row r="64" spans="2:12" x14ac:dyDescent="0.35">
      <c r="B64" s="45"/>
      <c r="C64" s="45"/>
      <c r="D64" s="45"/>
      <c r="E64" s="45"/>
      <c r="F64" s="45"/>
      <c r="G64" s="45"/>
      <c r="H64" s="45"/>
      <c r="I64" s="45"/>
      <c r="J64" s="45"/>
      <c r="K64" s="45"/>
      <c r="L64" s="45"/>
    </row>
    <row r="65" spans="2:12" x14ac:dyDescent="0.35">
      <c r="B65" s="45"/>
      <c r="C65" s="45"/>
      <c r="D65" s="45"/>
      <c r="E65" s="45"/>
      <c r="F65" s="45"/>
      <c r="G65" s="45"/>
      <c r="H65" s="45"/>
      <c r="I65" s="45"/>
      <c r="J65" s="45"/>
      <c r="K65" s="45"/>
      <c r="L65" s="45"/>
    </row>
    <row r="66" spans="2:12" x14ac:dyDescent="0.35">
      <c r="B66" s="45"/>
      <c r="C66" s="45"/>
      <c r="D66" s="45"/>
      <c r="E66" s="45"/>
      <c r="F66" s="45"/>
      <c r="G66" s="45"/>
      <c r="H66" s="45"/>
      <c r="I66" s="45"/>
      <c r="J66" s="45"/>
      <c r="K66" s="45"/>
      <c r="L66" s="45"/>
    </row>
    <row r="67" spans="2:12" x14ac:dyDescent="0.35">
      <c r="B67" s="45"/>
      <c r="C67" s="45"/>
      <c r="D67" s="45"/>
      <c r="E67" s="45"/>
      <c r="F67" s="45"/>
      <c r="G67" s="45"/>
      <c r="H67" s="45"/>
      <c r="I67" s="45"/>
      <c r="J67" s="45"/>
      <c r="K67" s="45"/>
      <c r="L67" s="45"/>
    </row>
    <row r="68" spans="2:12" x14ac:dyDescent="0.35">
      <c r="B68" s="45"/>
      <c r="C68" s="45"/>
      <c r="D68" s="45"/>
      <c r="E68" s="45"/>
      <c r="F68" s="45"/>
      <c r="G68" s="45"/>
      <c r="H68" s="45"/>
      <c r="I68" s="45"/>
      <c r="J68" s="45"/>
      <c r="K68" s="45"/>
      <c r="L68" s="45"/>
    </row>
    <row r="69" spans="2:12" x14ac:dyDescent="0.35">
      <c r="B69" s="45"/>
      <c r="C69" s="45"/>
      <c r="D69" s="45"/>
      <c r="E69" s="45"/>
      <c r="F69" s="45"/>
      <c r="G69" s="45"/>
      <c r="H69" s="45"/>
      <c r="I69" s="45"/>
      <c r="J69" s="45"/>
      <c r="K69" s="45"/>
      <c r="L69" s="45"/>
    </row>
    <row r="70" spans="2:12" x14ac:dyDescent="0.35">
      <c r="B70" s="45"/>
      <c r="C70" s="45"/>
      <c r="D70" s="45"/>
      <c r="E70" s="45"/>
      <c r="F70" s="45"/>
      <c r="G70" s="45"/>
      <c r="H70" s="45"/>
      <c r="I70" s="45"/>
      <c r="J70" s="45"/>
      <c r="K70" s="45"/>
      <c r="L70" s="45"/>
    </row>
    <row r="71" spans="2:12" x14ac:dyDescent="0.35">
      <c r="B71" s="45"/>
      <c r="C71" s="45"/>
      <c r="D71" s="45"/>
      <c r="E71" s="45"/>
      <c r="F71" s="45"/>
      <c r="G71" s="45"/>
      <c r="H71" s="45"/>
      <c r="I71" s="45"/>
      <c r="J71" s="45"/>
      <c r="K71" s="45"/>
      <c r="L71" s="45"/>
    </row>
    <row r="72" spans="2:12" x14ac:dyDescent="0.35">
      <c r="B72" s="45"/>
      <c r="C72" s="45"/>
      <c r="D72" s="45"/>
      <c r="E72" s="45"/>
      <c r="F72" s="45"/>
      <c r="G72" s="45"/>
      <c r="H72" s="45"/>
      <c r="I72" s="45"/>
      <c r="J72" s="45"/>
      <c r="K72" s="45"/>
      <c r="L72" s="45"/>
    </row>
    <row r="73" spans="2:12" x14ac:dyDescent="0.35">
      <c r="B73" s="45"/>
      <c r="C73" s="45"/>
      <c r="D73" s="45"/>
      <c r="E73" s="45"/>
      <c r="F73" s="45"/>
      <c r="G73" s="45"/>
      <c r="H73" s="45"/>
      <c r="I73" s="45"/>
      <c r="J73" s="45"/>
      <c r="K73" s="45"/>
      <c r="L73" s="45"/>
    </row>
    <row r="74" spans="2:12" x14ac:dyDescent="0.35">
      <c r="B74" s="45"/>
      <c r="C74" s="45"/>
      <c r="D74" s="45"/>
      <c r="E74" s="45"/>
      <c r="F74" s="45"/>
      <c r="G74" s="45"/>
      <c r="H74" s="45"/>
      <c r="I74" s="45"/>
      <c r="J74" s="45"/>
      <c r="K74" s="45"/>
      <c r="L74" s="45"/>
    </row>
    <row r="75" spans="2:12" x14ac:dyDescent="0.35">
      <c r="B75" s="45"/>
      <c r="C75" s="45"/>
      <c r="D75" s="45"/>
      <c r="E75" s="45"/>
      <c r="F75" s="45"/>
      <c r="G75" s="45"/>
      <c r="H75" s="45"/>
      <c r="I75" s="45"/>
      <c r="J75" s="45"/>
      <c r="K75" s="45"/>
      <c r="L75" s="45"/>
    </row>
    <row r="76" spans="2:12" x14ac:dyDescent="0.35">
      <c r="B76" s="45"/>
      <c r="C76" s="45"/>
      <c r="D76" s="45"/>
      <c r="E76" s="45"/>
      <c r="F76" s="45"/>
      <c r="G76" s="45"/>
      <c r="H76" s="45"/>
      <c r="I76" s="45"/>
      <c r="J76" s="45"/>
      <c r="K76" s="45"/>
      <c r="L76" s="45"/>
    </row>
    <row r="77" spans="2:12" x14ac:dyDescent="0.35">
      <c r="B77" s="45"/>
      <c r="C77" s="45"/>
      <c r="D77" s="45"/>
      <c r="E77" s="45"/>
      <c r="F77" s="45"/>
      <c r="G77" s="45"/>
      <c r="H77" s="45"/>
      <c r="I77" s="45"/>
      <c r="J77" s="45"/>
      <c r="K77" s="45"/>
      <c r="L77" s="45"/>
    </row>
    <row r="78" spans="2:12" x14ac:dyDescent="0.35">
      <c r="B78" s="45"/>
      <c r="C78" s="45"/>
      <c r="D78" s="45"/>
      <c r="E78" s="45"/>
      <c r="F78" s="45"/>
      <c r="G78" s="45"/>
      <c r="H78" s="45"/>
      <c r="I78" s="45"/>
      <c r="J78" s="45"/>
      <c r="K78" s="45"/>
      <c r="L78" s="45"/>
    </row>
    <row r="79" spans="2:12" x14ac:dyDescent="0.35">
      <c r="B79" s="45"/>
      <c r="C79" s="45"/>
      <c r="D79" s="45"/>
      <c r="E79" s="45"/>
      <c r="F79" s="45"/>
      <c r="G79" s="45"/>
      <c r="H79" s="45"/>
      <c r="I79" s="45"/>
      <c r="J79" s="45"/>
      <c r="K79" s="45"/>
      <c r="L79" s="45"/>
    </row>
    <row r="80" spans="2:12" x14ac:dyDescent="0.35">
      <c r="B80" s="45"/>
      <c r="C80" s="45"/>
      <c r="D80" s="45"/>
      <c r="E80" s="45"/>
      <c r="F80" s="45"/>
      <c r="G80" s="45"/>
      <c r="H80" s="45"/>
      <c r="I80" s="45"/>
      <c r="J80" s="45"/>
      <c r="K80" s="45"/>
      <c r="L80" s="45"/>
    </row>
    <row r="81" spans="2:12" x14ac:dyDescent="0.35">
      <c r="B81" s="45"/>
      <c r="C81" s="45"/>
      <c r="D81" s="45"/>
      <c r="E81" s="45"/>
      <c r="F81" s="45"/>
      <c r="G81" s="45"/>
      <c r="H81" s="45"/>
      <c r="I81" s="45"/>
      <c r="J81" s="45"/>
      <c r="K81" s="45"/>
      <c r="L81" s="45"/>
    </row>
    <row r="82" spans="2:12" x14ac:dyDescent="0.35">
      <c r="B82" s="45"/>
      <c r="C82" s="45"/>
      <c r="D82" s="45"/>
      <c r="E82" s="45"/>
      <c r="F82" s="45"/>
      <c r="G82" s="45"/>
      <c r="H82" s="45"/>
      <c r="I82" s="45"/>
      <c r="J82" s="45"/>
      <c r="K82" s="45"/>
      <c r="L82" s="45"/>
    </row>
    <row r="83" spans="2:12" x14ac:dyDescent="0.35">
      <c r="B83" s="45"/>
      <c r="C83" s="45"/>
      <c r="D83" s="45"/>
      <c r="E83" s="45"/>
      <c r="F83" s="45"/>
      <c r="G83" s="45"/>
      <c r="H83" s="45"/>
      <c r="I83" s="45"/>
      <c r="J83" s="45"/>
      <c r="K83" s="45"/>
      <c r="L83" s="45"/>
    </row>
    <row r="84" spans="2:12" x14ac:dyDescent="0.35">
      <c r="B84" s="45"/>
      <c r="C84" s="45"/>
      <c r="D84" s="45"/>
      <c r="E84" s="45"/>
      <c r="F84" s="45"/>
      <c r="G84" s="45"/>
      <c r="H84" s="45"/>
      <c r="I84" s="45"/>
      <c r="J84" s="45"/>
      <c r="K84" s="45"/>
      <c r="L84" s="45"/>
    </row>
    <row r="85" spans="2:12" x14ac:dyDescent="0.35">
      <c r="B85" s="45"/>
      <c r="C85" s="45"/>
      <c r="D85" s="45"/>
      <c r="E85" s="45"/>
      <c r="F85" s="45"/>
      <c r="G85" s="45"/>
      <c r="H85" s="45"/>
      <c r="I85" s="45"/>
      <c r="J85" s="45"/>
      <c r="K85" s="45"/>
      <c r="L85" s="45"/>
    </row>
    <row r="86" spans="2:12" x14ac:dyDescent="0.35">
      <c r="B86" s="45"/>
      <c r="C86" s="45"/>
      <c r="D86" s="45"/>
      <c r="E86" s="45"/>
      <c r="F86" s="45"/>
      <c r="G86" s="45"/>
      <c r="H86" s="45"/>
      <c r="I86" s="45"/>
      <c r="J86" s="45"/>
      <c r="K86" s="45"/>
      <c r="L86" s="45"/>
    </row>
    <row r="87" spans="2:12" x14ac:dyDescent="0.35">
      <c r="B87" s="45"/>
      <c r="C87" s="45"/>
      <c r="D87" s="45"/>
      <c r="E87" s="45"/>
      <c r="F87" s="45"/>
      <c r="G87" s="45"/>
      <c r="H87" s="45"/>
      <c r="I87" s="45"/>
      <c r="J87" s="45"/>
      <c r="K87" s="45"/>
      <c r="L87" s="45"/>
    </row>
    <row r="88" spans="2:12" x14ac:dyDescent="0.35">
      <c r="B88" s="45"/>
      <c r="C88" s="45"/>
      <c r="D88" s="45"/>
      <c r="E88" s="45"/>
      <c r="F88" s="45"/>
      <c r="G88" s="45"/>
      <c r="H88" s="45"/>
      <c r="I88" s="45"/>
      <c r="J88" s="45"/>
      <c r="K88" s="45"/>
      <c r="L88" s="45"/>
    </row>
    <row r="89" spans="2:12" x14ac:dyDescent="0.35">
      <c r="B89" s="45"/>
      <c r="C89" s="45"/>
      <c r="D89" s="45"/>
      <c r="E89" s="45"/>
      <c r="F89" s="45"/>
      <c r="G89" s="45"/>
      <c r="H89" s="45"/>
      <c r="I89" s="45"/>
      <c r="J89" s="45"/>
      <c r="K89" s="45"/>
      <c r="L89" s="45"/>
    </row>
    <row r="90" spans="2:12" x14ac:dyDescent="0.35">
      <c r="B90" s="45"/>
      <c r="C90" s="45"/>
      <c r="D90" s="45"/>
      <c r="E90" s="45"/>
      <c r="F90" s="45"/>
      <c r="G90" s="45"/>
      <c r="H90" s="45"/>
      <c r="I90" s="45"/>
      <c r="J90" s="45"/>
      <c r="K90" s="45"/>
      <c r="L90" s="45"/>
    </row>
    <row r="91" spans="2:12" x14ac:dyDescent="0.35">
      <c r="B91" s="45"/>
      <c r="C91" s="45"/>
      <c r="D91" s="45"/>
      <c r="E91" s="45"/>
      <c r="F91" s="45"/>
      <c r="G91" s="45"/>
      <c r="H91" s="45"/>
      <c r="I91" s="45"/>
      <c r="J91" s="45"/>
      <c r="K91" s="45"/>
      <c r="L91" s="45"/>
    </row>
    <row r="92" spans="2:12" x14ac:dyDescent="0.35">
      <c r="B92" s="45"/>
      <c r="C92" s="45"/>
      <c r="D92" s="45"/>
      <c r="E92" s="45"/>
      <c r="F92" s="45"/>
      <c r="G92" s="45"/>
      <c r="H92" s="45"/>
      <c r="I92" s="45"/>
      <c r="J92" s="45"/>
      <c r="K92" s="45"/>
      <c r="L92" s="45"/>
    </row>
    <row r="93" spans="2:12" x14ac:dyDescent="0.35">
      <c r="B93" s="45"/>
      <c r="C93" s="45"/>
      <c r="D93" s="45"/>
      <c r="E93" s="45"/>
      <c r="F93" s="45"/>
      <c r="G93" s="45"/>
      <c r="H93" s="45"/>
      <c r="I93" s="45"/>
      <c r="J93" s="45"/>
      <c r="K93" s="45"/>
      <c r="L93" s="45"/>
    </row>
    <row r="94" spans="2:12" x14ac:dyDescent="0.35">
      <c r="B94" s="45"/>
      <c r="C94" s="45"/>
      <c r="D94" s="45"/>
      <c r="E94" s="45"/>
      <c r="F94" s="45"/>
      <c r="G94" s="45"/>
      <c r="H94" s="45"/>
      <c r="I94" s="45"/>
      <c r="J94" s="45"/>
      <c r="K94" s="45"/>
      <c r="L94" s="45"/>
    </row>
    <row r="95" spans="2:12" x14ac:dyDescent="0.35">
      <c r="B95" s="45"/>
      <c r="C95" s="45"/>
      <c r="D95" s="45"/>
      <c r="E95" s="45"/>
      <c r="F95" s="45"/>
      <c r="G95" s="45"/>
      <c r="H95" s="45"/>
      <c r="I95" s="45"/>
      <c r="J95" s="45"/>
      <c r="K95" s="45"/>
      <c r="L95" s="45"/>
    </row>
    <row r="96" spans="2:12" x14ac:dyDescent="0.35">
      <c r="B96" s="45"/>
      <c r="C96" s="45"/>
      <c r="D96" s="45"/>
      <c r="E96" s="45"/>
      <c r="F96" s="45"/>
      <c r="G96" s="45"/>
      <c r="H96" s="45"/>
      <c r="I96" s="45"/>
      <c r="J96" s="45"/>
      <c r="K96" s="45"/>
      <c r="L96" s="45"/>
    </row>
    <row r="97" spans="2:12" x14ac:dyDescent="0.35">
      <c r="B97" s="45"/>
      <c r="C97" s="45"/>
      <c r="D97" s="45"/>
      <c r="E97" s="45"/>
      <c r="F97" s="45"/>
      <c r="G97" s="45"/>
      <c r="H97" s="45"/>
      <c r="I97" s="45"/>
      <c r="J97" s="45"/>
      <c r="K97" s="45"/>
      <c r="L97" s="45"/>
    </row>
    <row r="98" spans="2:12" x14ac:dyDescent="0.35">
      <c r="B98" s="45"/>
      <c r="C98" s="45"/>
      <c r="D98" s="45"/>
      <c r="E98" s="45"/>
      <c r="F98" s="45"/>
      <c r="G98" s="45"/>
      <c r="H98" s="45"/>
      <c r="I98" s="45"/>
      <c r="J98" s="45"/>
      <c r="K98" s="45"/>
      <c r="L98" s="45"/>
    </row>
    <row r="99" spans="2:12" x14ac:dyDescent="0.35">
      <c r="B99" s="45"/>
      <c r="C99" s="45"/>
      <c r="D99" s="45"/>
      <c r="E99" s="45"/>
      <c r="F99" s="45"/>
      <c r="G99" s="45"/>
      <c r="H99" s="45"/>
      <c r="I99" s="45"/>
      <c r="J99" s="45"/>
      <c r="K99" s="45"/>
      <c r="L99" s="45"/>
    </row>
    <row r="100" spans="2:12" x14ac:dyDescent="0.35">
      <c r="B100" s="45"/>
      <c r="C100" s="45"/>
      <c r="D100" s="45"/>
      <c r="E100" s="45"/>
      <c r="F100" s="45"/>
      <c r="G100" s="45"/>
      <c r="H100" s="45"/>
      <c r="I100" s="45"/>
      <c r="J100" s="45"/>
      <c r="K100" s="45"/>
      <c r="L100" s="45"/>
    </row>
    <row r="101" spans="2:12" x14ac:dyDescent="0.35">
      <c r="B101" s="45"/>
      <c r="C101" s="45"/>
      <c r="D101" s="45"/>
      <c r="E101" s="45"/>
      <c r="F101" s="45"/>
      <c r="G101" s="45"/>
      <c r="H101" s="45"/>
      <c r="I101" s="45"/>
      <c r="J101" s="45"/>
      <c r="K101" s="45"/>
      <c r="L101" s="45"/>
    </row>
    <row r="102" spans="2:12" x14ac:dyDescent="0.35">
      <c r="B102" s="45"/>
      <c r="C102" s="45"/>
      <c r="D102" s="45"/>
      <c r="E102" s="45"/>
      <c r="F102" s="45"/>
      <c r="G102" s="45"/>
      <c r="H102" s="45"/>
      <c r="I102" s="45"/>
      <c r="J102" s="45"/>
      <c r="K102" s="45"/>
      <c r="L102" s="45"/>
    </row>
    <row r="103" spans="2:12" x14ac:dyDescent="0.35">
      <c r="B103" s="45"/>
      <c r="C103" s="45"/>
      <c r="D103" s="45"/>
      <c r="E103" s="45"/>
      <c r="F103" s="45"/>
      <c r="G103" s="45"/>
      <c r="H103" s="45"/>
      <c r="I103" s="45"/>
      <c r="J103" s="45"/>
      <c r="K103" s="45"/>
      <c r="L103" s="45"/>
    </row>
    <row r="104" spans="2:12" x14ac:dyDescent="0.35">
      <c r="B104" s="45"/>
      <c r="C104" s="45"/>
      <c r="D104" s="45"/>
      <c r="E104" s="45"/>
      <c r="F104" s="45"/>
      <c r="G104" s="45"/>
      <c r="H104" s="45"/>
      <c r="I104" s="45"/>
      <c r="J104" s="45"/>
      <c r="K104" s="45"/>
      <c r="L104" s="45"/>
    </row>
    <row r="105" spans="2:12" x14ac:dyDescent="0.35">
      <c r="B105" s="45"/>
      <c r="C105" s="45"/>
      <c r="D105" s="45"/>
      <c r="E105" s="45"/>
      <c r="F105" s="45"/>
      <c r="G105" s="45"/>
      <c r="H105" s="45"/>
      <c r="I105" s="45"/>
      <c r="J105" s="45"/>
      <c r="K105" s="45"/>
      <c r="L105" s="45"/>
    </row>
    <row r="106" spans="2:12" x14ac:dyDescent="0.35">
      <c r="B106" s="45"/>
      <c r="C106" s="45"/>
      <c r="D106" s="45"/>
      <c r="E106" s="45"/>
      <c r="F106" s="45"/>
      <c r="G106" s="45"/>
      <c r="H106" s="45"/>
      <c r="I106" s="45"/>
      <c r="J106" s="45"/>
      <c r="K106" s="45"/>
      <c r="L106" s="45"/>
    </row>
    <row r="107" spans="2:12" x14ac:dyDescent="0.35">
      <c r="B107" s="45"/>
      <c r="C107" s="45"/>
      <c r="D107" s="45"/>
      <c r="E107" s="45"/>
      <c r="F107" s="45"/>
      <c r="G107" s="45"/>
      <c r="H107" s="45"/>
      <c r="I107" s="45"/>
      <c r="J107" s="45"/>
      <c r="K107" s="45"/>
      <c r="L107" s="45"/>
    </row>
    <row r="108" spans="2:12" x14ac:dyDescent="0.35">
      <c r="B108" s="45"/>
      <c r="C108" s="45"/>
      <c r="D108" s="45"/>
      <c r="E108" s="45"/>
      <c r="F108" s="45"/>
      <c r="G108" s="45"/>
      <c r="H108" s="45"/>
      <c r="I108" s="45"/>
      <c r="J108" s="45"/>
      <c r="K108" s="45"/>
      <c r="L108" s="45"/>
    </row>
    <row r="109" spans="2:12" x14ac:dyDescent="0.35">
      <c r="B109" s="45"/>
      <c r="C109" s="45"/>
      <c r="D109" s="45"/>
      <c r="E109" s="45"/>
      <c r="F109" s="45"/>
      <c r="G109" s="45"/>
      <c r="H109" s="45"/>
      <c r="I109" s="45"/>
      <c r="J109" s="45"/>
      <c r="K109" s="45"/>
      <c r="L109" s="45"/>
    </row>
    <row r="110" spans="2:12" x14ac:dyDescent="0.35">
      <c r="B110" s="45"/>
      <c r="C110" s="45"/>
      <c r="D110" s="45"/>
      <c r="E110" s="45"/>
      <c r="F110" s="45"/>
      <c r="G110" s="45"/>
      <c r="H110" s="45"/>
      <c r="I110" s="45"/>
      <c r="J110" s="45"/>
      <c r="K110" s="45"/>
      <c r="L110" s="45"/>
    </row>
    <row r="111" spans="2:12" x14ac:dyDescent="0.35">
      <c r="B111" s="45"/>
      <c r="C111" s="45"/>
      <c r="D111" s="45"/>
      <c r="E111" s="45"/>
      <c r="F111" s="45"/>
      <c r="G111" s="45"/>
      <c r="H111" s="45"/>
      <c r="I111" s="45"/>
      <c r="J111" s="45"/>
      <c r="K111" s="45"/>
      <c r="L111" s="45"/>
    </row>
    <row r="112" spans="2:12" x14ac:dyDescent="0.35">
      <c r="B112" s="45"/>
      <c r="C112" s="45"/>
      <c r="D112" s="45"/>
      <c r="E112" s="45"/>
      <c r="F112" s="45"/>
      <c r="G112" s="45"/>
      <c r="H112" s="45"/>
      <c r="I112" s="45"/>
      <c r="J112" s="45"/>
      <c r="K112" s="45"/>
      <c r="L112" s="45"/>
    </row>
    <row r="113" spans="2:12" x14ac:dyDescent="0.35">
      <c r="B113" s="45"/>
      <c r="C113" s="45"/>
      <c r="D113" s="45"/>
      <c r="E113" s="45"/>
      <c r="F113" s="45"/>
      <c r="G113" s="45"/>
      <c r="H113" s="45"/>
      <c r="I113" s="45"/>
      <c r="J113" s="45"/>
      <c r="K113" s="45"/>
      <c r="L113" s="45"/>
    </row>
    <row r="114" spans="2:12" x14ac:dyDescent="0.35">
      <c r="B114" s="45"/>
      <c r="C114" s="45"/>
      <c r="D114" s="45"/>
      <c r="E114" s="45"/>
      <c r="F114" s="45"/>
      <c r="G114" s="45"/>
      <c r="H114" s="45"/>
      <c r="I114" s="45"/>
      <c r="J114" s="45"/>
      <c r="K114" s="45"/>
      <c r="L114" s="45"/>
    </row>
    <row r="115" spans="2:12" x14ac:dyDescent="0.35">
      <c r="B115" s="45"/>
      <c r="C115" s="45"/>
      <c r="D115" s="45"/>
      <c r="E115" s="45"/>
      <c r="F115" s="45"/>
      <c r="G115" s="45"/>
      <c r="H115" s="45"/>
      <c r="I115" s="45"/>
      <c r="J115" s="45"/>
      <c r="K115" s="45"/>
      <c r="L115" s="45"/>
    </row>
    <row r="116" spans="2:12" x14ac:dyDescent="0.35">
      <c r="B116" s="45"/>
      <c r="C116" s="45"/>
      <c r="D116" s="45"/>
      <c r="E116" s="45"/>
      <c r="F116" s="45"/>
      <c r="G116" s="45"/>
      <c r="H116" s="45"/>
      <c r="I116" s="45"/>
      <c r="J116" s="45"/>
      <c r="K116" s="45"/>
      <c r="L116" s="45"/>
    </row>
    <row r="117" spans="2:12" x14ac:dyDescent="0.35">
      <c r="B117" s="45"/>
      <c r="C117" s="45"/>
      <c r="D117" s="45"/>
      <c r="E117" s="45"/>
      <c r="F117" s="45"/>
      <c r="G117" s="45"/>
      <c r="H117" s="45"/>
      <c r="I117" s="45"/>
      <c r="J117" s="45"/>
      <c r="K117" s="45"/>
      <c r="L117" s="45"/>
    </row>
    <row r="118" spans="2:12" x14ac:dyDescent="0.35">
      <c r="B118" s="45"/>
      <c r="C118" s="45"/>
      <c r="D118" s="45"/>
      <c r="E118" s="45"/>
      <c r="F118" s="45"/>
      <c r="G118" s="45"/>
      <c r="H118" s="45"/>
      <c r="I118" s="45"/>
      <c r="J118" s="45"/>
      <c r="K118" s="45"/>
      <c r="L118" s="45"/>
    </row>
    <row r="119" spans="2:12" x14ac:dyDescent="0.35">
      <c r="B119" s="45"/>
      <c r="C119" s="45"/>
      <c r="D119" s="45"/>
      <c r="E119" s="45"/>
      <c r="F119" s="45"/>
      <c r="G119" s="45"/>
      <c r="H119" s="45"/>
      <c r="I119" s="45"/>
      <c r="J119" s="45"/>
      <c r="K119" s="45"/>
      <c r="L119" s="45"/>
    </row>
    <row r="120" spans="2:12" x14ac:dyDescent="0.35">
      <c r="B120" s="45"/>
      <c r="C120" s="45"/>
      <c r="D120" s="45"/>
      <c r="E120" s="45"/>
      <c r="F120" s="45"/>
      <c r="G120" s="45"/>
      <c r="H120" s="45"/>
      <c r="I120" s="45"/>
      <c r="J120" s="45"/>
      <c r="K120" s="45"/>
      <c r="L120" s="45"/>
    </row>
    <row r="121" spans="2:12" x14ac:dyDescent="0.35">
      <c r="B121" s="45"/>
      <c r="C121" s="45"/>
      <c r="D121" s="45"/>
      <c r="E121" s="45"/>
      <c r="F121" s="45"/>
      <c r="G121" s="45"/>
      <c r="H121" s="45"/>
      <c r="I121" s="45"/>
      <c r="J121" s="45"/>
      <c r="K121" s="45"/>
      <c r="L121" s="45"/>
    </row>
    <row r="122" spans="2:12" x14ac:dyDescent="0.35">
      <c r="B122" s="45"/>
      <c r="C122" s="45"/>
      <c r="D122" s="45"/>
      <c r="E122" s="45"/>
      <c r="F122" s="45"/>
      <c r="G122" s="45"/>
      <c r="H122" s="45"/>
      <c r="I122" s="45"/>
      <c r="J122" s="45"/>
      <c r="K122" s="45"/>
      <c r="L122" s="45"/>
    </row>
    <row r="123" spans="2:12" x14ac:dyDescent="0.35">
      <c r="B123" s="45"/>
      <c r="C123" s="45"/>
      <c r="D123" s="45"/>
      <c r="E123" s="45"/>
      <c r="F123" s="45"/>
      <c r="G123" s="45"/>
      <c r="H123" s="45"/>
      <c r="I123" s="45"/>
      <c r="J123" s="45"/>
      <c r="K123" s="45"/>
      <c r="L123" s="45"/>
    </row>
    <row r="124" spans="2:12" x14ac:dyDescent="0.35">
      <c r="B124" s="45"/>
      <c r="C124" s="45"/>
      <c r="D124" s="45"/>
      <c r="E124" s="45"/>
      <c r="F124" s="45"/>
      <c r="G124" s="45"/>
      <c r="H124" s="45"/>
      <c r="I124" s="45"/>
      <c r="J124" s="45"/>
      <c r="K124" s="45"/>
      <c r="L124" s="45"/>
    </row>
    <row r="125" spans="2:12" x14ac:dyDescent="0.35">
      <c r="B125" s="45"/>
      <c r="C125" s="45"/>
      <c r="D125" s="45"/>
      <c r="E125" s="45"/>
      <c r="F125" s="45"/>
      <c r="G125" s="45"/>
      <c r="H125" s="45"/>
      <c r="I125" s="45"/>
      <c r="J125" s="45"/>
      <c r="K125" s="45"/>
      <c r="L125" s="45"/>
    </row>
    <row r="126" spans="2:12" x14ac:dyDescent="0.35">
      <c r="B126" s="45"/>
      <c r="C126" s="45"/>
      <c r="D126" s="45"/>
      <c r="E126" s="45"/>
      <c r="F126" s="45"/>
      <c r="G126" s="45"/>
      <c r="H126" s="45"/>
      <c r="I126" s="45"/>
      <c r="J126" s="45"/>
      <c r="K126" s="45"/>
      <c r="L126" s="45"/>
    </row>
    <row r="127" spans="2:12" x14ac:dyDescent="0.35">
      <c r="B127" s="45"/>
      <c r="C127" s="45"/>
      <c r="D127" s="45"/>
      <c r="E127" s="45"/>
      <c r="F127" s="45"/>
      <c r="G127" s="45"/>
      <c r="H127" s="45"/>
      <c r="I127" s="45"/>
      <c r="J127" s="45"/>
      <c r="K127" s="45"/>
      <c r="L127" s="45"/>
    </row>
    <row r="128" spans="2:12" x14ac:dyDescent="0.35">
      <c r="B128" s="45"/>
      <c r="C128" s="45"/>
      <c r="D128" s="45"/>
      <c r="E128" s="45"/>
      <c r="F128" s="45"/>
      <c r="G128" s="45"/>
      <c r="H128" s="45"/>
      <c r="I128" s="45"/>
      <c r="J128" s="45"/>
      <c r="K128" s="45"/>
      <c r="L128" s="45"/>
    </row>
    <row r="129" spans="2:12" x14ac:dyDescent="0.35">
      <c r="B129" s="45"/>
      <c r="C129" s="45"/>
      <c r="D129" s="45"/>
      <c r="E129" s="45"/>
      <c r="F129" s="45"/>
      <c r="G129" s="45"/>
      <c r="H129" s="45"/>
      <c r="I129" s="45"/>
      <c r="J129" s="45"/>
      <c r="K129" s="45"/>
      <c r="L129" s="45"/>
    </row>
    <row r="130" spans="2:12" x14ac:dyDescent="0.35">
      <c r="B130" s="45"/>
      <c r="C130" s="45"/>
      <c r="D130" s="45"/>
      <c r="E130" s="45"/>
      <c r="F130" s="45"/>
      <c r="G130" s="45"/>
      <c r="H130" s="45"/>
      <c r="I130" s="45"/>
      <c r="J130" s="45"/>
      <c r="K130" s="45"/>
      <c r="L130" s="45"/>
    </row>
    <row r="131" spans="2:12" x14ac:dyDescent="0.35">
      <c r="B131" s="45"/>
      <c r="C131" s="45"/>
      <c r="D131" s="45"/>
      <c r="E131" s="45"/>
      <c r="F131" s="45"/>
      <c r="G131" s="45"/>
      <c r="H131" s="45"/>
      <c r="I131" s="45"/>
      <c r="J131" s="45"/>
      <c r="K131" s="45"/>
      <c r="L131" s="45"/>
    </row>
    <row r="132" spans="2:12" x14ac:dyDescent="0.35">
      <c r="B132" s="45"/>
      <c r="C132" s="45"/>
      <c r="D132" s="45"/>
      <c r="E132" s="45"/>
      <c r="F132" s="45"/>
      <c r="G132" s="45"/>
      <c r="H132" s="45"/>
      <c r="I132" s="45"/>
      <c r="J132" s="45"/>
      <c r="K132" s="45"/>
      <c r="L132" s="45"/>
    </row>
    <row r="133" spans="2:12" x14ac:dyDescent="0.35">
      <c r="B133" s="45"/>
      <c r="C133" s="45"/>
      <c r="D133" s="45"/>
      <c r="E133" s="45"/>
      <c r="F133" s="45"/>
      <c r="G133" s="45"/>
      <c r="H133" s="45"/>
      <c r="I133" s="45"/>
      <c r="J133" s="45"/>
      <c r="K133" s="45"/>
      <c r="L133" s="45"/>
    </row>
    <row r="134" spans="2:12" x14ac:dyDescent="0.35">
      <c r="B134" s="45"/>
      <c r="C134" s="45"/>
      <c r="D134" s="45"/>
      <c r="E134" s="45"/>
      <c r="F134" s="45"/>
      <c r="G134" s="45"/>
      <c r="H134" s="45"/>
      <c r="I134" s="45"/>
      <c r="J134" s="45"/>
      <c r="K134" s="45"/>
      <c r="L134" s="45"/>
    </row>
    <row r="135" spans="2:12" x14ac:dyDescent="0.35">
      <c r="B135" s="45"/>
      <c r="C135" s="45"/>
      <c r="D135" s="45"/>
      <c r="E135" s="45"/>
      <c r="F135" s="45"/>
      <c r="G135" s="45"/>
      <c r="H135" s="45"/>
      <c r="I135" s="45"/>
      <c r="J135" s="45"/>
      <c r="K135" s="45"/>
      <c r="L135" s="45"/>
    </row>
    <row r="136" spans="2:12" x14ac:dyDescent="0.35">
      <c r="B136" s="45"/>
      <c r="C136" s="45"/>
      <c r="D136" s="45"/>
      <c r="E136" s="45"/>
      <c r="F136" s="45"/>
      <c r="G136" s="45"/>
      <c r="H136" s="45"/>
      <c r="I136" s="45"/>
      <c r="J136" s="45"/>
      <c r="K136" s="45"/>
      <c r="L136" s="45"/>
    </row>
    <row r="137" spans="2:12" x14ac:dyDescent="0.35">
      <c r="B137" s="45"/>
      <c r="C137" s="45"/>
      <c r="D137" s="45"/>
      <c r="E137" s="45"/>
      <c r="F137" s="45"/>
      <c r="G137" s="45"/>
      <c r="H137" s="45"/>
      <c r="I137" s="45"/>
      <c r="J137" s="45"/>
      <c r="K137" s="45"/>
      <c r="L137" s="45"/>
    </row>
    <row r="138" spans="2:12" x14ac:dyDescent="0.35">
      <c r="B138" s="45"/>
      <c r="C138" s="45"/>
      <c r="D138" s="45"/>
      <c r="E138" s="45"/>
      <c r="F138" s="45"/>
      <c r="G138" s="45"/>
      <c r="H138" s="45"/>
      <c r="I138" s="45"/>
      <c r="J138" s="45"/>
      <c r="K138" s="45"/>
      <c r="L138" s="45"/>
    </row>
    <row r="139" spans="2:12" x14ac:dyDescent="0.35">
      <c r="B139" s="45"/>
      <c r="C139" s="45"/>
      <c r="D139" s="45"/>
      <c r="E139" s="45"/>
      <c r="F139" s="45"/>
      <c r="G139" s="45"/>
      <c r="H139" s="45"/>
      <c r="I139" s="45"/>
      <c r="J139" s="45"/>
      <c r="K139" s="45"/>
      <c r="L139" s="45"/>
    </row>
    <row r="140" spans="2:12" x14ac:dyDescent="0.35">
      <c r="B140" s="45"/>
      <c r="C140" s="45"/>
      <c r="D140" s="45"/>
      <c r="E140" s="45"/>
      <c r="F140" s="45"/>
      <c r="G140" s="45"/>
      <c r="H140" s="45"/>
      <c r="I140" s="45"/>
      <c r="J140" s="45"/>
      <c r="K140" s="45"/>
      <c r="L140" s="45"/>
    </row>
    <row r="141" spans="2:12" x14ac:dyDescent="0.35">
      <c r="B141" s="45"/>
      <c r="C141" s="45"/>
      <c r="D141" s="45"/>
      <c r="E141" s="45"/>
      <c r="F141" s="45"/>
      <c r="G141" s="45"/>
      <c r="H141" s="45"/>
      <c r="I141" s="45"/>
      <c r="J141" s="45"/>
      <c r="K141" s="45"/>
      <c r="L141" s="45"/>
    </row>
    <row r="142" spans="2:12" x14ac:dyDescent="0.35">
      <c r="B142" s="45"/>
      <c r="C142" s="45"/>
      <c r="D142" s="45"/>
      <c r="E142" s="45"/>
      <c r="F142" s="45"/>
      <c r="G142" s="45"/>
      <c r="H142" s="45"/>
      <c r="I142" s="45"/>
      <c r="J142" s="45"/>
      <c r="K142" s="45"/>
      <c r="L142" s="45"/>
    </row>
    <row r="143" spans="2:12" x14ac:dyDescent="0.35">
      <c r="B143" s="45"/>
      <c r="C143" s="45"/>
      <c r="D143" s="45"/>
      <c r="E143" s="45"/>
      <c r="F143" s="45"/>
      <c r="G143" s="45"/>
      <c r="H143" s="45"/>
      <c r="I143" s="45"/>
      <c r="J143" s="45"/>
      <c r="K143" s="45"/>
      <c r="L143" s="45"/>
    </row>
    <row r="144" spans="2:12" x14ac:dyDescent="0.35">
      <c r="B144" s="45"/>
      <c r="C144" s="45"/>
      <c r="D144" s="45"/>
      <c r="E144" s="45"/>
      <c r="F144" s="45"/>
      <c r="G144" s="45"/>
      <c r="H144" s="45"/>
      <c r="I144" s="45"/>
      <c r="J144" s="45"/>
      <c r="K144" s="45"/>
      <c r="L144" s="45"/>
    </row>
    <row r="145" spans="2:12" x14ac:dyDescent="0.35">
      <c r="B145" s="45"/>
      <c r="C145" s="45"/>
      <c r="D145" s="45"/>
      <c r="E145" s="45"/>
      <c r="F145" s="45"/>
      <c r="G145" s="45"/>
      <c r="H145" s="45"/>
      <c r="I145" s="45"/>
      <c r="J145" s="45"/>
      <c r="K145" s="45"/>
      <c r="L145" s="45"/>
    </row>
    <row r="146" spans="2:12" x14ac:dyDescent="0.35">
      <c r="B146" s="45"/>
      <c r="C146" s="45"/>
      <c r="D146" s="45"/>
      <c r="E146" s="45"/>
      <c r="F146" s="45"/>
      <c r="G146" s="45"/>
      <c r="H146" s="45"/>
      <c r="I146" s="45"/>
      <c r="J146" s="45"/>
      <c r="K146" s="45"/>
      <c r="L146" s="45"/>
    </row>
    <row r="147" spans="2:12" x14ac:dyDescent="0.35">
      <c r="B147" s="45"/>
      <c r="C147" s="45"/>
      <c r="D147" s="45"/>
      <c r="E147" s="45"/>
      <c r="F147" s="45"/>
      <c r="G147" s="45"/>
      <c r="H147" s="45"/>
      <c r="I147" s="45"/>
      <c r="J147" s="45"/>
      <c r="K147" s="45"/>
      <c r="L147" s="45"/>
    </row>
    <row r="148" spans="2:12" x14ac:dyDescent="0.35">
      <c r="B148" s="45"/>
      <c r="C148" s="45"/>
      <c r="D148" s="45"/>
      <c r="E148" s="45"/>
      <c r="F148" s="45"/>
      <c r="G148" s="45"/>
      <c r="H148" s="45"/>
      <c r="I148" s="45"/>
      <c r="J148" s="45"/>
      <c r="K148" s="45"/>
      <c r="L148" s="45"/>
    </row>
    <row r="149" spans="2:12" x14ac:dyDescent="0.35">
      <c r="B149" s="45"/>
      <c r="C149" s="45"/>
      <c r="D149" s="45"/>
      <c r="E149" s="45"/>
      <c r="F149" s="45"/>
      <c r="G149" s="45"/>
      <c r="H149" s="45"/>
      <c r="I149" s="45"/>
      <c r="J149" s="45"/>
      <c r="K149" s="45"/>
      <c r="L149" s="45"/>
    </row>
    <row r="150" spans="2:12" x14ac:dyDescent="0.35">
      <c r="B150" s="45"/>
      <c r="C150" s="45"/>
      <c r="D150" s="45"/>
      <c r="E150" s="45"/>
      <c r="F150" s="45"/>
      <c r="G150" s="45"/>
      <c r="H150" s="45"/>
      <c r="I150" s="45"/>
      <c r="J150" s="45"/>
      <c r="K150" s="45"/>
      <c r="L150" s="45"/>
    </row>
    <row r="151" spans="2:12" x14ac:dyDescent="0.35">
      <c r="B151" s="45"/>
      <c r="C151" s="45"/>
      <c r="D151" s="45"/>
      <c r="E151" s="45"/>
      <c r="F151" s="45"/>
      <c r="G151" s="45"/>
      <c r="H151" s="45"/>
      <c r="I151" s="45"/>
      <c r="J151" s="45"/>
      <c r="K151" s="45"/>
      <c r="L151" s="45"/>
    </row>
    <row r="152" spans="2:12" x14ac:dyDescent="0.35">
      <c r="B152" s="45"/>
      <c r="C152" s="45"/>
      <c r="D152" s="45"/>
      <c r="E152" s="45"/>
      <c r="F152" s="45"/>
      <c r="G152" s="45"/>
      <c r="H152" s="45"/>
      <c r="I152" s="45"/>
      <c r="J152" s="45"/>
      <c r="K152" s="45"/>
      <c r="L152" s="45"/>
    </row>
    <row r="153" spans="2:12" x14ac:dyDescent="0.35">
      <c r="B153" s="45"/>
      <c r="C153" s="45"/>
      <c r="D153" s="45"/>
      <c r="E153" s="45"/>
      <c r="F153" s="45"/>
      <c r="G153" s="45"/>
      <c r="H153" s="45"/>
      <c r="I153" s="45"/>
      <c r="J153" s="45"/>
      <c r="K153" s="45"/>
      <c r="L153" s="45"/>
    </row>
    <row r="154" spans="2:12" x14ac:dyDescent="0.35">
      <c r="B154" s="45"/>
      <c r="C154" s="45"/>
      <c r="D154" s="45"/>
      <c r="E154" s="45"/>
      <c r="F154" s="45"/>
      <c r="G154" s="45"/>
      <c r="H154" s="45"/>
      <c r="I154" s="45"/>
      <c r="J154" s="45"/>
      <c r="K154" s="45"/>
      <c r="L154" s="45"/>
    </row>
    <row r="155" spans="2:12" x14ac:dyDescent="0.35">
      <c r="B155" s="45"/>
      <c r="C155" s="45"/>
      <c r="D155" s="45"/>
      <c r="E155" s="45"/>
      <c r="F155" s="45"/>
      <c r="G155" s="45"/>
      <c r="H155" s="45"/>
      <c r="I155" s="45"/>
      <c r="J155" s="45"/>
      <c r="K155" s="45"/>
      <c r="L155" s="45"/>
    </row>
    <row r="156" spans="2:12" x14ac:dyDescent="0.35">
      <c r="B156" s="45"/>
      <c r="C156" s="45"/>
      <c r="D156" s="45"/>
      <c r="E156" s="45"/>
      <c r="F156" s="45"/>
      <c r="G156" s="45"/>
      <c r="H156" s="45"/>
      <c r="I156" s="45"/>
      <c r="J156" s="45"/>
      <c r="K156" s="45"/>
      <c r="L156" s="45"/>
    </row>
    <row r="157" spans="2:12" x14ac:dyDescent="0.35">
      <c r="B157" s="45"/>
      <c r="C157" s="45"/>
      <c r="D157" s="45"/>
      <c r="E157" s="45"/>
      <c r="F157" s="45"/>
      <c r="G157" s="45"/>
      <c r="H157" s="45"/>
      <c r="I157" s="45"/>
      <c r="J157" s="45"/>
      <c r="K157" s="45"/>
      <c r="L157" s="45"/>
    </row>
    <row r="158" spans="2:12" x14ac:dyDescent="0.35">
      <c r="B158" s="45"/>
      <c r="C158" s="45"/>
      <c r="D158" s="45"/>
      <c r="E158" s="45"/>
      <c r="F158" s="45"/>
      <c r="G158" s="45"/>
      <c r="H158" s="45"/>
      <c r="I158" s="45"/>
      <c r="J158" s="45"/>
      <c r="K158" s="45"/>
      <c r="L158" s="45"/>
    </row>
    <row r="159" spans="2:12" x14ac:dyDescent="0.35">
      <c r="B159" s="45"/>
      <c r="C159" s="45"/>
      <c r="D159" s="45"/>
      <c r="E159" s="45"/>
      <c r="F159" s="45"/>
      <c r="G159" s="45"/>
      <c r="H159" s="45"/>
      <c r="I159" s="45"/>
      <c r="J159" s="45"/>
      <c r="K159" s="45"/>
      <c r="L159" s="45"/>
    </row>
    <row r="160" spans="2:12" x14ac:dyDescent="0.35">
      <c r="B160" s="45"/>
      <c r="C160" s="45"/>
      <c r="D160" s="45"/>
      <c r="E160" s="45"/>
      <c r="F160" s="45"/>
      <c r="G160" s="45"/>
      <c r="H160" s="45"/>
      <c r="I160" s="45"/>
      <c r="J160" s="45"/>
      <c r="K160" s="45"/>
      <c r="L160" s="45"/>
    </row>
    <row r="161" spans="2:12" x14ac:dyDescent="0.35">
      <c r="B161" s="45"/>
      <c r="C161" s="45"/>
      <c r="D161" s="45"/>
      <c r="E161" s="45"/>
      <c r="F161" s="45"/>
      <c r="G161" s="45"/>
      <c r="H161" s="45"/>
      <c r="I161" s="45"/>
      <c r="J161" s="45"/>
      <c r="K161" s="45"/>
      <c r="L161" s="45"/>
    </row>
    <row r="162" spans="2:12" x14ac:dyDescent="0.35">
      <c r="B162" s="45"/>
      <c r="C162" s="45"/>
      <c r="D162" s="45"/>
      <c r="E162" s="45"/>
      <c r="F162" s="45"/>
      <c r="G162" s="45"/>
      <c r="H162" s="45"/>
      <c r="I162" s="45"/>
      <c r="J162" s="45"/>
      <c r="K162" s="45"/>
      <c r="L162" s="45"/>
    </row>
    <row r="163" spans="2:12" x14ac:dyDescent="0.35">
      <c r="B163" s="45"/>
      <c r="C163" s="45"/>
      <c r="D163" s="45"/>
      <c r="E163" s="45"/>
      <c r="F163" s="45"/>
      <c r="G163" s="45"/>
      <c r="H163" s="45"/>
      <c r="I163" s="45"/>
      <c r="J163" s="45"/>
      <c r="K163" s="45"/>
      <c r="L163" s="45"/>
    </row>
    <row r="164" spans="2:12" x14ac:dyDescent="0.35">
      <c r="B164" s="45"/>
      <c r="C164" s="45"/>
      <c r="D164" s="45"/>
      <c r="E164" s="45"/>
      <c r="F164" s="45"/>
      <c r="G164" s="45"/>
      <c r="H164" s="45"/>
      <c r="I164" s="45"/>
      <c r="J164" s="45"/>
      <c r="K164" s="45"/>
      <c r="L164" s="45"/>
    </row>
    <row r="165" spans="2:12" x14ac:dyDescent="0.35">
      <c r="B165" s="45"/>
      <c r="C165" s="45"/>
      <c r="D165" s="45"/>
      <c r="E165" s="45"/>
      <c r="F165" s="45"/>
      <c r="G165" s="45"/>
      <c r="H165" s="45"/>
      <c r="I165" s="45"/>
      <c r="J165" s="45"/>
      <c r="K165" s="45"/>
      <c r="L165" s="45"/>
    </row>
    <row r="166" spans="2:12" x14ac:dyDescent="0.35">
      <c r="B166" s="45"/>
      <c r="C166" s="45"/>
      <c r="D166" s="45"/>
      <c r="E166" s="45"/>
      <c r="F166" s="45"/>
      <c r="G166" s="45"/>
      <c r="H166" s="45"/>
      <c r="I166" s="45"/>
      <c r="J166" s="45"/>
      <c r="K166" s="45"/>
      <c r="L166" s="45"/>
    </row>
    <row r="167" spans="2:12" x14ac:dyDescent="0.35">
      <c r="B167" s="45"/>
      <c r="C167" s="45"/>
      <c r="D167" s="45"/>
      <c r="E167" s="45"/>
      <c r="F167" s="45"/>
      <c r="G167" s="45"/>
      <c r="H167" s="45"/>
      <c r="I167" s="45"/>
      <c r="J167" s="45"/>
      <c r="K167" s="45"/>
      <c r="L167" s="45"/>
    </row>
    <row r="168" spans="2:12" x14ac:dyDescent="0.35">
      <c r="B168" s="45"/>
      <c r="C168" s="45"/>
      <c r="D168" s="45"/>
      <c r="E168" s="45"/>
      <c r="F168" s="45"/>
      <c r="G168" s="45"/>
      <c r="H168" s="45"/>
      <c r="I168" s="45"/>
      <c r="J168" s="45"/>
      <c r="K168" s="45"/>
      <c r="L168" s="45"/>
    </row>
    <row r="169" spans="2:12" x14ac:dyDescent="0.35">
      <c r="B169" s="45"/>
      <c r="C169" s="45"/>
      <c r="D169" s="45"/>
      <c r="E169" s="45"/>
      <c r="F169" s="45"/>
      <c r="G169" s="45"/>
      <c r="H169" s="45"/>
      <c r="I169" s="45"/>
      <c r="J169" s="45"/>
      <c r="K169" s="45"/>
      <c r="L169" s="45"/>
    </row>
    <row r="170" spans="2:12" x14ac:dyDescent="0.35">
      <c r="B170" s="45"/>
      <c r="C170" s="45"/>
      <c r="D170" s="45"/>
      <c r="E170" s="45"/>
      <c r="F170" s="45"/>
      <c r="G170" s="45"/>
      <c r="H170" s="45"/>
      <c r="I170" s="45"/>
      <c r="J170" s="45"/>
      <c r="K170" s="45"/>
      <c r="L170" s="45"/>
    </row>
    <row r="171" spans="2:12" x14ac:dyDescent="0.35">
      <c r="B171" s="45"/>
      <c r="C171" s="45"/>
      <c r="D171" s="45"/>
      <c r="E171" s="45"/>
      <c r="F171" s="45"/>
      <c r="G171" s="45"/>
      <c r="H171" s="45"/>
      <c r="I171" s="45"/>
      <c r="J171" s="45"/>
      <c r="K171" s="45"/>
      <c r="L171" s="45"/>
    </row>
    <row r="172" spans="2:12" x14ac:dyDescent="0.35">
      <c r="B172" s="45"/>
      <c r="C172" s="45"/>
      <c r="D172" s="45"/>
      <c r="E172" s="45"/>
      <c r="F172" s="45"/>
      <c r="G172" s="45"/>
      <c r="H172" s="45"/>
      <c r="I172" s="45"/>
      <c r="J172" s="45"/>
      <c r="K172" s="45"/>
      <c r="L172" s="45"/>
    </row>
    <row r="173" spans="2:12" x14ac:dyDescent="0.35">
      <c r="B173" s="45"/>
      <c r="C173" s="45"/>
      <c r="D173" s="45"/>
      <c r="E173" s="45"/>
      <c r="F173" s="45"/>
      <c r="G173" s="45"/>
      <c r="H173" s="45"/>
      <c r="I173" s="45"/>
      <c r="J173" s="45"/>
      <c r="K173" s="45"/>
      <c r="L173" s="45"/>
    </row>
    <row r="174" spans="2:12" x14ac:dyDescent="0.35">
      <c r="B174" s="45"/>
      <c r="C174" s="45"/>
      <c r="D174" s="45"/>
      <c r="E174" s="45"/>
      <c r="F174" s="45"/>
      <c r="G174" s="45"/>
      <c r="H174" s="45"/>
      <c r="I174" s="45"/>
      <c r="J174" s="45"/>
      <c r="K174" s="45"/>
      <c r="L174" s="45"/>
    </row>
    <row r="175" spans="2:12" x14ac:dyDescent="0.35">
      <c r="B175" s="45"/>
      <c r="C175" s="45"/>
      <c r="D175" s="45"/>
      <c r="E175" s="45"/>
      <c r="F175" s="45"/>
      <c r="G175" s="45"/>
      <c r="H175" s="45"/>
      <c r="I175" s="45"/>
      <c r="J175" s="45"/>
      <c r="K175" s="45"/>
      <c r="L175" s="45"/>
    </row>
    <row r="176" spans="2:12" x14ac:dyDescent="0.35">
      <c r="B176" s="45"/>
      <c r="C176" s="45"/>
      <c r="D176" s="45"/>
      <c r="E176" s="45"/>
      <c r="F176" s="45"/>
      <c r="G176" s="45"/>
      <c r="H176" s="45"/>
      <c r="I176" s="45"/>
      <c r="J176" s="45"/>
      <c r="K176" s="45"/>
      <c r="L176" s="45"/>
    </row>
    <row r="177" spans="2:12" x14ac:dyDescent="0.35">
      <c r="B177" s="45"/>
      <c r="C177" s="45"/>
      <c r="D177" s="45"/>
      <c r="E177" s="45"/>
      <c r="F177" s="45"/>
      <c r="G177" s="45"/>
      <c r="H177" s="45"/>
      <c r="I177" s="45"/>
      <c r="J177" s="45"/>
      <c r="K177" s="45"/>
      <c r="L177" s="45"/>
    </row>
    <row r="178" spans="2:12" x14ac:dyDescent="0.35">
      <c r="B178" s="45"/>
      <c r="C178" s="45"/>
      <c r="D178" s="45"/>
      <c r="E178" s="45"/>
      <c r="F178" s="45"/>
      <c r="G178" s="45"/>
      <c r="H178" s="45"/>
      <c r="I178" s="45"/>
      <c r="J178" s="45"/>
      <c r="K178" s="45"/>
      <c r="L178" s="45"/>
    </row>
    <row r="179" spans="2:12" x14ac:dyDescent="0.35">
      <c r="B179" s="45"/>
      <c r="C179" s="45"/>
      <c r="D179" s="45"/>
      <c r="E179" s="45"/>
      <c r="F179" s="45"/>
      <c r="G179" s="45"/>
      <c r="H179" s="45"/>
      <c r="I179" s="45"/>
      <c r="J179" s="45"/>
      <c r="K179" s="45"/>
      <c r="L179" s="45"/>
    </row>
    <row r="180" spans="2:12" x14ac:dyDescent="0.35">
      <c r="B180" s="45"/>
      <c r="C180" s="45"/>
      <c r="D180" s="45"/>
      <c r="E180" s="45"/>
      <c r="F180" s="45"/>
      <c r="G180" s="45"/>
      <c r="H180" s="45"/>
      <c r="I180" s="45"/>
      <c r="J180" s="45"/>
      <c r="K180" s="45"/>
      <c r="L180" s="45"/>
    </row>
    <row r="181" spans="2:12" x14ac:dyDescent="0.35">
      <c r="B181" s="45"/>
      <c r="C181" s="45"/>
      <c r="D181" s="45"/>
      <c r="E181" s="45"/>
      <c r="F181" s="45"/>
      <c r="G181" s="45"/>
      <c r="H181" s="45"/>
      <c r="I181" s="45"/>
      <c r="J181" s="45"/>
      <c r="K181" s="45"/>
      <c r="L181" s="45"/>
    </row>
    <row r="182" spans="2:12" x14ac:dyDescent="0.35">
      <c r="B182" s="45"/>
      <c r="C182" s="45"/>
      <c r="D182" s="45"/>
      <c r="E182" s="45"/>
      <c r="F182" s="45"/>
      <c r="G182" s="45"/>
      <c r="H182" s="45"/>
      <c r="I182" s="45"/>
      <c r="J182" s="45"/>
      <c r="K182" s="45"/>
      <c r="L182" s="45"/>
    </row>
    <row r="183" spans="2:12" x14ac:dyDescent="0.35">
      <c r="B183" s="45"/>
      <c r="C183" s="45"/>
      <c r="D183" s="45"/>
      <c r="E183" s="45"/>
      <c r="F183" s="45"/>
      <c r="G183" s="45"/>
      <c r="H183" s="45"/>
      <c r="I183" s="45"/>
      <c r="J183" s="45"/>
      <c r="K183" s="45"/>
      <c r="L183" s="45"/>
    </row>
    <row r="184" spans="2:12" x14ac:dyDescent="0.35">
      <c r="B184" s="45"/>
      <c r="C184" s="45"/>
      <c r="D184" s="45"/>
      <c r="E184" s="45"/>
      <c r="F184" s="45"/>
      <c r="G184" s="45"/>
      <c r="H184" s="45"/>
      <c r="I184" s="45"/>
      <c r="J184" s="45"/>
      <c r="K184" s="45"/>
      <c r="L184" s="45"/>
    </row>
    <row r="185" spans="2:12" x14ac:dyDescent="0.35">
      <c r="B185" s="45"/>
      <c r="C185" s="45"/>
      <c r="D185" s="45"/>
      <c r="E185" s="45"/>
      <c r="F185" s="45"/>
      <c r="G185" s="45"/>
      <c r="H185" s="45"/>
      <c r="I185" s="45"/>
      <c r="J185" s="45"/>
      <c r="K185" s="45"/>
      <c r="L185" s="45"/>
    </row>
    <row r="186" spans="2:12" x14ac:dyDescent="0.35">
      <c r="B186" s="45"/>
      <c r="C186" s="45"/>
      <c r="D186" s="45"/>
      <c r="E186" s="45"/>
      <c r="F186" s="45"/>
      <c r="G186" s="45"/>
      <c r="H186" s="45"/>
      <c r="I186" s="45"/>
      <c r="J186" s="45"/>
      <c r="K186" s="45"/>
      <c r="L186" s="45"/>
    </row>
    <row r="187" spans="2:12" x14ac:dyDescent="0.35">
      <c r="B187" s="45"/>
      <c r="C187" s="45"/>
      <c r="D187" s="45"/>
      <c r="E187" s="45"/>
      <c r="F187" s="45"/>
      <c r="G187" s="45"/>
      <c r="H187" s="45"/>
      <c r="I187" s="45"/>
      <c r="J187" s="45"/>
      <c r="K187" s="45"/>
      <c r="L187" s="45"/>
    </row>
    <row r="188" spans="2:12" x14ac:dyDescent="0.35">
      <c r="B188" s="45"/>
      <c r="C188" s="45"/>
      <c r="D188" s="45"/>
      <c r="E188" s="45"/>
      <c r="F188" s="45"/>
      <c r="G188" s="45"/>
      <c r="H188" s="45"/>
      <c r="I188" s="45"/>
      <c r="J188" s="45"/>
      <c r="K188" s="45"/>
      <c r="L188" s="45"/>
    </row>
    <row r="189" spans="2:12" x14ac:dyDescent="0.35">
      <c r="B189" s="45"/>
      <c r="C189" s="45"/>
      <c r="D189" s="45"/>
      <c r="E189" s="45"/>
      <c r="F189" s="45"/>
      <c r="G189" s="45"/>
      <c r="H189" s="45"/>
      <c r="I189" s="45"/>
      <c r="J189" s="45"/>
      <c r="K189" s="45"/>
      <c r="L189" s="45"/>
    </row>
    <row r="190" spans="2:12" x14ac:dyDescent="0.35">
      <c r="B190" s="45"/>
      <c r="C190" s="45"/>
      <c r="D190" s="45"/>
      <c r="E190" s="45"/>
      <c r="F190" s="45"/>
      <c r="G190" s="45"/>
      <c r="H190" s="45"/>
      <c r="I190" s="45"/>
      <c r="J190" s="45"/>
      <c r="K190" s="45"/>
      <c r="L190" s="45"/>
    </row>
    <row r="191" spans="2:12" x14ac:dyDescent="0.35">
      <c r="B191" s="45"/>
      <c r="C191" s="45"/>
      <c r="D191" s="45"/>
      <c r="E191" s="45"/>
      <c r="F191" s="45"/>
      <c r="G191" s="45"/>
      <c r="H191" s="45"/>
      <c r="I191" s="45"/>
      <c r="J191" s="45"/>
      <c r="K191" s="45"/>
      <c r="L191" s="45"/>
    </row>
    <row r="192" spans="2:12" x14ac:dyDescent="0.35">
      <c r="B192" s="45"/>
      <c r="C192" s="45"/>
      <c r="D192" s="45"/>
      <c r="E192" s="45"/>
      <c r="F192" s="45"/>
      <c r="G192" s="45"/>
      <c r="H192" s="45"/>
      <c r="I192" s="45"/>
      <c r="J192" s="45"/>
      <c r="K192" s="45"/>
      <c r="L192" s="45"/>
    </row>
    <row r="193" spans="2:12" x14ac:dyDescent="0.35">
      <c r="B193" s="45"/>
      <c r="C193" s="45"/>
      <c r="D193" s="45"/>
      <c r="E193" s="45"/>
      <c r="F193" s="45"/>
      <c r="G193" s="45"/>
      <c r="H193" s="45"/>
      <c r="I193" s="45"/>
      <c r="J193" s="45"/>
      <c r="K193" s="45"/>
      <c r="L193" s="45"/>
    </row>
    <row r="194" spans="2:12" x14ac:dyDescent="0.35">
      <c r="B194" s="45"/>
      <c r="C194" s="45"/>
      <c r="D194" s="45"/>
      <c r="E194" s="45"/>
      <c r="F194" s="45"/>
      <c r="G194" s="45"/>
      <c r="H194" s="45"/>
      <c r="I194" s="45"/>
      <c r="J194" s="45"/>
      <c r="K194" s="45"/>
      <c r="L194" s="45"/>
    </row>
    <row r="195" spans="2:12" x14ac:dyDescent="0.35">
      <c r="B195" s="45"/>
      <c r="C195" s="45"/>
      <c r="D195" s="45"/>
      <c r="E195" s="45"/>
      <c r="F195" s="45"/>
      <c r="G195" s="45"/>
      <c r="H195" s="45"/>
      <c r="I195" s="45"/>
      <c r="J195" s="45"/>
      <c r="K195" s="45"/>
      <c r="L195" s="45"/>
    </row>
    <row r="196" spans="2:12" x14ac:dyDescent="0.35">
      <c r="B196" s="45"/>
      <c r="C196" s="45"/>
      <c r="D196" s="45"/>
      <c r="E196" s="45"/>
      <c r="F196" s="45"/>
      <c r="G196" s="45"/>
      <c r="H196" s="45"/>
      <c r="I196" s="45"/>
      <c r="J196" s="45"/>
      <c r="K196" s="45"/>
      <c r="L196" s="45"/>
    </row>
    <row r="197" spans="2:12" x14ac:dyDescent="0.35">
      <c r="B197" s="45"/>
      <c r="C197" s="45"/>
      <c r="D197" s="45"/>
      <c r="E197" s="45"/>
      <c r="F197" s="45"/>
      <c r="G197" s="45"/>
      <c r="H197" s="45"/>
      <c r="I197" s="45"/>
      <c r="J197" s="45"/>
      <c r="K197" s="45"/>
      <c r="L197" s="45"/>
    </row>
    <row r="198" spans="2:12" x14ac:dyDescent="0.35">
      <c r="B198" s="45"/>
      <c r="C198" s="45"/>
      <c r="D198" s="45"/>
      <c r="E198" s="45"/>
      <c r="F198" s="45"/>
      <c r="G198" s="45"/>
      <c r="H198" s="45"/>
      <c r="I198" s="45"/>
      <c r="J198" s="45"/>
      <c r="K198" s="45"/>
      <c r="L198" s="45"/>
    </row>
    <row r="199" spans="2:12" x14ac:dyDescent="0.35">
      <c r="B199" s="45"/>
      <c r="C199" s="45"/>
      <c r="D199" s="45"/>
      <c r="E199" s="45"/>
      <c r="F199" s="45"/>
      <c r="G199" s="45"/>
      <c r="H199" s="45"/>
      <c r="I199" s="45"/>
      <c r="J199" s="45"/>
      <c r="K199" s="45"/>
      <c r="L199" s="45"/>
    </row>
    <row r="200" spans="2:12" x14ac:dyDescent="0.35">
      <c r="B200" s="45"/>
      <c r="C200" s="45"/>
      <c r="D200" s="45"/>
      <c r="E200" s="45"/>
      <c r="F200" s="45"/>
      <c r="G200" s="45"/>
      <c r="H200" s="45"/>
      <c r="I200" s="45"/>
      <c r="J200" s="45"/>
      <c r="K200" s="45"/>
      <c r="L200" s="45"/>
    </row>
    <row r="201" spans="2:12" x14ac:dyDescent="0.35">
      <c r="B201" s="45"/>
      <c r="C201" s="45"/>
      <c r="D201" s="45"/>
      <c r="E201" s="45"/>
      <c r="F201" s="45"/>
      <c r="G201" s="45"/>
      <c r="H201" s="45"/>
      <c r="I201" s="45"/>
      <c r="J201" s="45"/>
      <c r="K201" s="45"/>
      <c r="L201" s="45"/>
    </row>
    <row r="202" spans="2:12" x14ac:dyDescent="0.35">
      <c r="B202" s="45"/>
      <c r="C202" s="45"/>
      <c r="D202" s="45"/>
      <c r="E202" s="45"/>
      <c r="F202" s="45"/>
      <c r="G202" s="45"/>
      <c r="H202" s="45"/>
      <c r="I202" s="45"/>
      <c r="J202" s="45"/>
      <c r="K202" s="45"/>
      <c r="L202" s="45"/>
    </row>
    <row r="203" spans="2:12" x14ac:dyDescent="0.35">
      <c r="B203" s="45"/>
      <c r="C203" s="45"/>
      <c r="D203" s="45"/>
      <c r="E203" s="45"/>
      <c r="F203" s="45"/>
      <c r="G203" s="45"/>
      <c r="H203" s="45"/>
      <c r="I203" s="45"/>
      <c r="J203" s="45"/>
      <c r="K203" s="45"/>
      <c r="L203" s="45"/>
    </row>
    <row r="204" spans="2:12" x14ac:dyDescent="0.35">
      <c r="B204" s="45"/>
      <c r="C204" s="45"/>
      <c r="D204" s="45"/>
      <c r="E204" s="45"/>
      <c r="F204" s="45"/>
      <c r="G204" s="45"/>
      <c r="H204" s="45"/>
      <c r="I204" s="45"/>
      <c r="J204" s="45"/>
      <c r="K204" s="45"/>
      <c r="L204" s="45"/>
    </row>
    <row r="205" spans="2:12" x14ac:dyDescent="0.35">
      <c r="B205" s="45"/>
      <c r="C205" s="45"/>
      <c r="D205" s="45"/>
      <c r="E205" s="45"/>
      <c r="F205" s="45"/>
      <c r="G205" s="45"/>
      <c r="H205" s="45"/>
      <c r="I205" s="45"/>
      <c r="J205" s="45"/>
      <c r="K205" s="45"/>
      <c r="L205" s="45"/>
    </row>
    <row r="206" spans="2:12" x14ac:dyDescent="0.35">
      <c r="B206" s="45"/>
      <c r="C206" s="45"/>
      <c r="D206" s="45"/>
      <c r="E206" s="45"/>
      <c r="F206" s="45"/>
      <c r="G206" s="45"/>
      <c r="H206" s="45"/>
      <c r="I206" s="45"/>
      <c r="J206" s="45"/>
      <c r="K206" s="45"/>
      <c r="L206" s="45"/>
    </row>
    <row r="207" spans="2:12" x14ac:dyDescent="0.35">
      <c r="B207" s="45"/>
      <c r="C207" s="45"/>
      <c r="D207" s="45"/>
      <c r="E207" s="45"/>
      <c r="F207" s="45"/>
      <c r="G207" s="45"/>
      <c r="H207" s="45"/>
      <c r="I207" s="45"/>
      <c r="J207" s="45"/>
      <c r="K207" s="45"/>
      <c r="L207" s="45"/>
    </row>
    <row r="208" spans="2:12" x14ac:dyDescent="0.35">
      <c r="B208" s="45"/>
      <c r="C208" s="45"/>
      <c r="D208" s="45"/>
      <c r="E208" s="45"/>
      <c r="F208" s="45"/>
      <c r="G208" s="45"/>
      <c r="H208" s="45"/>
      <c r="I208" s="45"/>
      <c r="J208" s="45"/>
      <c r="K208" s="45"/>
      <c r="L208" s="45"/>
    </row>
    <row r="209" spans="2:12" x14ac:dyDescent="0.35">
      <c r="B209" s="45"/>
      <c r="C209" s="45"/>
      <c r="D209" s="45"/>
      <c r="E209" s="45"/>
      <c r="F209" s="45"/>
      <c r="G209" s="45"/>
      <c r="H209" s="45"/>
      <c r="I209" s="45"/>
      <c r="J209" s="45"/>
      <c r="K209" s="45"/>
      <c r="L209" s="45"/>
    </row>
    <row r="210" spans="2:12" x14ac:dyDescent="0.35">
      <c r="B210" s="45"/>
      <c r="C210" s="45"/>
      <c r="D210" s="45"/>
      <c r="E210" s="45"/>
      <c r="F210" s="45"/>
      <c r="G210" s="45"/>
      <c r="H210" s="45"/>
      <c r="I210" s="45"/>
      <c r="J210" s="45"/>
      <c r="K210" s="45"/>
      <c r="L210" s="45"/>
    </row>
    <row r="211" spans="2:12" x14ac:dyDescent="0.35">
      <c r="B211" s="45"/>
      <c r="C211" s="45"/>
      <c r="D211" s="45"/>
      <c r="E211" s="45"/>
      <c r="F211" s="45"/>
      <c r="G211" s="45"/>
      <c r="H211" s="45"/>
      <c r="I211" s="45"/>
      <c r="J211" s="45"/>
      <c r="K211" s="45"/>
      <c r="L211" s="45"/>
    </row>
    <row r="212" spans="2:12" x14ac:dyDescent="0.35">
      <c r="B212" s="45"/>
      <c r="C212" s="45"/>
      <c r="D212" s="45"/>
      <c r="E212" s="45"/>
      <c r="F212" s="45"/>
      <c r="G212" s="45"/>
      <c r="H212" s="45"/>
      <c r="I212" s="45"/>
      <c r="J212" s="45"/>
      <c r="K212" s="45"/>
      <c r="L212" s="45"/>
    </row>
    <row r="213" spans="2:12" x14ac:dyDescent="0.35">
      <c r="B213" s="45"/>
      <c r="C213" s="45"/>
      <c r="D213" s="45"/>
      <c r="E213" s="45"/>
      <c r="F213" s="45"/>
      <c r="G213" s="45"/>
      <c r="H213" s="45"/>
      <c r="I213" s="45"/>
      <c r="J213" s="45"/>
      <c r="K213" s="45"/>
      <c r="L213" s="45"/>
    </row>
    <row r="214" spans="2:12" x14ac:dyDescent="0.35">
      <c r="B214" s="45"/>
      <c r="C214" s="45"/>
      <c r="D214" s="45"/>
      <c r="E214" s="45"/>
      <c r="F214" s="45"/>
      <c r="G214" s="45"/>
      <c r="H214" s="45"/>
      <c r="I214" s="45"/>
      <c r="J214" s="45"/>
      <c r="K214" s="45"/>
      <c r="L214" s="45"/>
    </row>
    <row r="215" spans="2:12" x14ac:dyDescent="0.35">
      <c r="B215" s="45"/>
      <c r="C215" s="45"/>
      <c r="D215" s="45"/>
      <c r="E215" s="45"/>
      <c r="F215" s="45"/>
      <c r="G215" s="45"/>
      <c r="H215" s="45"/>
      <c r="I215" s="45"/>
      <c r="J215" s="45"/>
      <c r="K215" s="45"/>
      <c r="L215" s="45"/>
    </row>
    <row r="216" spans="2:12" x14ac:dyDescent="0.35">
      <c r="B216" s="45"/>
      <c r="C216" s="45"/>
      <c r="D216" s="45"/>
      <c r="E216" s="45"/>
      <c r="F216" s="45"/>
      <c r="G216" s="45"/>
      <c r="H216" s="45"/>
      <c r="I216" s="45"/>
      <c r="J216" s="45"/>
      <c r="K216" s="45"/>
      <c r="L216" s="45"/>
    </row>
    <row r="217" spans="2:12" x14ac:dyDescent="0.35">
      <c r="B217" s="45"/>
      <c r="C217" s="45"/>
      <c r="D217" s="45"/>
      <c r="E217" s="45"/>
      <c r="F217" s="45"/>
      <c r="G217" s="45"/>
      <c r="H217" s="45"/>
      <c r="I217" s="45"/>
      <c r="J217" s="45"/>
      <c r="K217" s="45"/>
      <c r="L217" s="45"/>
    </row>
    <row r="218" spans="2:12" x14ac:dyDescent="0.35">
      <c r="B218" s="45"/>
      <c r="C218" s="45"/>
      <c r="D218" s="45"/>
      <c r="E218" s="45"/>
      <c r="F218" s="45"/>
      <c r="G218" s="45"/>
      <c r="H218" s="45"/>
      <c r="I218" s="45"/>
      <c r="J218" s="45"/>
      <c r="K218" s="45"/>
      <c r="L218" s="45"/>
    </row>
    <row r="219" spans="2:12" x14ac:dyDescent="0.35">
      <c r="B219" s="45"/>
      <c r="C219" s="45"/>
      <c r="D219" s="45"/>
      <c r="E219" s="45"/>
      <c r="F219" s="45"/>
      <c r="G219" s="45"/>
      <c r="H219" s="45"/>
      <c r="I219" s="45"/>
      <c r="J219" s="45"/>
      <c r="K219" s="45"/>
      <c r="L219" s="45"/>
    </row>
    <row r="220" spans="2:12" x14ac:dyDescent="0.35">
      <c r="B220" s="45"/>
      <c r="C220" s="45"/>
      <c r="D220" s="45"/>
      <c r="E220" s="45"/>
      <c r="F220" s="45"/>
      <c r="G220" s="45"/>
      <c r="H220" s="45"/>
      <c r="I220" s="45"/>
      <c r="J220" s="45"/>
      <c r="K220" s="45"/>
      <c r="L220" s="45"/>
    </row>
    <row r="221" spans="2:12" x14ac:dyDescent="0.35">
      <c r="B221" s="45"/>
      <c r="C221" s="45"/>
      <c r="D221" s="45"/>
      <c r="E221" s="45"/>
      <c r="F221" s="45"/>
      <c r="G221" s="45"/>
      <c r="H221" s="45"/>
      <c r="I221" s="45"/>
      <c r="J221" s="45"/>
      <c r="K221" s="45"/>
      <c r="L221" s="45"/>
    </row>
    <row r="222" spans="2:12" x14ac:dyDescent="0.35">
      <c r="B222" s="45"/>
      <c r="C222" s="45"/>
      <c r="D222" s="45"/>
      <c r="E222" s="45"/>
      <c r="F222" s="45"/>
      <c r="G222" s="45"/>
      <c r="H222" s="45"/>
      <c r="I222" s="45"/>
      <c r="J222" s="45"/>
      <c r="K222" s="45"/>
      <c r="L222" s="45"/>
    </row>
    <row r="223" spans="2:12" x14ac:dyDescent="0.35">
      <c r="B223" s="45"/>
      <c r="C223" s="45"/>
      <c r="D223" s="45"/>
      <c r="E223" s="45"/>
      <c r="F223" s="45"/>
      <c r="G223" s="45"/>
      <c r="H223" s="45"/>
      <c r="I223" s="45"/>
      <c r="J223" s="45"/>
      <c r="K223" s="45"/>
      <c r="L223" s="45"/>
    </row>
    <row r="224" spans="2:12" x14ac:dyDescent="0.35">
      <c r="B224" s="45"/>
      <c r="C224" s="45"/>
      <c r="D224" s="45"/>
      <c r="E224" s="45"/>
      <c r="F224" s="45"/>
      <c r="G224" s="45"/>
      <c r="H224" s="45"/>
      <c r="I224" s="45"/>
      <c r="J224" s="45"/>
      <c r="K224" s="45"/>
      <c r="L224" s="45"/>
    </row>
    <row r="225" spans="2:12" x14ac:dyDescent="0.35">
      <c r="B225" s="45"/>
      <c r="C225" s="45"/>
      <c r="D225" s="45"/>
      <c r="E225" s="45"/>
      <c r="F225" s="45"/>
      <c r="G225" s="45"/>
      <c r="H225" s="45"/>
      <c r="I225" s="45"/>
      <c r="J225" s="45"/>
      <c r="K225" s="45"/>
      <c r="L225" s="45"/>
    </row>
    <row r="226" spans="2:12" x14ac:dyDescent="0.35">
      <c r="B226" s="45"/>
      <c r="C226" s="45"/>
      <c r="D226" s="45"/>
      <c r="E226" s="45"/>
      <c r="F226" s="45"/>
      <c r="G226" s="45"/>
      <c r="H226" s="45"/>
      <c r="I226" s="45"/>
      <c r="J226" s="45"/>
      <c r="K226" s="45"/>
      <c r="L226" s="45"/>
    </row>
    <row r="227" spans="2:12" x14ac:dyDescent="0.35">
      <c r="B227" s="45"/>
      <c r="C227" s="45"/>
      <c r="D227" s="45"/>
      <c r="E227" s="45"/>
      <c r="F227" s="45"/>
      <c r="G227" s="45"/>
      <c r="H227" s="45"/>
      <c r="I227" s="45"/>
      <c r="J227" s="45"/>
      <c r="K227" s="45"/>
      <c r="L227" s="45"/>
    </row>
    <row r="228" spans="2:12" x14ac:dyDescent="0.35">
      <c r="B228" s="45"/>
      <c r="C228" s="45"/>
      <c r="D228" s="45"/>
      <c r="E228" s="45"/>
      <c r="F228" s="45"/>
      <c r="G228" s="45"/>
      <c r="H228" s="45"/>
      <c r="I228" s="45"/>
      <c r="J228" s="45"/>
      <c r="K228" s="45"/>
      <c r="L228" s="45"/>
    </row>
    <row r="229" spans="2:12" x14ac:dyDescent="0.35">
      <c r="B229" s="45"/>
      <c r="C229" s="45"/>
      <c r="D229" s="45"/>
      <c r="E229" s="45"/>
      <c r="F229" s="45"/>
      <c r="G229" s="45"/>
      <c r="H229" s="45"/>
      <c r="I229" s="45"/>
      <c r="J229" s="45"/>
      <c r="K229" s="45"/>
      <c r="L229" s="45"/>
    </row>
    <row r="230" spans="2:12" x14ac:dyDescent="0.35">
      <c r="B230" s="45"/>
      <c r="C230" s="45"/>
      <c r="D230" s="45"/>
      <c r="E230" s="45"/>
      <c r="F230" s="45"/>
      <c r="G230" s="45"/>
      <c r="H230" s="45"/>
      <c r="I230" s="45"/>
      <c r="J230" s="45"/>
      <c r="K230" s="45"/>
      <c r="L230" s="45"/>
    </row>
    <row r="231" spans="2:12" x14ac:dyDescent="0.35">
      <c r="B231" s="45"/>
      <c r="C231" s="45"/>
      <c r="D231" s="45"/>
      <c r="E231" s="45"/>
      <c r="F231" s="45"/>
      <c r="G231" s="45"/>
      <c r="H231" s="45"/>
      <c r="I231" s="45"/>
      <c r="J231" s="45"/>
      <c r="K231" s="45"/>
      <c r="L231" s="45"/>
    </row>
    <row r="232" spans="2:12" x14ac:dyDescent="0.35">
      <c r="B232" s="45"/>
      <c r="C232" s="45"/>
      <c r="D232" s="45"/>
      <c r="E232" s="45"/>
      <c r="F232" s="45"/>
      <c r="G232" s="45"/>
      <c r="H232" s="45"/>
      <c r="I232" s="45"/>
      <c r="J232" s="45"/>
      <c r="K232" s="45"/>
      <c r="L232" s="45"/>
    </row>
    <row r="233" spans="2:12" x14ac:dyDescent="0.35">
      <c r="B233" s="45"/>
      <c r="C233" s="45"/>
      <c r="D233" s="45"/>
      <c r="E233" s="45"/>
      <c r="F233" s="45"/>
      <c r="G233" s="45"/>
      <c r="H233" s="45"/>
      <c r="I233" s="45"/>
      <c r="J233" s="45"/>
      <c r="K233" s="45"/>
      <c r="L233" s="45"/>
    </row>
    <row r="234" spans="2:12" x14ac:dyDescent="0.35">
      <c r="B234" s="45"/>
      <c r="C234" s="45"/>
      <c r="D234" s="45"/>
      <c r="E234" s="45"/>
      <c r="F234" s="45"/>
      <c r="G234" s="45"/>
      <c r="H234" s="45"/>
      <c r="I234" s="45"/>
      <c r="J234" s="45"/>
      <c r="K234" s="45"/>
      <c r="L234" s="45"/>
    </row>
    <row r="235" spans="2:12" x14ac:dyDescent="0.35">
      <c r="B235" s="45"/>
      <c r="C235" s="45"/>
      <c r="D235" s="45"/>
      <c r="E235" s="45"/>
      <c r="F235" s="45"/>
      <c r="G235" s="45"/>
      <c r="H235" s="45"/>
      <c r="I235" s="45"/>
      <c r="J235" s="45"/>
      <c r="K235" s="45"/>
      <c r="L235" s="45"/>
    </row>
    <row r="236" spans="2:12" x14ac:dyDescent="0.35">
      <c r="B236" s="45"/>
      <c r="C236" s="45"/>
      <c r="D236" s="45"/>
      <c r="E236" s="45"/>
      <c r="F236" s="45"/>
      <c r="G236" s="45"/>
      <c r="H236" s="45"/>
      <c r="I236" s="45"/>
      <c r="J236" s="45"/>
      <c r="K236" s="45"/>
      <c r="L236" s="45"/>
    </row>
    <row r="237" spans="2:12" x14ac:dyDescent="0.35">
      <c r="B237" s="45"/>
      <c r="C237" s="45"/>
      <c r="D237" s="45"/>
      <c r="E237" s="45"/>
      <c r="F237" s="45"/>
      <c r="G237" s="45"/>
      <c r="H237" s="45"/>
      <c r="I237" s="45"/>
      <c r="J237" s="45"/>
      <c r="K237" s="45"/>
      <c r="L237" s="45"/>
    </row>
    <row r="238" spans="2:12" x14ac:dyDescent="0.35">
      <c r="B238" s="45"/>
      <c r="C238" s="45"/>
      <c r="D238" s="45"/>
      <c r="E238" s="45"/>
      <c r="F238" s="45"/>
      <c r="G238" s="45"/>
      <c r="H238" s="45"/>
      <c r="I238" s="45"/>
      <c r="J238" s="45"/>
      <c r="K238" s="45"/>
      <c r="L238" s="45"/>
    </row>
    <row r="239" spans="2:12" x14ac:dyDescent="0.35">
      <c r="B239" s="45"/>
      <c r="C239" s="45"/>
      <c r="D239" s="45"/>
      <c r="E239" s="45"/>
      <c r="F239" s="45"/>
      <c r="G239" s="45"/>
      <c r="H239" s="45"/>
      <c r="I239" s="45"/>
      <c r="J239" s="45"/>
      <c r="K239" s="45"/>
      <c r="L239" s="45"/>
    </row>
    <row r="240" spans="2:12" x14ac:dyDescent="0.35">
      <c r="B240" s="45"/>
      <c r="C240" s="45"/>
      <c r="D240" s="45"/>
      <c r="E240" s="45"/>
      <c r="F240" s="45"/>
      <c r="G240" s="45"/>
      <c r="H240" s="45"/>
      <c r="I240" s="45"/>
      <c r="J240" s="45"/>
      <c r="K240" s="45"/>
      <c r="L240" s="45"/>
    </row>
    <row r="241" spans="2:12" x14ac:dyDescent="0.35">
      <c r="B241" s="45"/>
      <c r="C241" s="45"/>
      <c r="D241" s="45"/>
      <c r="E241" s="45"/>
      <c r="F241" s="45"/>
      <c r="G241" s="45"/>
      <c r="H241" s="45"/>
      <c r="I241" s="45"/>
      <c r="J241" s="45"/>
      <c r="K241" s="45"/>
      <c r="L241" s="45"/>
    </row>
    <row r="242" spans="2:12" x14ac:dyDescent="0.35">
      <c r="B242" s="45"/>
      <c r="C242" s="45"/>
      <c r="D242" s="45"/>
      <c r="E242" s="45"/>
      <c r="F242" s="45"/>
      <c r="G242" s="45"/>
      <c r="H242" s="45"/>
      <c r="I242" s="45"/>
      <c r="J242" s="45"/>
      <c r="K242" s="45"/>
      <c r="L242" s="45"/>
    </row>
    <row r="243" spans="2:12" x14ac:dyDescent="0.35">
      <c r="B243" s="45"/>
      <c r="C243" s="45"/>
      <c r="D243" s="45"/>
      <c r="E243" s="45"/>
      <c r="F243" s="45"/>
      <c r="G243" s="45"/>
      <c r="H243" s="45"/>
      <c r="I243" s="45"/>
      <c r="J243" s="45"/>
      <c r="K243" s="45"/>
      <c r="L243" s="45"/>
    </row>
    <row r="244" spans="2:12" x14ac:dyDescent="0.35">
      <c r="B244" s="45"/>
      <c r="C244" s="45"/>
      <c r="D244" s="45"/>
      <c r="E244" s="45"/>
      <c r="F244" s="45"/>
      <c r="G244" s="45"/>
      <c r="H244" s="45"/>
      <c r="I244" s="45"/>
      <c r="J244" s="45"/>
      <c r="K244" s="45"/>
      <c r="L244" s="45"/>
    </row>
    <row r="245" spans="2:12" x14ac:dyDescent="0.35">
      <c r="B245" s="45"/>
      <c r="C245" s="45"/>
      <c r="D245" s="45"/>
      <c r="E245" s="45"/>
      <c r="F245" s="45"/>
      <c r="G245" s="45"/>
      <c r="H245" s="45"/>
      <c r="I245" s="45"/>
      <c r="J245" s="45"/>
      <c r="K245" s="45"/>
      <c r="L245" s="45"/>
    </row>
    <row r="246" spans="2:12" x14ac:dyDescent="0.35">
      <c r="B246" s="45"/>
      <c r="C246" s="45"/>
      <c r="D246" s="45"/>
      <c r="E246" s="45"/>
      <c r="F246" s="45"/>
      <c r="G246" s="45"/>
      <c r="H246" s="45"/>
      <c r="I246" s="45"/>
      <c r="J246" s="45"/>
      <c r="K246" s="45"/>
      <c r="L246" s="45"/>
    </row>
    <row r="247" spans="2:12" x14ac:dyDescent="0.35">
      <c r="B247" s="45"/>
      <c r="C247" s="45"/>
      <c r="D247" s="45"/>
      <c r="E247" s="45"/>
      <c r="F247" s="45"/>
      <c r="G247" s="45"/>
      <c r="H247" s="45"/>
      <c r="I247" s="45"/>
      <c r="J247" s="45"/>
      <c r="K247" s="45"/>
      <c r="L247" s="45"/>
    </row>
    <row r="248" spans="2:12" x14ac:dyDescent="0.35">
      <c r="B248" s="45"/>
      <c r="C248" s="45"/>
      <c r="D248" s="45"/>
      <c r="E248" s="45"/>
      <c r="F248" s="45"/>
      <c r="G248" s="45"/>
      <c r="H248" s="45"/>
      <c r="I248" s="45"/>
      <c r="J248" s="45"/>
      <c r="K248" s="45"/>
      <c r="L248" s="45"/>
    </row>
    <row r="249" spans="2:12" x14ac:dyDescent="0.35">
      <c r="B249" s="45"/>
      <c r="C249" s="45"/>
      <c r="D249" s="45"/>
      <c r="E249" s="45"/>
      <c r="F249" s="45"/>
      <c r="G249" s="45"/>
      <c r="H249" s="45"/>
      <c r="I249" s="45"/>
      <c r="J249" s="45"/>
      <c r="K249" s="45"/>
      <c r="L249" s="45"/>
    </row>
    <row r="250" spans="2:12" x14ac:dyDescent="0.35">
      <c r="B250" s="45"/>
      <c r="C250" s="45"/>
      <c r="D250" s="45"/>
      <c r="E250" s="45"/>
      <c r="F250" s="45"/>
      <c r="G250" s="45"/>
      <c r="H250" s="45"/>
      <c r="I250" s="45"/>
      <c r="J250" s="45"/>
      <c r="K250" s="45"/>
      <c r="L250" s="45"/>
    </row>
    <row r="251" spans="2:12" x14ac:dyDescent="0.35">
      <c r="B251" s="45"/>
      <c r="C251" s="45"/>
      <c r="D251" s="45"/>
      <c r="E251" s="45"/>
      <c r="F251" s="45"/>
      <c r="G251" s="45"/>
      <c r="H251" s="45"/>
      <c r="I251" s="45"/>
      <c r="J251" s="45"/>
      <c r="K251" s="45"/>
      <c r="L251" s="45"/>
    </row>
    <row r="252" spans="2:12" x14ac:dyDescent="0.35">
      <c r="B252" s="45"/>
      <c r="C252" s="45"/>
      <c r="D252" s="45"/>
      <c r="E252" s="45"/>
      <c r="F252" s="45"/>
      <c r="G252" s="45"/>
      <c r="H252" s="45"/>
      <c r="I252" s="45"/>
      <c r="J252" s="45"/>
      <c r="K252" s="45"/>
      <c r="L252" s="45"/>
    </row>
    <row r="253" spans="2:12" x14ac:dyDescent="0.35">
      <c r="B253" s="45"/>
      <c r="C253" s="45"/>
      <c r="D253" s="45"/>
      <c r="E253" s="45"/>
      <c r="F253" s="45"/>
      <c r="G253" s="45"/>
      <c r="H253" s="45"/>
      <c r="I253" s="45"/>
      <c r="J253" s="45"/>
      <c r="K253" s="45"/>
      <c r="L253" s="45"/>
    </row>
    <row r="254" spans="2:12" x14ac:dyDescent="0.35">
      <c r="B254" s="45"/>
      <c r="C254" s="45"/>
      <c r="D254" s="45"/>
      <c r="E254" s="45"/>
      <c r="F254" s="45"/>
      <c r="G254" s="45"/>
      <c r="H254" s="45"/>
      <c r="I254" s="45"/>
      <c r="J254" s="45"/>
      <c r="K254" s="45"/>
      <c r="L254" s="45"/>
    </row>
    <row r="255" spans="2:12" x14ac:dyDescent="0.35">
      <c r="B255" s="45"/>
      <c r="C255" s="45"/>
      <c r="D255" s="45"/>
      <c r="E255" s="45"/>
      <c r="F255" s="45"/>
      <c r="G255" s="45"/>
      <c r="H255" s="45"/>
      <c r="I255" s="45"/>
      <c r="J255" s="45"/>
      <c r="K255" s="45"/>
      <c r="L255" s="45"/>
    </row>
    <row r="256" spans="2:12" x14ac:dyDescent="0.35">
      <c r="B256" s="45"/>
      <c r="C256" s="45"/>
      <c r="D256" s="45"/>
      <c r="E256" s="45"/>
      <c r="F256" s="45"/>
      <c r="G256" s="45"/>
      <c r="H256" s="45"/>
      <c r="I256" s="45"/>
      <c r="J256" s="45"/>
      <c r="K256" s="45"/>
      <c r="L256" s="45"/>
    </row>
    <row r="257" spans="2:12" x14ac:dyDescent="0.35">
      <c r="B257" s="45"/>
      <c r="C257" s="45"/>
      <c r="D257" s="45"/>
      <c r="E257" s="45"/>
      <c r="F257" s="45"/>
      <c r="G257" s="45"/>
      <c r="H257" s="45"/>
      <c r="I257" s="45"/>
      <c r="J257" s="45"/>
      <c r="K257" s="45"/>
      <c r="L257" s="45"/>
    </row>
    <row r="258" spans="2:12" x14ac:dyDescent="0.35">
      <c r="B258" s="45"/>
      <c r="C258" s="45"/>
      <c r="D258" s="45"/>
      <c r="E258" s="45"/>
      <c r="F258" s="45"/>
      <c r="G258" s="45"/>
      <c r="H258" s="45"/>
      <c r="I258" s="45"/>
      <c r="J258" s="45"/>
      <c r="K258" s="45"/>
      <c r="L258" s="45"/>
    </row>
    <row r="259" spans="2:12" x14ac:dyDescent="0.35">
      <c r="B259" s="45"/>
      <c r="C259" s="45"/>
      <c r="D259" s="45"/>
      <c r="E259" s="45"/>
      <c r="F259" s="45"/>
      <c r="G259" s="45"/>
      <c r="H259" s="45"/>
      <c r="I259" s="45"/>
      <c r="J259" s="45"/>
      <c r="K259" s="45"/>
      <c r="L259" s="45"/>
    </row>
    <row r="260" spans="2:12" x14ac:dyDescent="0.35">
      <c r="B260" s="45"/>
      <c r="C260" s="45"/>
      <c r="D260" s="45"/>
      <c r="E260" s="45"/>
      <c r="F260" s="45"/>
      <c r="G260" s="45"/>
      <c r="H260" s="45"/>
      <c r="I260" s="45"/>
      <c r="J260" s="45"/>
      <c r="K260" s="45"/>
      <c r="L260" s="45"/>
    </row>
    <row r="261" spans="2:12" x14ac:dyDescent="0.35">
      <c r="B261" s="45"/>
      <c r="C261" s="45"/>
      <c r="D261" s="45"/>
      <c r="E261" s="45"/>
      <c r="F261" s="45"/>
      <c r="G261" s="45"/>
      <c r="H261" s="45"/>
      <c r="I261" s="45"/>
      <c r="J261" s="45"/>
      <c r="K261" s="45"/>
      <c r="L261" s="45"/>
    </row>
    <row r="262" spans="2:12" x14ac:dyDescent="0.35">
      <c r="B262" s="45"/>
      <c r="C262" s="45"/>
      <c r="D262" s="45"/>
      <c r="E262" s="45"/>
      <c r="F262" s="45"/>
      <c r="G262" s="45"/>
      <c r="H262" s="45"/>
      <c r="I262" s="45"/>
      <c r="J262" s="45"/>
      <c r="K262" s="45"/>
      <c r="L262" s="45"/>
    </row>
    <row r="263" spans="2:12" x14ac:dyDescent="0.35">
      <c r="B263" s="45"/>
      <c r="C263" s="45"/>
      <c r="D263" s="45"/>
      <c r="E263" s="45"/>
      <c r="F263" s="45"/>
      <c r="G263" s="45"/>
      <c r="H263" s="45"/>
      <c r="I263" s="45"/>
      <c r="J263" s="45"/>
      <c r="K263" s="45"/>
      <c r="L263" s="45"/>
    </row>
    <row r="264" spans="2:12" x14ac:dyDescent="0.35">
      <c r="B264" s="45"/>
      <c r="C264" s="45"/>
      <c r="D264" s="45"/>
      <c r="E264" s="45"/>
      <c r="F264" s="45"/>
      <c r="G264" s="45"/>
      <c r="H264" s="45"/>
      <c r="I264" s="45"/>
      <c r="J264" s="45"/>
      <c r="K264" s="45"/>
      <c r="L264" s="45"/>
    </row>
    <row r="265" spans="2:12" x14ac:dyDescent="0.35">
      <c r="B265" s="45"/>
      <c r="C265" s="45"/>
      <c r="D265" s="45"/>
      <c r="E265" s="45"/>
      <c r="F265" s="45"/>
      <c r="G265" s="45"/>
      <c r="H265" s="45"/>
      <c r="I265" s="45"/>
      <c r="J265" s="45"/>
      <c r="K265" s="45"/>
      <c r="L265" s="45"/>
    </row>
    <row r="266" spans="2:12" x14ac:dyDescent="0.35">
      <c r="B266" s="45"/>
      <c r="C266" s="45"/>
      <c r="D266" s="45"/>
      <c r="E266" s="45"/>
      <c r="F266" s="45"/>
      <c r="G266" s="45"/>
      <c r="H266" s="45"/>
      <c r="I266" s="45"/>
      <c r="J266" s="45"/>
      <c r="K266" s="45"/>
      <c r="L266" s="45"/>
    </row>
    <row r="267" spans="2:12" x14ac:dyDescent="0.35">
      <c r="B267" s="45"/>
      <c r="C267" s="45"/>
      <c r="D267" s="45"/>
      <c r="E267" s="45"/>
      <c r="F267" s="45"/>
      <c r="G267" s="45"/>
      <c r="H267" s="45"/>
      <c r="I267" s="45"/>
      <c r="J267" s="45"/>
      <c r="K267" s="45"/>
      <c r="L267" s="45"/>
    </row>
    <row r="268" spans="2:12" x14ac:dyDescent="0.35">
      <c r="B268" s="45"/>
      <c r="C268" s="45"/>
      <c r="D268" s="45"/>
      <c r="E268" s="45"/>
      <c r="F268" s="45"/>
      <c r="G268" s="45"/>
      <c r="H268" s="45"/>
      <c r="I268" s="45"/>
      <c r="J268" s="45"/>
      <c r="K268" s="45"/>
      <c r="L268" s="45"/>
    </row>
    <row r="269" spans="2:12" x14ac:dyDescent="0.35">
      <c r="B269" s="45"/>
      <c r="C269" s="45"/>
      <c r="D269" s="45"/>
      <c r="E269" s="45"/>
      <c r="F269" s="45"/>
      <c r="G269" s="45"/>
      <c r="H269" s="45"/>
      <c r="I269" s="45"/>
      <c r="J269" s="45"/>
      <c r="K269" s="45"/>
      <c r="L269" s="45"/>
    </row>
    <row r="270" spans="2:12" x14ac:dyDescent="0.35">
      <c r="B270" s="45"/>
      <c r="C270" s="45"/>
      <c r="D270" s="45"/>
      <c r="E270" s="45"/>
      <c r="F270" s="45"/>
      <c r="G270" s="45"/>
      <c r="H270" s="45"/>
      <c r="I270" s="45"/>
      <c r="J270" s="45"/>
      <c r="K270" s="45"/>
      <c r="L270" s="45"/>
    </row>
    <row r="271" spans="2:12" x14ac:dyDescent="0.35">
      <c r="B271" s="45"/>
      <c r="C271" s="45"/>
      <c r="D271" s="45"/>
      <c r="E271" s="45"/>
      <c r="F271" s="45"/>
      <c r="G271" s="45"/>
      <c r="H271" s="45"/>
      <c r="I271" s="45"/>
      <c r="J271" s="45"/>
      <c r="K271" s="45"/>
      <c r="L271" s="45"/>
    </row>
    <row r="272" spans="2:12" x14ac:dyDescent="0.35">
      <c r="B272" s="45"/>
      <c r="C272" s="45"/>
      <c r="D272" s="45"/>
      <c r="E272" s="45"/>
      <c r="F272" s="45"/>
      <c r="G272" s="45"/>
      <c r="H272" s="45"/>
      <c r="I272" s="45"/>
      <c r="J272" s="45"/>
      <c r="K272" s="45"/>
      <c r="L272" s="45"/>
    </row>
    <row r="273" spans="2:12" x14ac:dyDescent="0.35">
      <c r="B273" s="45"/>
      <c r="C273" s="45"/>
      <c r="D273" s="45"/>
      <c r="E273" s="45"/>
      <c r="F273" s="45"/>
      <c r="G273" s="45"/>
      <c r="H273" s="45"/>
      <c r="I273" s="45"/>
      <c r="J273" s="45"/>
      <c r="K273" s="45"/>
      <c r="L273" s="45"/>
    </row>
    <row r="274" spans="2:12" x14ac:dyDescent="0.35">
      <c r="B274" s="45"/>
      <c r="C274" s="45"/>
      <c r="D274" s="45"/>
      <c r="E274" s="45"/>
      <c r="F274" s="45"/>
      <c r="G274" s="45"/>
      <c r="H274" s="45"/>
      <c r="I274" s="45"/>
      <c r="J274" s="45"/>
      <c r="K274" s="45"/>
      <c r="L274" s="45"/>
    </row>
    <row r="275" spans="2:12" x14ac:dyDescent="0.35">
      <c r="B275" s="45"/>
      <c r="C275" s="45"/>
      <c r="D275" s="45"/>
      <c r="E275" s="45"/>
      <c r="F275" s="45"/>
      <c r="G275" s="45"/>
      <c r="H275" s="45"/>
      <c r="I275" s="45"/>
      <c r="J275" s="45"/>
      <c r="K275" s="45"/>
      <c r="L275" s="45"/>
    </row>
    <row r="276" spans="2:12" x14ac:dyDescent="0.35">
      <c r="B276" s="45"/>
      <c r="C276" s="45"/>
      <c r="D276" s="45"/>
      <c r="E276" s="45"/>
      <c r="F276" s="45"/>
      <c r="G276" s="45"/>
      <c r="H276" s="45"/>
      <c r="I276" s="45"/>
      <c r="J276" s="45"/>
      <c r="K276" s="45"/>
      <c r="L276" s="45"/>
    </row>
    <row r="277" spans="2:12" x14ac:dyDescent="0.35">
      <c r="B277" s="45"/>
      <c r="C277" s="45"/>
      <c r="D277" s="45"/>
      <c r="E277" s="45"/>
      <c r="F277" s="45"/>
      <c r="G277" s="45"/>
      <c r="H277" s="45"/>
      <c r="I277" s="45"/>
      <c r="J277" s="45"/>
      <c r="K277" s="45"/>
      <c r="L277" s="45"/>
    </row>
    <row r="278" spans="2:12" x14ac:dyDescent="0.35">
      <c r="B278" s="45"/>
      <c r="C278" s="45"/>
      <c r="D278" s="45"/>
      <c r="E278" s="45"/>
      <c r="F278" s="45"/>
      <c r="G278" s="45"/>
      <c r="H278" s="45"/>
      <c r="I278" s="45"/>
      <c r="J278" s="45"/>
      <c r="K278" s="45"/>
      <c r="L278" s="45"/>
    </row>
    <row r="279" spans="2:12" x14ac:dyDescent="0.35">
      <c r="B279" s="45"/>
      <c r="C279" s="45"/>
      <c r="D279" s="45"/>
      <c r="E279" s="45"/>
      <c r="F279" s="45"/>
      <c r="G279" s="45"/>
      <c r="H279" s="45"/>
      <c r="I279" s="45"/>
      <c r="J279" s="45"/>
      <c r="K279" s="45"/>
      <c r="L279" s="45"/>
    </row>
    <row r="280" spans="2:12" x14ac:dyDescent="0.35">
      <c r="B280" s="45"/>
      <c r="C280" s="45"/>
      <c r="D280" s="45"/>
      <c r="E280" s="45"/>
      <c r="F280" s="45"/>
      <c r="G280" s="45"/>
      <c r="H280" s="45"/>
      <c r="I280" s="45"/>
      <c r="J280" s="45"/>
      <c r="K280" s="45"/>
      <c r="L280" s="45"/>
    </row>
    <row r="281" spans="2:12" x14ac:dyDescent="0.35">
      <c r="B281" s="45"/>
      <c r="C281" s="45"/>
      <c r="D281" s="45"/>
      <c r="E281" s="45"/>
      <c r="F281" s="45"/>
      <c r="G281" s="45"/>
      <c r="H281" s="45"/>
      <c r="I281" s="45"/>
      <c r="J281" s="45"/>
      <c r="K281" s="45"/>
      <c r="L281" s="45"/>
    </row>
    <row r="282" spans="2:12" x14ac:dyDescent="0.35">
      <c r="B282" s="45"/>
      <c r="C282" s="45"/>
      <c r="D282" s="45"/>
      <c r="E282" s="45"/>
      <c r="F282" s="45"/>
      <c r="G282" s="45"/>
      <c r="H282" s="45"/>
      <c r="I282" s="45"/>
      <c r="J282" s="45"/>
      <c r="K282" s="45"/>
      <c r="L282" s="45"/>
    </row>
    <row r="283" spans="2:12" x14ac:dyDescent="0.35">
      <c r="B283" s="45"/>
      <c r="C283" s="45"/>
      <c r="D283" s="45"/>
      <c r="E283" s="45"/>
      <c r="F283" s="45"/>
      <c r="G283" s="45"/>
      <c r="H283" s="45"/>
      <c r="I283" s="45"/>
      <c r="J283" s="45"/>
      <c r="K283" s="45"/>
      <c r="L283" s="45"/>
    </row>
    <row r="284" spans="2:12" x14ac:dyDescent="0.35">
      <c r="B284" s="45"/>
      <c r="C284" s="45"/>
      <c r="D284" s="45"/>
      <c r="E284" s="45"/>
      <c r="F284" s="45"/>
      <c r="G284" s="45"/>
      <c r="H284" s="45"/>
      <c r="I284" s="45"/>
      <c r="J284" s="45"/>
      <c r="K284" s="45"/>
      <c r="L284" s="45"/>
    </row>
    <row r="285" spans="2:12" x14ac:dyDescent="0.35">
      <c r="B285" s="45"/>
      <c r="C285" s="45"/>
      <c r="D285" s="45"/>
      <c r="E285" s="45"/>
      <c r="F285" s="45"/>
      <c r="G285" s="45"/>
      <c r="H285" s="45"/>
      <c r="I285" s="45"/>
      <c r="J285" s="45"/>
      <c r="K285" s="45"/>
      <c r="L285" s="45"/>
    </row>
    <row r="286" spans="2:12" x14ac:dyDescent="0.35">
      <c r="B286" s="45"/>
      <c r="C286" s="45"/>
      <c r="D286" s="45"/>
      <c r="E286" s="45"/>
      <c r="F286" s="45"/>
      <c r="G286" s="45"/>
      <c r="H286" s="45"/>
      <c r="I286" s="45"/>
      <c r="J286" s="45"/>
      <c r="K286" s="45"/>
      <c r="L286" s="45"/>
    </row>
    <row r="287" spans="2:12" x14ac:dyDescent="0.35">
      <c r="B287" s="45"/>
      <c r="C287" s="45"/>
      <c r="D287" s="45"/>
      <c r="E287" s="45"/>
      <c r="F287" s="45"/>
      <c r="G287" s="45"/>
      <c r="H287" s="45"/>
      <c r="I287" s="45"/>
      <c r="J287" s="45"/>
      <c r="K287" s="45"/>
      <c r="L287" s="45"/>
    </row>
    <row r="288" spans="2:12" x14ac:dyDescent="0.35">
      <c r="B288" s="45"/>
      <c r="C288" s="45"/>
      <c r="D288" s="45"/>
      <c r="E288" s="45"/>
      <c r="F288" s="45"/>
      <c r="G288" s="45"/>
      <c r="H288" s="45"/>
      <c r="I288" s="45"/>
      <c r="J288" s="45"/>
      <c r="K288" s="45"/>
      <c r="L288" s="45"/>
    </row>
    <row r="289" spans="2:12" x14ac:dyDescent="0.35">
      <c r="B289" s="45"/>
      <c r="C289" s="45"/>
      <c r="D289" s="45"/>
      <c r="E289" s="45"/>
      <c r="F289" s="45"/>
      <c r="G289" s="45"/>
      <c r="H289" s="45"/>
      <c r="I289" s="45"/>
      <c r="J289" s="45"/>
      <c r="K289" s="45"/>
      <c r="L289" s="45"/>
    </row>
    <row r="290" spans="2:12" x14ac:dyDescent="0.35">
      <c r="B290" s="45"/>
      <c r="C290" s="45"/>
      <c r="D290" s="45"/>
      <c r="E290" s="45"/>
      <c r="F290" s="45"/>
      <c r="G290" s="45"/>
      <c r="H290" s="45"/>
      <c r="I290" s="45"/>
      <c r="J290" s="45"/>
      <c r="K290" s="45"/>
      <c r="L290" s="45"/>
    </row>
    <row r="291" spans="2:12" x14ac:dyDescent="0.35">
      <c r="B291" s="45"/>
      <c r="C291" s="45"/>
      <c r="D291" s="45"/>
      <c r="E291" s="45"/>
      <c r="F291" s="45"/>
      <c r="G291" s="45"/>
      <c r="H291" s="45"/>
      <c r="I291" s="45"/>
      <c r="J291" s="45"/>
      <c r="K291" s="45"/>
      <c r="L291" s="45"/>
    </row>
    <row r="292" spans="2:12" x14ac:dyDescent="0.35">
      <c r="B292" s="45"/>
      <c r="C292" s="45"/>
      <c r="D292" s="45"/>
      <c r="E292" s="45"/>
      <c r="F292" s="45"/>
      <c r="G292" s="45"/>
      <c r="H292" s="45"/>
      <c r="I292" s="45"/>
      <c r="J292" s="45"/>
      <c r="K292" s="45"/>
      <c r="L292" s="45"/>
    </row>
    <row r="293" spans="2:12" x14ac:dyDescent="0.35">
      <c r="B293" s="45"/>
      <c r="C293" s="45"/>
      <c r="D293" s="45"/>
      <c r="E293" s="45"/>
      <c r="F293" s="45"/>
      <c r="G293" s="45"/>
      <c r="H293" s="45"/>
      <c r="I293" s="45"/>
      <c r="J293" s="45"/>
      <c r="K293" s="45"/>
      <c r="L293" s="45"/>
    </row>
    <row r="294" spans="2:12" x14ac:dyDescent="0.35">
      <c r="B294" s="45"/>
      <c r="C294" s="45"/>
      <c r="D294" s="45"/>
      <c r="E294" s="45"/>
      <c r="F294" s="45"/>
      <c r="G294" s="45"/>
      <c r="H294" s="45"/>
      <c r="I294" s="45"/>
      <c r="J294" s="45"/>
      <c r="K294" s="45"/>
      <c r="L294" s="45"/>
    </row>
    <row r="295" spans="2:12" x14ac:dyDescent="0.35">
      <c r="B295" s="45"/>
      <c r="C295" s="45"/>
      <c r="D295" s="45"/>
      <c r="E295" s="45"/>
      <c r="F295" s="45"/>
      <c r="G295" s="45"/>
      <c r="H295" s="45"/>
      <c r="I295" s="45"/>
      <c r="J295" s="45"/>
      <c r="K295" s="45"/>
      <c r="L295" s="45"/>
    </row>
    <row r="296" spans="2:12" x14ac:dyDescent="0.35">
      <c r="B296" s="45"/>
      <c r="C296" s="45"/>
      <c r="D296" s="45"/>
      <c r="E296" s="45"/>
      <c r="F296" s="45"/>
      <c r="G296" s="45"/>
      <c r="H296" s="45"/>
      <c r="I296" s="45"/>
      <c r="J296" s="45"/>
      <c r="K296" s="45"/>
      <c r="L296" s="45"/>
    </row>
    <row r="297" spans="2:12" x14ac:dyDescent="0.35">
      <c r="B297" s="45"/>
      <c r="C297" s="45"/>
      <c r="D297" s="45"/>
      <c r="E297" s="45"/>
      <c r="F297" s="45"/>
      <c r="G297" s="45"/>
      <c r="H297" s="45"/>
      <c r="I297" s="45"/>
      <c r="J297" s="45"/>
      <c r="K297" s="45"/>
      <c r="L297" s="45"/>
    </row>
    <row r="298" spans="2:12" x14ac:dyDescent="0.35">
      <c r="B298" s="45"/>
      <c r="C298" s="45"/>
      <c r="D298" s="45"/>
      <c r="E298" s="45"/>
      <c r="F298" s="45"/>
      <c r="G298" s="45"/>
      <c r="H298" s="45"/>
      <c r="I298" s="45"/>
      <c r="J298" s="45"/>
      <c r="K298" s="45"/>
      <c r="L298" s="45"/>
    </row>
    <row r="299" spans="2:12" x14ac:dyDescent="0.35">
      <c r="B299" s="45"/>
      <c r="C299" s="45"/>
      <c r="D299" s="45"/>
      <c r="E299" s="45"/>
      <c r="F299" s="45"/>
      <c r="G299" s="45"/>
      <c r="H299" s="45"/>
      <c r="I299" s="45"/>
      <c r="J299" s="45"/>
      <c r="K299" s="45"/>
      <c r="L299" s="45"/>
    </row>
    <row r="300" spans="2:12" x14ac:dyDescent="0.35">
      <c r="B300" s="45"/>
      <c r="C300" s="45"/>
      <c r="D300" s="45"/>
      <c r="E300" s="45"/>
      <c r="F300" s="45"/>
      <c r="G300" s="45"/>
      <c r="H300" s="45"/>
      <c r="I300" s="45"/>
      <c r="J300" s="45"/>
      <c r="K300" s="45"/>
      <c r="L300" s="45"/>
    </row>
    <row r="301" spans="2:12" x14ac:dyDescent="0.35">
      <c r="B301" s="45"/>
      <c r="C301" s="45"/>
      <c r="D301" s="45"/>
      <c r="E301" s="45"/>
      <c r="F301" s="45"/>
      <c r="G301" s="45"/>
      <c r="H301" s="45"/>
      <c r="I301" s="45"/>
      <c r="J301" s="45"/>
      <c r="K301" s="45"/>
      <c r="L301" s="45"/>
    </row>
    <row r="302" spans="2:12" x14ac:dyDescent="0.35">
      <c r="B302" s="45"/>
      <c r="C302" s="45"/>
      <c r="D302" s="45"/>
      <c r="E302" s="45"/>
      <c r="F302" s="45"/>
      <c r="G302" s="45"/>
      <c r="H302" s="45"/>
      <c r="I302" s="45"/>
      <c r="J302" s="45"/>
      <c r="K302" s="45"/>
      <c r="L302" s="45"/>
    </row>
    <row r="303" spans="2:12" x14ac:dyDescent="0.35">
      <c r="B303" s="45"/>
      <c r="C303" s="45"/>
      <c r="D303" s="45"/>
      <c r="E303" s="45"/>
      <c r="F303" s="45"/>
      <c r="G303" s="45"/>
      <c r="H303" s="45"/>
      <c r="I303" s="45"/>
      <c r="J303" s="45"/>
      <c r="K303" s="45"/>
      <c r="L303" s="45"/>
    </row>
    <row r="304" spans="2:12" x14ac:dyDescent="0.35">
      <c r="B304" s="45"/>
      <c r="C304" s="45"/>
      <c r="D304" s="45"/>
      <c r="E304" s="45"/>
      <c r="F304" s="45"/>
      <c r="G304" s="45"/>
      <c r="H304" s="45"/>
      <c r="I304" s="45"/>
      <c r="J304" s="45"/>
      <c r="K304" s="45"/>
      <c r="L304" s="45"/>
    </row>
    <row r="305" spans="2:12" x14ac:dyDescent="0.35">
      <c r="B305" s="45"/>
      <c r="C305" s="45"/>
      <c r="D305" s="45"/>
      <c r="E305" s="45"/>
      <c r="F305" s="45"/>
      <c r="G305" s="45"/>
      <c r="H305" s="45"/>
      <c r="I305" s="45"/>
      <c r="J305" s="45"/>
      <c r="K305" s="45"/>
      <c r="L305" s="45"/>
    </row>
    <row r="306" spans="2:12" x14ac:dyDescent="0.35">
      <c r="B306" s="45"/>
      <c r="C306" s="45"/>
      <c r="D306" s="45"/>
      <c r="E306" s="45"/>
      <c r="F306" s="45"/>
      <c r="G306" s="45"/>
      <c r="H306" s="45"/>
      <c r="I306" s="45"/>
      <c r="J306" s="45"/>
      <c r="K306" s="45"/>
      <c r="L306" s="45"/>
    </row>
    <row r="307" spans="2:12" x14ac:dyDescent="0.35">
      <c r="B307" s="45"/>
      <c r="C307" s="45"/>
      <c r="D307" s="45"/>
      <c r="E307" s="45"/>
      <c r="F307" s="45"/>
      <c r="G307" s="45"/>
      <c r="H307" s="45"/>
      <c r="I307" s="45"/>
      <c r="J307" s="45"/>
      <c r="K307" s="45"/>
      <c r="L307" s="45"/>
    </row>
    <row r="308" spans="2:12" x14ac:dyDescent="0.35">
      <c r="B308" s="45"/>
      <c r="C308" s="45"/>
      <c r="D308" s="45"/>
      <c r="E308" s="45"/>
      <c r="F308" s="45"/>
      <c r="G308" s="45"/>
      <c r="H308" s="45"/>
      <c r="I308" s="45"/>
      <c r="J308" s="45"/>
      <c r="K308" s="45"/>
      <c r="L308" s="45"/>
    </row>
    <row r="309" spans="2:12" x14ac:dyDescent="0.35">
      <c r="B309" s="45"/>
      <c r="C309" s="45"/>
      <c r="D309" s="45"/>
      <c r="E309" s="45"/>
      <c r="F309" s="45"/>
      <c r="G309" s="45"/>
      <c r="H309" s="45"/>
      <c r="I309" s="45"/>
      <c r="J309" s="45"/>
      <c r="K309" s="45"/>
      <c r="L309" s="45"/>
    </row>
    <row r="310" spans="2:12" x14ac:dyDescent="0.35">
      <c r="B310" s="45"/>
      <c r="C310" s="45"/>
      <c r="D310" s="45"/>
      <c r="E310" s="45"/>
      <c r="F310" s="45"/>
      <c r="G310" s="45"/>
      <c r="H310" s="45"/>
      <c r="I310" s="45"/>
      <c r="J310" s="45"/>
      <c r="K310" s="45"/>
      <c r="L310" s="45"/>
    </row>
    <row r="311" spans="2:12" x14ac:dyDescent="0.35">
      <c r="B311" s="45"/>
      <c r="C311" s="45"/>
      <c r="D311" s="45"/>
      <c r="E311" s="45"/>
      <c r="F311" s="45"/>
      <c r="G311" s="45"/>
      <c r="H311" s="45"/>
      <c r="I311" s="45"/>
      <c r="J311" s="45"/>
      <c r="K311" s="45"/>
      <c r="L311" s="45"/>
    </row>
    <row r="312" spans="2:12" x14ac:dyDescent="0.35">
      <c r="B312" s="45"/>
      <c r="C312" s="45"/>
      <c r="D312" s="45"/>
      <c r="E312" s="45"/>
      <c r="F312" s="45"/>
      <c r="G312" s="45"/>
      <c r="H312" s="45"/>
      <c r="I312" s="45"/>
      <c r="J312" s="45"/>
      <c r="K312" s="45"/>
      <c r="L312" s="45"/>
    </row>
    <row r="313" spans="2:12" x14ac:dyDescent="0.35">
      <c r="B313" s="45"/>
      <c r="C313" s="45"/>
      <c r="D313" s="45"/>
      <c r="E313" s="45"/>
      <c r="F313" s="45"/>
      <c r="G313" s="45"/>
      <c r="H313" s="45"/>
      <c r="I313" s="45"/>
      <c r="J313" s="45"/>
      <c r="K313" s="45"/>
      <c r="L313" s="45"/>
    </row>
    <row r="314" spans="2:12" x14ac:dyDescent="0.35">
      <c r="B314" s="45"/>
      <c r="C314" s="45"/>
      <c r="D314" s="45"/>
      <c r="E314" s="45"/>
      <c r="F314" s="45"/>
      <c r="G314" s="45"/>
      <c r="H314" s="45"/>
      <c r="I314" s="45"/>
      <c r="J314" s="45"/>
      <c r="K314" s="45"/>
      <c r="L314" s="45"/>
    </row>
    <row r="315" spans="2:12" x14ac:dyDescent="0.35">
      <c r="B315" s="45"/>
      <c r="C315" s="45"/>
      <c r="D315" s="45"/>
      <c r="E315" s="45"/>
      <c r="F315" s="45"/>
      <c r="G315" s="45"/>
      <c r="H315" s="45"/>
      <c r="I315" s="45"/>
      <c r="J315" s="45"/>
      <c r="K315" s="45"/>
      <c r="L315" s="45"/>
    </row>
    <row r="316" spans="2:12" x14ac:dyDescent="0.35">
      <c r="B316" s="45"/>
      <c r="C316" s="45"/>
      <c r="D316" s="45"/>
      <c r="E316" s="45"/>
      <c r="F316" s="45"/>
      <c r="G316" s="45"/>
      <c r="H316" s="45"/>
      <c r="I316" s="45"/>
      <c r="J316" s="45"/>
      <c r="K316" s="45"/>
      <c r="L316" s="45"/>
    </row>
    <row r="317" spans="2:12" x14ac:dyDescent="0.35">
      <c r="B317" s="45"/>
      <c r="C317" s="45"/>
      <c r="D317" s="45"/>
      <c r="E317" s="45"/>
      <c r="F317" s="45"/>
      <c r="G317" s="45"/>
      <c r="H317" s="45"/>
      <c r="I317" s="45"/>
      <c r="J317" s="45"/>
      <c r="K317" s="45"/>
      <c r="L317" s="45"/>
    </row>
    <row r="318" spans="2:12" x14ac:dyDescent="0.35">
      <c r="B318" s="45"/>
      <c r="C318" s="45"/>
      <c r="D318" s="45"/>
      <c r="E318" s="45"/>
      <c r="F318" s="45"/>
      <c r="G318" s="45"/>
      <c r="H318" s="45"/>
      <c r="I318" s="45"/>
      <c r="J318" s="45"/>
      <c r="K318" s="45"/>
      <c r="L318" s="45"/>
    </row>
    <row r="319" spans="2:12" x14ac:dyDescent="0.35">
      <c r="B319" s="45"/>
      <c r="C319" s="45"/>
      <c r="D319" s="45"/>
      <c r="E319" s="45"/>
      <c r="F319" s="45"/>
      <c r="G319" s="45"/>
      <c r="H319" s="45"/>
      <c r="I319" s="45"/>
      <c r="J319" s="45"/>
      <c r="K319" s="45"/>
      <c r="L319" s="45"/>
    </row>
    <row r="320" spans="2:12" x14ac:dyDescent="0.35">
      <c r="B320" s="45"/>
      <c r="C320" s="45"/>
      <c r="D320" s="45"/>
      <c r="E320" s="45"/>
      <c r="F320" s="45"/>
      <c r="G320" s="45"/>
      <c r="H320" s="45"/>
      <c r="I320" s="45"/>
      <c r="J320" s="45"/>
      <c r="K320" s="45"/>
      <c r="L320" s="45"/>
    </row>
    <row r="321" spans="2:12" x14ac:dyDescent="0.35">
      <c r="B321" s="45"/>
      <c r="C321" s="45"/>
      <c r="D321" s="45"/>
      <c r="E321" s="45"/>
      <c r="F321" s="45"/>
      <c r="G321" s="45"/>
      <c r="H321" s="45"/>
      <c r="I321" s="45"/>
      <c r="J321" s="45"/>
      <c r="K321" s="45"/>
      <c r="L321" s="45"/>
    </row>
    <row r="322" spans="2:12" x14ac:dyDescent="0.35">
      <c r="B322" s="45"/>
      <c r="C322" s="45"/>
      <c r="D322" s="45"/>
      <c r="E322" s="45"/>
      <c r="F322" s="45"/>
      <c r="G322" s="45"/>
      <c r="H322" s="45"/>
      <c r="I322" s="45"/>
      <c r="J322" s="45"/>
      <c r="K322" s="45"/>
      <c r="L322" s="45"/>
    </row>
    <row r="323" spans="2:12" x14ac:dyDescent="0.35">
      <c r="B323" s="45"/>
      <c r="C323" s="45"/>
      <c r="D323" s="45"/>
      <c r="E323" s="45"/>
      <c r="F323" s="45"/>
      <c r="G323" s="45"/>
      <c r="H323" s="45"/>
      <c r="I323" s="45"/>
      <c r="J323" s="45"/>
      <c r="K323" s="45"/>
      <c r="L323" s="45"/>
    </row>
    <row r="324" spans="2:12" x14ac:dyDescent="0.35">
      <c r="B324" s="45"/>
      <c r="C324" s="45"/>
      <c r="D324" s="45"/>
      <c r="E324" s="45"/>
      <c r="F324" s="45"/>
      <c r="G324" s="45"/>
      <c r="H324" s="45"/>
      <c r="I324" s="45"/>
      <c r="J324" s="45"/>
      <c r="K324" s="45"/>
      <c r="L324" s="45"/>
    </row>
    <row r="325" spans="2:12" x14ac:dyDescent="0.35">
      <c r="B325" s="45"/>
      <c r="C325" s="45"/>
      <c r="D325" s="45"/>
      <c r="E325" s="45"/>
      <c r="F325" s="45"/>
      <c r="G325" s="45"/>
      <c r="H325" s="45"/>
      <c r="I325" s="45"/>
      <c r="J325" s="45"/>
      <c r="K325" s="45"/>
      <c r="L325" s="45"/>
    </row>
    <row r="326" spans="2:12" x14ac:dyDescent="0.35">
      <c r="B326" s="44"/>
      <c r="D326" s="44"/>
      <c r="E326" s="44"/>
      <c r="F326" s="44"/>
      <c r="G326" s="44"/>
      <c r="H326" s="44"/>
      <c r="I326" s="44"/>
      <c r="J326" s="44"/>
    </row>
    <row r="327" spans="2:12" x14ac:dyDescent="0.35">
      <c r="B327" s="44"/>
      <c r="D327" s="44"/>
      <c r="E327" s="44"/>
      <c r="F327" s="44"/>
      <c r="G327" s="44"/>
      <c r="H327" s="44"/>
      <c r="I327" s="44"/>
      <c r="J327" s="44"/>
    </row>
  </sheetData>
  <mergeCells count="18">
    <mergeCell ref="B2:L2"/>
    <mergeCell ref="B3:L3"/>
    <mergeCell ref="B4:L4"/>
    <mergeCell ref="B5:L5"/>
    <mergeCell ref="B6:L6"/>
    <mergeCell ref="H8:H9"/>
    <mergeCell ref="I8:I9"/>
    <mergeCell ref="J8:J9"/>
    <mergeCell ref="C8:C9"/>
    <mergeCell ref="D8:D9"/>
    <mergeCell ref="E8:E9"/>
    <mergeCell ref="F8:F9"/>
    <mergeCell ref="G8:G9"/>
    <mergeCell ref="D27:K27"/>
    <mergeCell ref="D28:K28"/>
    <mergeCell ref="D31:K31"/>
    <mergeCell ref="D24:K24"/>
    <mergeCell ref="D25:K25"/>
  </mergeCells>
  <dataValidations count="2">
    <dataValidation type="list" allowBlank="1" showInputMessage="1" showErrorMessage="1" sqref="H12:H22" xr:uid="{D11B957F-E4E7-4F37-BE42-2DE1D563CA3A}">
      <formula1>$H$51:$H$52</formula1>
    </dataValidation>
    <dataValidation type="list" allowBlank="1" showInputMessage="1" showErrorMessage="1" sqref="H10:H11" xr:uid="{82CE6A89-0350-45AB-9030-22DFE05B66BF}">
      <formula1>$H$40:$H$41</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DFB13-B5BF-4057-8FB6-0056D8F0B504}">
  <dimension ref="A1:CL124"/>
  <sheetViews>
    <sheetView topLeftCell="G31" zoomScale="61" zoomScaleNormal="100" workbookViewId="0">
      <selection activeCell="I32" sqref="I32"/>
    </sheetView>
  </sheetViews>
  <sheetFormatPr defaultRowHeight="14.5" x14ac:dyDescent="0.35"/>
  <cols>
    <col min="1" max="1" width="9.1796875" style="45"/>
    <col min="2" max="2" width="13.1796875" customWidth="1"/>
    <col min="3" max="3" width="18.26953125" bestFit="1" customWidth="1"/>
    <col min="4" max="4" width="20.26953125" customWidth="1"/>
    <col min="5" max="5" width="30" customWidth="1"/>
    <col min="6" max="6" width="10.54296875" bestFit="1" customWidth="1"/>
    <col min="7" max="7" width="46.54296875" customWidth="1"/>
    <col min="8" max="8" width="51.7265625" bestFit="1" customWidth="1"/>
    <col min="9" max="9" width="146.1796875" bestFit="1" customWidth="1"/>
    <col min="12" max="90" width="9.1796875" style="45"/>
  </cols>
  <sheetData>
    <row r="1" spans="2:11" s="45" customFormat="1" x14ac:dyDescent="0.35"/>
    <row r="2" spans="2:11" ht="20" x14ac:dyDescent="0.4">
      <c r="B2" s="241" t="s">
        <v>10</v>
      </c>
      <c r="C2" s="241"/>
      <c r="D2" s="241"/>
      <c r="E2" s="241"/>
      <c r="F2" s="241"/>
      <c r="G2" s="241"/>
      <c r="H2" s="241"/>
      <c r="I2" s="241"/>
      <c r="J2" s="241"/>
      <c r="K2" s="241"/>
    </row>
    <row r="3" spans="2:11" ht="18" x14ac:dyDescent="0.4">
      <c r="B3" s="242" t="s">
        <v>41</v>
      </c>
      <c r="C3" s="242"/>
      <c r="D3" s="242"/>
      <c r="E3" s="242"/>
      <c r="F3" s="242"/>
      <c r="G3" s="242"/>
      <c r="H3" s="242"/>
      <c r="I3" s="242"/>
      <c r="J3" s="242"/>
      <c r="K3" s="242"/>
    </row>
    <row r="4" spans="2:11" x14ac:dyDescent="0.35">
      <c r="B4" s="243" t="s">
        <v>354</v>
      </c>
      <c r="C4" s="243"/>
      <c r="D4" s="243"/>
      <c r="E4" s="243"/>
      <c r="F4" s="243"/>
      <c r="G4" s="243"/>
      <c r="H4" s="243"/>
      <c r="I4" s="243"/>
      <c r="J4" s="243"/>
      <c r="K4" s="243"/>
    </row>
    <row r="5" spans="2:11" x14ac:dyDescent="0.35">
      <c r="B5" s="244" t="s">
        <v>2</v>
      </c>
      <c r="C5" s="244"/>
      <c r="D5" s="244"/>
      <c r="E5" s="244"/>
      <c r="F5" s="244"/>
      <c r="G5" s="244"/>
      <c r="H5" s="244"/>
      <c r="I5" s="244"/>
      <c r="J5" s="244"/>
      <c r="K5" s="244"/>
    </row>
    <row r="6" spans="2:11" x14ac:dyDescent="0.35">
      <c r="B6" s="244" t="s">
        <v>12</v>
      </c>
      <c r="C6" s="244"/>
      <c r="D6" s="244"/>
      <c r="E6" s="244"/>
      <c r="F6" s="244"/>
      <c r="G6" s="244"/>
      <c r="H6" s="244"/>
      <c r="I6" s="244"/>
      <c r="J6" s="244"/>
      <c r="K6" s="244"/>
    </row>
    <row r="7" spans="2:11" x14ac:dyDescent="0.35">
      <c r="B7" s="132"/>
      <c r="C7" s="131"/>
      <c r="D7" s="131"/>
      <c r="E7" s="131"/>
      <c r="F7" s="131"/>
      <c r="G7" s="131"/>
      <c r="H7" s="44"/>
      <c r="I7" s="44"/>
      <c r="J7" s="44"/>
      <c r="K7" s="44"/>
    </row>
    <row r="8" spans="2:11" x14ac:dyDescent="0.35">
      <c r="B8" s="56"/>
      <c r="C8" s="240" t="s">
        <v>42</v>
      </c>
      <c r="D8" s="240" t="s">
        <v>43</v>
      </c>
      <c r="E8" s="240" t="s">
        <v>44</v>
      </c>
      <c r="F8" s="240" t="s">
        <v>45</v>
      </c>
      <c r="G8" s="240" t="s">
        <v>46</v>
      </c>
      <c r="H8" s="240" t="s">
        <v>48</v>
      </c>
      <c r="I8" s="240" t="s">
        <v>400</v>
      </c>
      <c r="J8" s="44"/>
      <c r="K8" s="44"/>
    </row>
    <row r="9" spans="2:11" x14ac:dyDescent="0.35">
      <c r="B9" s="44"/>
      <c r="C9" s="240"/>
      <c r="D9" s="240"/>
      <c r="E9" s="240"/>
      <c r="F9" s="240"/>
      <c r="G9" s="240"/>
      <c r="H9" s="240"/>
      <c r="I9" s="240"/>
      <c r="J9" s="44"/>
      <c r="K9" s="44"/>
    </row>
    <row r="10" spans="2:11" ht="312.5" x14ac:dyDescent="0.35">
      <c r="B10" s="44"/>
      <c r="C10" s="62" t="s">
        <v>60</v>
      </c>
      <c r="D10" s="113" t="s">
        <v>207</v>
      </c>
      <c r="E10" s="113" t="s">
        <v>84</v>
      </c>
      <c r="F10" s="113" t="s">
        <v>53</v>
      </c>
      <c r="G10" s="114" t="s">
        <v>85</v>
      </c>
      <c r="H10" s="108"/>
      <c r="I10" s="205" t="s">
        <v>638</v>
      </c>
      <c r="J10" s="44"/>
      <c r="K10" s="44"/>
    </row>
    <row r="11" spans="2:11" ht="350" x14ac:dyDescent="0.35">
      <c r="B11" s="44"/>
      <c r="C11" s="62" t="s">
        <v>60</v>
      </c>
      <c r="D11" s="113" t="s">
        <v>207</v>
      </c>
      <c r="E11" s="113" t="s">
        <v>86</v>
      </c>
      <c r="F11" s="113" t="s">
        <v>70</v>
      </c>
      <c r="G11" s="114" t="s">
        <v>87</v>
      </c>
      <c r="H11" s="108"/>
      <c r="I11" s="205" t="s">
        <v>590</v>
      </c>
      <c r="J11" s="44"/>
      <c r="K11" s="44"/>
    </row>
    <row r="12" spans="2:11" ht="225" x14ac:dyDescent="0.35">
      <c r="B12" s="44"/>
      <c r="C12" s="62" t="s">
        <v>95</v>
      </c>
      <c r="D12" s="113" t="s">
        <v>207</v>
      </c>
      <c r="E12" s="113" t="s">
        <v>100</v>
      </c>
      <c r="F12" s="113" t="s">
        <v>70</v>
      </c>
      <c r="G12" s="123" t="s">
        <v>101</v>
      </c>
      <c r="H12" s="108"/>
      <c r="I12" s="205" t="s">
        <v>639</v>
      </c>
      <c r="J12" s="44"/>
      <c r="K12" s="44"/>
    </row>
    <row r="13" spans="2:11" ht="300" x14ac:dyDescent="0.35">
      <c r="B13" s="44"/>
      <c r="C13" s="62" t="s">
        <v>95</v>
      </c>
      <c r="D13" s="113" t="s">
        <v>207</v>
      </c>
      <c r="E13" s="113" t="s">
        <v>148</v>
      </c>
      <c r="F13" s="113" t="s">
        <v>53</v>
      </c>
      <c r="G13" s="123" t="s">
        <v>640</v>
      </c>
      <c r="H13" s="108"/>
      <c r="I13" s="205" t="s">
        <v>641</v>
      </c>
      <c r="J13" s="44"/>
      <c r="K13" s="44"/>
    </row>
    <row r="14" spans="2:11" ht="262.5" x14ac:dyDescent="0.35">
      <c r="B14" s="44"/>
      <c r="C14" s="62" t="s">
        <v>95</v>
      </c>
      <c r="D14" s="113" t="s">
        <v>207</v>
      </c>
      <c r="E14" s="113" t="s">
        <v>208</v>
      </c>
      <c r="F14" s="113" t="s">
        <v>70</v>
      </c>
      <c r="G14" s="123" t="s">
        <v>103</v>
      </c>
      <c r="H14" s="108"/>
      <c r="I14" s="213" t="s">
        <v>642</v>
      </c>
      <c r="J14" s="44"/>
      <c r="K14" s="44"/>
    </row>
    <row r="15" spans="2:11" ht="225" x14ac:dyDescent="0.35">
      <c r="B15" s="44"/>
      <c r="C15" s="62" t="s">
        <v>111</v>
      </c>
      <c r="D15" s="113" t="s">
        <v>207</v>
      </c>
      <c r="E15" s="113" t="s">
        <v>115</v>
      </c>
      <c r="F15" s="113" t="s">
        <v>53</v>
      </c>
      <c r="G15" s="114" t="s">
        <v>209</v>
      </c>
      <c r="H15" s="108"/>
      <c r="I15" s="213" t="s">
        <v>643</v>
      </c>
      <c r="J15" s="44"/>
      <c r="K15" s="44"/>
    </row>
    <row r="16" spans="2:11" ht="37.5" x14ac:dyDescent="0.35">
      <c r="B16" s="44"/>
      <c r="C16" s="62">
        <v>3</v>
      </c>
      <c r="D16" s="113" t="s">
        <v>207</v>
      </c>
      <c r="E16" s="113" t="s">
        <v>117</v>
      </c>
      <c r="F16" s="113" t="s">
        <v>53</v>
      </c>
      <c r="G16" s="114" t="s">
        <v>118</v>
      </c>
      <c r="H16" s="108"/>
      <c r="I16" s="213" t="s">
        <v>518</v>
      </c>
      <c r="J16" s="44"/>
      <c r="K16" s="44"/>
    </row>
    <row r="17" spans="2:11" ht="112.5" x14ac:dyDescent="0.35">
      <c r="B17" s="44"/>
      <c r="C17" s="62" t="s">
        <v>111</v>
      </c>
      <c r="D17" s="113" t="s">
        <v>207</v>
      </c>
      <c r="E17" s="113" t="s">
        <v>122</v>
      </c>
      <c r="F17" s="113" t="s">
        <v>53</v>
      </c>
      <c r="G17" s="114" t="s">
        <v>123</v>
      </c>
      <c r="H17" s="108"/>
      <c r="I17" s="213" t="s">
        <v>519</v>
      </c>
      <c r="J17" s="44"/>
      <c r="K17" s="44"/>
    </row>
    <row r="18" spans="2:11" ht="200" x14ac:dyDescent="0.35">
      <c r="B18" s="44"/>
      <c r="C18" s="62" t="s">
        <v>66</v>
      </c>
      <c r="D18" s="113" t="s">
        <v>207</v>
      </c>
      <c r="E18" s="113" t="s">
        <v>124</v>
      </c>
      <c r="F18" s="113" t="s">
        <v>58</v>
      </c>
      <c r="G18" s="114" t="s">
        <v>125</v>
      </c>
      <c r="H18" s="108"/>
      <c r="I18" s="208" t="s">
        <v>520</v>
      </c>
      <c r="J18" s="44"/>
      <c r="K18" s="44"/>
    </row>
    <row r="19" spans="2:11" ht="262.5" x14ac:dyDescent="0.35">
      <c r="B19" s="44"/>
      <c r="C19" s="62" t="s">
        <v>95</v>
      </c>
      <c r="D19" s="113" t="s">
        <v>207</v>
      </c>
      <c r="E19" s="113" t="s">
        <v>210</v>
      </c>
      <c r="F19" s="113" t="s">
        <v>53</v>
      </c>
      <c r="G19" s="114" t="s">
        <v>101</v>
      </c>
      <c r="H19" s="108"/>
      <c r="I19" s="205" t="s">
        <v>644</v>
      </c>
      <c r="J19" s="44"/>
      <c r="K19" s="44"/>
    </row>
    <row r="20" spans="2:11" ht="337.5" x14ac:dyDescent="0.35">
      <c r="B20" s="44"/>
      <c r="C20" s="62" t="s">
        <v>95</v>
      </c>
      <c r="D20" s="113" t="s">
        <v>207</v>
      </c>
      <c r="E20" s="113" t="s">
        <v>86</v>
      </c>
      <c r="F20" s="113" t="s">
        <v>53</v>
      </c>
      <c r="G20" s="114" t="s">
        <v>127</v>
      </c>
      <c r="H20" s="108"/>
      <c r="I20" s="205" t="s">
        <v>521</v>
      </c>
      <c r="J20" s="44"/>
      <c r="K20" s="44"/>
    </row>
    <row r="21" spans="2:11" ht="375" x14ac:dyDescent="0.35">
      <c r="B21" s="44"/>
      <c r="C21" s="62" t="s">
        <v>95</v>
      </c>
      <c r="D21" s="113" t="s">
        <v>207</v>
      </c>
      <c r="E21" s="113" t="s">
        <v>86</v>
      </c>
      <c r="F21" s="113" t="s">
        <v>53</v>
      </c>
      <c r="G21" s="114" t="s">
        <v>211</v>
      </c>
      <c r="H21" s="108"/>
      <c r="I21" s="205" t="s">
        <v>645</v>
      </c>
      <c r="J21" s="44"/>
      <c r="K21" s="44"/>
    </row>
    <row r="22" spans="2:11" ht="275" x14ac:dyDescent="0.35">
      <c r="B22" s="44"/>
      <c r="C22" s="62" t="s">
        <v>95</v>
      </c>
      <c r="D22" s="113" t="s">
        <v>212</v>
      </c>
      <c r="E22" s="113" t="s">
        <v>160</v>
      </c>
      <c r="F22" s="113" t="s">
        <v>53</v>
      </c>
      <c r="G22" s="114" t="s">
        <v>176</v>
      </c>
      <c r="H22" s="108"/>
      <c r="I22" s="213" t="s">
        <v>646</v>
      </c>
      <c r="J22" s="44"/>
      <c r="K22" s="44"/>
    </row>
    <row r="23" spans="2:11" ht="300" x14ac:dyDescent="0.35">
      <c r="B23" s="44"/>
      <c r="C23" s="62" t="s">
        <v>95</v>
      </c>
      <c r="D23" s="113" t="s">
        <v>212</v>
      </c>
      <c r="E23" s="113" t="s">
        <v>161</v>
      </c>
      <c r="F23" s="113" t="s">
        <v>53</v>
      </c>
      <c r="G23" s="114" t="s">
        <v>177</v>
      </c>
      <c r="H23" s="108"/>
      <c r="I23" s="213" t="s">
        <v>647</v>
      </c>
      <c r="J23" s="44"/>
      <c r="K23" s="44"/>
    </row>
    <row r="24" spans="2:11" ht="187.5" x14ac:dyDescent="0.35">
      <c r="B24" s="44"/>
      <c r="C24" s="62" t="s">
        <v>95</v>
      </c>
      <c r="D24" s="113" t="s">
        <v>207</v>
      </c>
      <c r="E24" s="113" t="s">
        <v>140</v>
      </c>
      <c r="F24" s="113" t="s">
        <v>53</v>
      </c>
      <c r="G24" s="116" t="s">
        <v>141</v>
      </c>
      <c r="H24" s="108"/>
      <c r="I24" s="208" t="s">
        <v>522</v>
      </c>
      <c r="J24" s="44"/>
      <c r="K24" s="44"/>
    </row>
    <row r="25" spans="2:11" ht="237.5" x14ac:dyDescent="0.35">
      <c r="B25" s="44"/>
      <c r="C25" s="62" t="s">
        <v>66</v>
      </c>
      <c r="D25" s="113" t="s">
        <v>207</v>
      </c>
      <c r="E25" s="113" t="s">
        <v>67</v>
      </c>
      <c r="F25" s="113" t="s">
        <v>58</v>
      </c>
      <c r="G25" s="114" t="s">
        <v>213</v>
      </c>
      <c r="H25" s="108"/>
      <c r="I25" s="208" t="s">
        <v>523</v>
      </c>
      <c r="J25" s="44"/>
      <c r="K25" s="44"/>
    </row>
    <row r="26" spans="2:11" ht="87.5" x14ac:dyDescent="0.35">
      <c r="B26" s="44"/>
      <c r="C26" s="62" t="s">
        <v>66</v>
      </c>
      <c r="D26" s="113" t="s">
        <v>207</v>
      </c>
      <c r="E26" s="113" t="s">
        <v>145</v>
      </c>
      <c r="F26" s="113" t="s">
        <v>53</v>
      </c>
      <c r="G26" s="114" t="s">
        <v>648</v>
      </c>
      <c r="H26" s="108"/>
      <c r="I26" s="213" t="s">
        <v>524</v>
      </c>
      <c r="J26" s="44"/>
      <c r="K26" s="44"/>
    </row>
    <row r="27" spans="2:11" ht="375" x14ac:dyDescent="0.35">
      <c r="B27" s="44"/>
      <c r="C27" s="62" t="s">
        <v>111</v>
      </c>
      <c r="D27" s="113" t="s">
        <v>207</v>
      </c>
      <c r="E27" s="113" t="s">
        <v>148</v>
      </c>
      <c r="F27" s="113" t="s">
        <v>53</v>
      </c>
      <c r="G27" s="114" t="s">
        <v>149</v>
      </c>
      <c r="H27" s="108"/>
      <c r="I27" s="205" t="s">
        <v>649</v>
      </c>
      <c r="J27" s="44"/>
      <c r="K27" s="44"/>
    </row>
    <row r="28" spans="2:11" ht="262.5" x14ac:dyDescent="0.35">
      <c r="B28" s="44"/>
      <c r="C28" s="62" t="s">
        <v>95</v>
      </c>
      <c r="D28" s="113" t="s">
        <v>147</v>
      </c>
      <c r="E28" s="113" t="s">
        <v>210</v>
      </c>
      <c r="F28" s="113" t="s">
        <v>53</v>
      </c>
      <c r="G28" s="114" t="s">
        <v>101</v>
      </c>
      <c r="H28" s="108"/>
      <c r="I28" s="213" t="s">
        <v>650</v>
      </c>
      <c r="J28" s="44"/>
      <c r="K28" s="44"/>
    </row>
    <row r="29" spans="2:11" ht="409.5" x14ac:dyDescent="0.35">
      <c r="B29" s="44"/>
      <c r="C29" s="62" t="s">
        <v>95</v>
      </c>
      <c r="D29" s="113" t="s">
        <v>147</v>
      </c>
      <c r="E29" s="113" t="s">
        <v>86</v>
      </c>
      <c r="F29" s="113" t="s">
        <v>53</v>
      </c>
      <c r="G29" s="114" t="s">
        <v>127</v>
      </c>
      <c r="H29" s="108"/>
      <c r="I29" s="205" t="s">
        <v>591</v>
      </c>
      <c r="J29" s="44"/>
      <c r="K29" s="44"/>
    </row>
    <row r="30" spans="2:11" ht="409.5" x14ac:dyDescent="0.35">
      <c r="B30" s="44"/>
      <c r="C30" s="62" t="s">
        <v>95</v>
      </c>
      <c r="D30" s="113" t="s">
        <v>147</v>
      </c>
      <c r="E30" s="113" t="s">
        <v>86</v>
      </c>
      <c r="F30" s="113" t="s">
        <v>53</v>
      </c>
      <c r="G30" s="114" t="s">
        <v>211</v>
      </c>
      <c r="H30" s="108"/>
      <c r="I30" s="205" t="s">
        <v>525</v>
      </c>
      <c r="J30" s="44"/>
      <c r="K30" s="44"/>
    </row>
    <row r="31" spans="2:11" ht="137.5" x14ac:dyDescent="0.35">
      <c r="B31" s="44"/>
      <c r="C31" s="62">
        <v>4</v>
      </c>
      <c r="D31" s="114" t="s">
        <v>214</v>
      </c>
      <c r="E31" s="113" t="s">
        <v>215</v>
      </c>
      <c r="F31" s="113" t="s">
        <v>53</v>
      </c>
      <c r="G31" s="119" t="s">
        <v>216</v>
      </c>
      <c r="H31" s="108"/>
      <c r="I31" s="213" t="s">
        <v>651</v>
      </c>
      <c r="J31" s="44"/>
      <c r="K31" s="44"/>
    </row>
    <row r="32" spans="2:11" ht="300" x14ac:dyDescent="0.35">
      <c r="B32" s="44"/>
      <c r="C32" s="62" t="s">
        <v>95</v>
      </c>
      <c r="D32" s="113" t="s">
        <v>207</v>
      </c>
      <c r="E32" s="113" t="s">
        <v>217</v>
      </c>
      <c r="F32" s="113" t="s">
        <v>70</v>
      </c>
      <c r="G32" s="119" t="s">
        <v>218</v>
      </c>
      <c r="H32" s="108"/>
      <c r="I32" s="213" t="s">
        <v>526</v>
      </c>
      <c r="J32" s="44"/>
      <c r="K32" s="44"/>
    </row>
    <row r="33" spans="2:11" x14ac:dyDescent="0.35">
      <c r="B33" s="44"/>
      <c r="C33" s="44"/>
      <c r="D33" s="16"/>
      <c r="E33" s="16"/>
      <c r="F33" s="16"/>
      <c r="G33" s="16"/>
      <c r="H33" s="18"/>
      <c r="I33" s="18"/>
      <c r="J33" s="140"/>
      <c r="K33" s="44"/>
    </row>
    <row r="34" spans="2:11" ht="39" customHeight="1" x14ac:dyDescent="0.35">
      <c r="B34" s="44"/>
      <c r="C34" s="44"/>
      <c r="D34" s="239" t="s">
        <v>152</v>
      </c>
      <c r="E34" s="239"/>
      <c r="F34" s="239"/>
      <c r="G34" s="239"/>
      <c r="H34" s="239"/>
      <c r="I34" s="239"/>
      <c r="J34" s="239"/>
      <c r="K34" s="44"/>
    </row>
    <row r="35" spans="2:11" ht="192.75" customHeight="1" x14ac:dyDescent="0.35">
      <c r="B35" s="44"/>
      <c r="D35" s="245"/>
      <c r="E35" s="246"/>
      <c r="F35" s="246"/>
      <c r="G35" s="246"/>
      <c r="H35" s="246"/>
      <c r="I35" s="246"/>
      <c r="J35" s="247"/>
      <c r="K35" s="44"/>
    </row>
    <row r="36" spans="2:11" s="45" customFormat="1" x14ac:dyDescent="0.35">
      <c r="B36" s="44"/>
      <c r="C36" s="44"/>
      <c r="D36" s="44"/>
      <c r="E36" s="44"/>
      <c r="F36" s="44"/>
      <c r="G36" s="44"/>
      <c r="H36" s="44"/>
      <c r="I36" s="44"/>
      <c r="J36" s="44"/>
      <c r="K36" s="44"/>
    </row>
    <row r="37" spans="2:11" s="45" customFormat="1" x14ac:dyDescent="0.35"/>
    <row r="38" spans="2:11" s="45" customFormat="1" x14ac:dyDescent="0.35"/>
    <row r="39" spans="2:11" s="45" customFormat="1" x14ac:dyDescent="0.35"/>
    <row r="40" spans="2:11" s="45" customFormat="1" x14ac:dyDescent="0.35"/>
    <row r="41" spans="2:11" s="45" customFormat="1" x14ac:dyDescent="0.35"/>
    <row r="42" spans="2:11" s="45" customFormat="1" x14ac:dyDescent="0.35"/>
    <row r="43" spans="2:11" s="45" customFormat="1" x14ac:dyDescent="0.35"/>
    <row r="44" spans="2:11" s="45" customFormat="1" x14ac:dyDescent="0.35"/>
    <row r="45" spans="2:11" s="45" customFormat="1" x14ac:dyDescent="0.35"/>
    <row r="46" spans="2:11" s="45" customFormat="1" x14ac:dyDescent="0.35"/>
    <row r="47" spans="2:11" s="45" customFormat="1" x14ac:dyDescent="0.35"/>
    <row r="48" spans="2:11" s="45" customFormat="1" x14ac:dyDescent="0.35"/>
    <row r="49" s="45" customFormat="1" x14ac:dyDescent="0.35"/>
    <row r="50" s="45" customFormat="1" x14ac:dyDescent="0.35"/>
    <row r="51" s="45" customFormat="1" x14ac:dyDescent="0.35"/>
    <row r="52" s="45" customFormat="1" x14ac:dyDescent="0.35"/>
    <row r="53" s="45" customFormat="1" x14ac:dyDescent="0.35"/>
    <row r="54" s="45" customFormat="1" x14ac:dyDescent="0.35"/>
    <row r="55" s="45" customFormat="1" x14ac:dyDescent="0.35"/>
    <row r="56" s="45" customFormat="1" x14ac:dyDescent="0.35"/>
    <row r="57" s="45" customFormat="1" x14ac:dyDescent="0.35"/>
    <row r="58" s="45" customFormat="1" x14ac:dyDescent="0.35"/>
    <row r="59" s="45" customFormat="1" x14ac:dyDescent="0.35"/>
    <row r="60" s="45" customFormat="1" x14ac:dyDescent="0.35"/>
    <row r="61" s="45" customFormat="1" x14ac:dyDescent="0.35"/>
    <row r="62" s="45" customFormat="1" x14ac:dyDescent="0.35"/>
    <row r="63" s="45" customFormat="1" x14ac:dyDescent="0.35"/>
    <row r="64" s="45" customFormat="1" x14ac:dyDescent="0.35"/>
    <row r="65" s="45" customFormat="1" x14ac:dyDescent="0.35"/>
    <row r="66" s="45" customFormat="1" x14ac:dyDescent="0.35"/>
    <row r="67" s="45" customFormat="1" x14ac:dyDescent="0.35"/>
    <row r="68" s="45" customFormat="1" x14ac:dyDescent="0.35"/>
    <row r="69" s="45" customFormat="1" x14ac:dyDescent="0.35"/>
    <row r="70" s="45" customFormat="1" x14ac:dyDescent="0.35"/>
    <row r="71" s="45" customFormat="1" x14ac:dyDescent="0.35"/>
    <row r="72" s="45" customFormat="1" x14ac:dyDescent="0.35"/>
    <row r="73" s="45" customFormat="1" x14ac:dyDescent="0.35"/>
    <row r="74" s="45" customFormat="1" x14ac:dyDescent="0.35"/>
    <row r="75" s="45" customFormat="1" x14ac:dyDescent="0.35"/>
    <row r="76" s="45" customFormat="1" x14ac:dyDescent="0.35"/>
    <row r="77" s="45" customFormat="1" x14ac:dyDescent="0.35"/>
    <row r="78" s="45" customFormat="1" x14ac:dyDescent="0.35"/>
    <row r="79" s="45" customFormat="1" x14ac:dyDescent="0.35"/>
    <row r="80" s="45" customFormat="1" x14ac:dyDescent="0.35"/>
    <row r="81" s="45" customFormat="1" x14ac:dyDescent="0.35"/>
    <row r="82" s="45" customFormat="1" x14ac:dyDescent="0.35"/>
    <row r="83" s="45" customFormat="1" x14ac:dyDescent="0.35"/>
    <row r="84" s="45" customFormat="1" x14ac:dyDescent="0.35"/>
    <row r="85" s="45" customFormat="1" x14ac:dyDescent="0.35"/>
    <row r="86" s="45" customFormat="1" x14ac:dyDescent="0.35"/>
    <row r="87" s="45" customFormat="1" x14ac:dyDescent="0.35"/>
    <row r="88" s="45" customFormat="1" x14ac:dyDescent="0.35"/>
    <row r="89" s="45" customFormat="1" x14ac:dyDescent="0.35"/>
    <row r="90" s="45" customFormat="1" x14ac:dyDescent="0.35"/>
    <row r="91" s="45" customFormat="1" x14ac:dyDescent="0.35"/>
    <row r="92" s="45" customFormat="1" x14ac:dyDescent="0.35"/>
    <row r="93" s="45" customFormat="1" x14ac:dyDescent="0.35"/>
    <row r="94" s="45" customFormat="1" x14ac:dyDescent="0.35"/>
    <row r="95" s="45" customFormat="1" x14ac:dyDescent="0.35"/>
    <row r="96" s="45" customFormat="1" x14ac:dyDescent="0.35"/>
    <row r="97" s="45" customFormat="1" x14ac:dyDescent="0.35"/>
    <row r="98" s="45" customFormat="1" x14ac:dyDescent="0.35"/>
    <row r="99" s="45" customFormat="1" x14ac:dyDescent="0.35"/>
    <row r="100" s="45" customFormat="1" x14ac:dyDescent="0.35"/>
    <row r="101" s="45" customFormat="1" x14ac:dyDescent="0.35"/>
    <row r="102" s="45" customFormat="1" x14ac:dyDescent="0.35"/>
    <row r="103" s="45" customFormat="1" x14ac:dyDescent="0.35"/>
    <row r="104" s="45" customFormat="1" x14ac:dyDescent="0.35"/>
    <row r="105" s="45" customFormat="1" x14ac:dyDescent="0.35"/>
    <row r="106" s="45" customFormat="1" x14ac:dyDescent="0.35"/>
    <row r="107" s="45" customFormat="1" x14ac:dyDescent="0.35"/>
    <row r="108" s="45" customFormat="1" x14ac:dyDescent="0.35"/>
    <row r="109" s="45" customFormat="1" x14ac:dyDescent="0.35"/>
    <row r="110" s="45" customFormat="1" x14ac:dyDescent="0.35"/>
    <row r="111" s="45" customFormat="1" x14ac:dyDescent="0.35"/>
    <row r="112" s="45" customFormat="1" x14ac:dyDescent="0.35"/>
    <row r="113" s="45" customFormat="1" x14ac:dyDescent="0.35"/>
    <row r="114" s="45" customFormat="1" x14ac:dyDescent="0.35"/>
    <row r="115" s="45" customFormat="1" x14ac:dyDescent="0.35"/>
    <row r="116" s="45" customFormat="1" x14ac:dyDescent="0.35"/>
    <row r="117" s="45" customFormat="1" x14ac:dyDescent="0.35"/>
    <row r="118" s="45" customFormat="1" x14ac:dyDescent="0.35"/>
    <row r="119" s="45" customFormat="1" x14ac:dyDescent="0.35"/>
    <row r="120" s="45" customFormat="1" x14ac:dyDescent="0.35"/>
    <row r="121" s="45" customFormat="1" x14ac:dyDescent="0.35"/>
    <row r="122" s="45" customFormat="1" x14ac:dyDescent="0.35"/>
    <row r="123" s="45" customFormat="1" x14ac:dyDescent="0.35"/>
    <row r="124" s="45" customFormat="1" x14ac:dyDescent="0.35"/>
  </sheetData>
  <mergeCells count="14">
    <mergeCell ref="B2:K2"/>
    <mergeCell ref="B3:K3"/>
    <mergeCell ref="B4:K4"/>
    <mergeCell ref="B5:K5"/>
    <mergeCell ref="B6:K6"/>
    <mergeCell ref="D34:J34"/>
    <mergeCell ref="D35:J35"/>
    <mergeCell ref="H8:H9"/>
    <mergeCell ref="I8:I9"/>
    <mergeCell ref="C8:C9"/>
    <mergeCell ref="D8:D9"/>
    <mergeCell ref="E8:E9"/>
    <mergeCell ref="F8:F9"/>
    <mergeCell ref="G8:G9"/>
  </mergeCells>
  <dataValidations count="4">
    <dataValidation type="list" allowBlank="1" showInputMessage="1" showErrorMessage="1" sqref="H28:I32" xr:uid="{096FED12-FED6-4FC0-A342-A2972F9100FC}">
      <formula1>#REF!</formula1>
    </dataValidation>
    <dataValidation type="list" allowBlank="1" showInputMessage="1" showErrorMessage="1" sqref="H24:H27" xr:uid="{36D59DA1-8019-4A0E-B390-CA02F745E126}">
      <formula1>$H$44:$H$45</formula1>
    </dataValidation>
    <dataValidation type="list" allowBlank="1" showInputMessage="1" showErrorMessage="1" sqref="H12:H21" xr:uid="{8861FB73-1BFF-4EBD-82AB-A5B2AA855553}">
      <formula1>$H$60:$H$61</formula1>
    </dataValidation>
    <dataValidation type="list" allowBlank="1" showInputMessage="1" showErrorMessage="1" sqref="H10:H11 H22:H23" xr:uid="{8AB49757-C678-4CCB-BB81-775A5B216F5D}">
      <formula1>$H$49:$H$50</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A2F5A-D3D8-4982-BFE1-C147FCEA01DE}">
  <dimension ref="A1:CP1327"/>
  <sheetViews>
    <sheetView topLeftCell="A28" zoomScale="66" zoomScaleNormal="100" workbookViewId="0">
      <selection activeCell="C33" sqref="C33:J33"/>
    </sheetView>
  </sheetViews>
  <sheetFormatPr defaultRowHeight="14.5" x14ac:dyDescent="0.35"/>
  <cols>
    <col min="1" max="1" width="9.1796875" style="45"/>
    <col min="2" max="2" width="15.1796875" customWidth="1"/>
    <col min="3" max="3" width="18.26953125" bestFit="1" customWidth="1"/>
    <col min="4" max="4" width="10.54296875" bestFit="1" customWidth="1"/>
    <col min="5" max="5" width="21.54296875" customWidth="1"/>
    <col min="6" max="6" width="10.54296875" bestFit="1" customWidth="1"/>
    <col min="7" max="7" width="56.453125" customWidth="1"/>
    <col min="8" max="8" width="51.7265625" bestFit="1" customWidth="1"/>
    <col min="9" max="9" width="146.1796875" bestFit="1" customWidth="1"/>
    <col min="10" max="10" width="13" customWidth="1"/>
    <col min="12" max="88" width="9.1796875" style="45"/>
  </cols>
  <sheetData>
    <row r="1" spans="1:94" s="45" customFormat="1" x14ac:dyDescent="0.35"/>
    <row r="2" spans="1:94" ht="20" x14ac:dyDescent="0.4">
      <c r="B2" s="241" t="s">
        <v>10</v>
      </c>
      <c r="C2" s="241"/>
      <c r="D2" s="241"/>
      <c r="E2" s="241"/>
      <c r="F2" s="241"/>
      <c r="G2" s="241"/>
      <c r="H2" s="241"/>
      <c r="I2" s="241"/>
      <c r="J2" s="241"/>
      <c r="K2" s="241"/>
      <c r="CK2" s="44"/>
      <c r="CL2" s="44"/>
      <c r="CM2" s="44"/>
      <c r="CN2" s="44"/>
      <c r="CO2" s="44"/>
      <c r="CP2" s="44"/>
    </row>
    <row r="3" spans="1:94" ht="18" x14ac:dyDescent="0.4">
      <c r="B3" s="242" t="s">
        <v>41</v>
      </c>
      <c r="C3" s="242"/>
      <c r="D3" s="242"/>
      <c r="E3" s="242"/>
      <c r="F3" s="242"/>
      <c r="G3" s="242"/>
      <c r="H3" s="242"/>
      <c r="I3" s="242"/>
      <c r="J3" s="242"/>
      <c r="K3" s="242"/>
      <c r="CK3" s="44"/>
      <c r="CL3" s="44"/>
      <c r="CM3" s="44"/>
      <c r="CN3" s="44"/>
      <c r="CO3" s="44"/>
      <c r="CP3" s="44"/>
    </row>
    <row r="4" spans="1:94" x14ac:dyDescent="0.35">
      <c r="B4" s="243" t="s">
        <v>354</v>
      </c>
      <c r="C4" s="243"/>
      <c r="D4" s="243"/>
      <c r="E4" s="243"/>
      <c r="F4" s="243"/>
      <c r="G4" s="243"/>
      <c r="H4" s="243"/>
      <c r="I4" s="243"/>
      <c r="J4" s="243"/>
      <c r="K4" s="243"/>
      <c r="CK4" s="44"/>
      <c r="CL4" s="44"/>
      <c r="CM4" s="44"/>
      <c r="CN4" s="44"/>
      <c r="CO4" s="44"/>
      <c r="CP4" s="44"/>
    </row>
    <row r="5" spans="1:94" x14ac:dyDescent="0.35">
      <c r="B5" s="244" t="s">
        <v>2</v>
      </c>
      <c r="C5" s="244"/>
      <c r="D5" s="244"/>
      <c r="E5" s="244"/>
      <c r="F5" s="244"/>
      <c r="G5" s="244"/>
      <c r="H5" s="244"/>
      <c r="I5" s="244"/>
      <c r="J5" s="244"/>
      <c r="K5" s="244"/>
      <c r="CK5" s="44"/>
      <c r="CL5" s="44"/>
      <c r="CM5" s="44"/>
      <c r="CN5" s="44"/>
      <c r="CO5" s="44"/>
      <c r="CP5" s="44"/>
    </row>
    <row r="6" spans="1:94" x14ac:dyDescent="0.35">
      <c r="B6" s="244" t="s">
        <v>12</v>
      </c>
      <c r="C6" s="244"/>
      <c r="D6" s="244"/>
      <c r="E6" s="244"/>
      <c r="F6" s="244"/>
      <c r="G6" s="244"/>
      <c r="H6" s="244"/>
      <c r="I6" s="244"/>
      <c r="J6" s="244"/>
      <c r="K6" s="244"/>
      <c r="CK6" s="44"/>
      <c r="CL6" s="44"/>
      <c r="CM6" s="44"/>
      <c r="CN6" s="44"/>
      <c r="CO6" s="44"/>
      <c r="CP6" s="44"/>
    </row>
    <row r="7" spans="1:94" s="44" customFormat="1" x14ac:dyDescent="0.35">
      <c r="A7" s="45"/>
      <c r="L7" s="45"/>
      <c r="M7" s="45"/>
      <c r="N7" s="45"/>
      <c r="O7" s="45"/>
      <c r="P7" s="45"/>
      <c r="Q7" s="45"/>
      <c r="R7" s="45"/>
      <c r="S7" s="45"/>
      <c r="T7" s="45"/>
      <c r="U7" s="45"/>
      <c r="V7" s="45"/>
      <c r="W7" s="45"/>
      <c r="X7" s="45"/>
      <c r="Y7" s="45"/>
      <c r="Z7" s="45"/>
      <c r="AA7" s="45"/>
      <c r="AB7" s="45"/>
      <c r="AC7" s="45"/>
      <c r="AD7" s="45"/>
      <c r="AE7" s="45"/>
      <c r="AF7" s="45"/>
      <c r="AG7" s="45"/>
      <c r="AH7" s="45"/>
      <c r="AI7" s="45"/>
      <c r="AJ7" s="45"/>
      <c r="AK7" s="45"/>
      <c r="AL7" s="45"/>
      <c r="AM7" s="45"/>
      <c r="AN7" s="45"/>
      <c r="AO7" s="45"/>
      <c r="AP7" s="45"/>
      <c r="AQ7" s="45"/>
      <c r="AR7" s="45"/>
      <c r="AS7" s="45"/>
      <c r="AT7" s="45"/>
      <c r="AU7" s="45"/>
      <c r="AV7" s="45"/>
      <c r="AW7" s="45"/>
      <c r="AX7" s="45"/>
      <c r="AY7" s="45"/>
      <c r="AZ7" s="45"/>
      <c r="BA7" s="45"/>
      <c r="BB7" s="45"/>
      <c r="BC7" s="45"/>
      <c r="BD7" s="45"/>
      <c r="BE7" s="45"/>
      <c r="BF7" s="45"/>
      <c r="BG7" s="45"/>
      <c r="BH7" s="45"/>
      <c r="BI7" s="45"/>
      <c r="BJ7" s="45"/>
      <c r="BK7" s="45"/>
      <c r="BL7" s="45"/>
      <c r="BM7" s="45"/>
      <c r="BN7" s="45"/>
      <c r="BO7" s="45"/>
      <c r="BP7" s="45"/>
      <c r="BQ7" s="45"/>
      <c r="BR7" s="45"/>
      <c r="BS7" s="45"/>
      <c r="BT7" s="45"/>
      <c r="BU7" s="45"/>
      <c r="BV7" s="45"/>
      <c r="BW7" s="45"/>
      <c r="BX7" s="45"/>
      <c r="BY7" s="45"/>
      <c r="BZ7" s="45"/>
      <c r="CA7" s="45"/>
      <c r="CB7" s="45"/>
      <c r="CC7" s="45"/>
      <c r="CD7" s="45"/>
      <c r="CE7" s="45"/>
      <c r="CF7" s="45"/>
      <c r="CG7" s="45"/>
      <c r="CH7" s="45"/>
      <c r="CI7" s="45"/>
      <c r="CJ7" s="45"/>
    </row>
    <row r="8" spans="1:94" x14ac:dyDescent="0.35">
      <c r="B8" s="56"/>
      <c r="C8" s="240" t="s">
        <v>42</v>
      </c>
      <c r="D8" s="240" t="s">
        <v>43</v>
      </c>
      <c r="E8" s="240" t="s">
        <v>44</v>
      </c>
      <c r="F8" s="240" t="s">
        <v>45</v>
      </c>
      <c r="G8" s="240" t="s">
        <v>46</v>
      </c>
      <c r="H8" s="240" t="s">
        <v>48</v>
      </c>
      <c r="I8" s="240" t="s">
        <v>400</v>
      </c>
      <c r="J8" s="44"/>
      <c r="K8" s="44"/>
    </row>
    <row r="9" spans="1:94" x14ac:dyDescent="0.35">
      <c r="B9" s="44"/>
      <c r="C9" s="240"/>
      <c r="D9" s="240"/>
      <c r="E9" s="240"/>
      <c r="F9" s="240"/>
      <c r="G9" s="240"/>
      <c r="H9" s="240"/>
      <c r="I9" s="240"/>
      <c r="J9" s="44"/>
      <c r="K9" s="44"/>
    </row>
    <row r="10" spans="1:94" ht="162.5" x14ac:dyDescent="0.35">
      <c r="B10" s="44"/>
      <c r="C10" s="124" t="s">
        <v>219</v>
      </c>
      <c r="D10" s="124" t="s">
        <v>51</v>
      </c>
      <c r="E10" s="124" t="s">
        <v>220</v>
      </c>
      <c r="F10" s="124" t="s">
        <v>53</v>
      </c>
      <c r="G10" s="125" t="s">
        <v>221</v>
      </c>
      <c r="H10" s="108"/>
      <c r="I10" s="115" t="s">
        <v>621</v>
      </c>
      <c r="J10" s="44"/>
      <c r="K10" s="44"/>
    </row>
    <row r="11" spans="1:94" ht="50" x14ac:dyDescent="0.35">
      <c r="B11" s="44"/>
      <c r="C11" s="62" t="s">
        <v>219</v>
      </c>
      <c r="D11" s="113" t="s">
        <v>51</v>
      </c>
      <c r="E11" s="113" t="s">
        <v>52</v>
      </c>
      <c r="F11" s="113" t="s">
        <v>53</v>
      </c>
      <c r="G11" s="126" t="s">
        <v>222</v>
      </c>
      <c r="H11" s="108"/>
      <c r="I11" s="115" t="s">
        <v>527</v>
      </c>
      <c r="J11" s="44"/>
      <c r="K11" s="44"/>
    </row>
    <row r="12" spans="1:94" ht="100" x14ac:dyDescent="0.35">
      <c r="B12" s="44"/>
      <c r="C12" s="62" t="s">
        <v>219</v>
      </c>
      <c r="D12" s="113" t="s">
        <v>51</v>
      </c>
      <c r="E12" s="113" t="s">
        <v>223</v>
      </c>
      <c r="F12" s="113" t="s">
        <v>53</v>
      </c>
      <c r="G12" s="126" t="s">
        <v>224</v>
      </c>
      <c r="H12" s="108"/>
      <c r="I12" s="200" t="s">
        <v>528</v>
      </c>
      <c r="J12" s="44"/>
      <c r="K12" s="44"/>
    </row>
    <row r="13" spans="1:94" ht="62.5" x14ac:dyDescent="0.35">
      <c r="B13" s="44"/>
      <c r="C13" s="62" t="s">
        <v>219</v>
      </c>
      <c r="D13" s="113" t="s">
        <v>225</v>
      </c>
      <c r="E13" s="113" t="s">
        <v>226</v>
      </c>
      <c r="F13" s="113" t="s">
        <v>53</v>
      </c>
      <c r="G13" s="116" t="s">
        <v>227</v>
      </c>
      <c r="H13" s="108"/>
      <c r="I13" s="208" t="s">
        <v>619</v>
      </c>
      <c r="J13" s="44"/>
      <c r="K13" s="44"/>
    </row>
    <row r="14" spans="1:94" ht="50" x14ac:dyDescent="0.35">
      <c r="B14" s="44"/>
      <c r="C14" s="62" t="s">
        <v>219</v>
      </c>
      <c r="D14" s="113" t="s">
        <v>51</v>
      </c>
      <c r="E14" s="113" t="s">
        <v>228</v>
      </c>
      <c r="F14" s="113" t="s">
        <v>53</v>
      </c>
      <c r="G14" s="116" t="s">
        <v>229</v>
      </c>
      <c r="H14" s="108"/>
      <c r="I14" s="115" t="s">
        <v>529</v>
      </c>
      <c r="J14" s="44"/>
      <c r="K14" s="44"/>
    </row>
    <row r="15" spans="1:94" ht="150" x14ac:dyDescent="0.35">
      <c r="B15" s="44"/>
      <c r="C15" s="62" t="s">
        <v>219</v>
      </c>
      <c r="D15" s="113" t="s">
        <v>51</v>
      </c>
      <c r="E15" s="113" t="s">
        <v>67</v>
      </c>
      <c r="F15" s="113" t="s">
        <v>58</v>
      </c>
      <c r="G15" s="114" t="s">
        <v>230</v>
      </c>
      <c r="H15" s="108"/>
      <c r="I15" s="200" t="s">
        <v>441</v>
      </c>
      <c r="J15" s="44"/>
      <c r="K15" s="44"/>
    </row>
    <row r="16" spans="1:94" ht="50" x14ac:dyDescent="0.35">
      <c r="B16" s="44"/>
      <c r="C16" s="62" t="s">
        <v>219</v>
      </c>
      <c r="D16" s="113" t="s">
        <v>153</v>
      </c>
      <c r="E16" s="113" t="s">
        <v>231</v>
      </c>
      <c r="F16" s="113" t="s">
        <v>53</v>
      </c>
      <c r="G16" s="116" t="s">
        <v>232</v>
      </c>
      <c r="H16" s="108"/>
      <c r="I16" s="115" t="s">
        <v>530</v>
      </c>
      <c r="J16" s="44"/>
      <c r="K16" s="44"/>
    </row>
    <row r="17" spans="1:94" ht="100" x14ac:dyDescent="0.35">
      <c r="B17" s="44"/>
      <c r="C17" s="62" t="s">
        <v>219</v>
      </c>
      <c r="D17" s="113" t="s">
        <v>153</v>
      </c>
      <c r="E17" s="113" t="s">
        <v>89</v>
      </c>
      <c r="F17" s="113" t="s">
        <v>58</v>
      </c>
      <c r="G17" s="114" t="s">
        <v>233</v>
      </c>
      <c r="H17" s="108"/>
      <c r="I17" s="115" t="s">
        <v>531</v>
      </c>
      <c r="J17" s="44"/>
      <c r="K17" s="44"/>
    </row>
    <row r="18" spans="1:94" ht="87.5" x14ac:dyDescent="0.35">
      <c r="B18" s="44"/>
      <c r="C18" s="62" t="s">
        <v>219</v>
      </c>
      <c r="D18" s="113" t="s">
        <v>153</v>
      </c>
      <c r="E18" s="113" t="s">
        <v>91</v>
      </c>
      <c r="F18" s="113" t="s">
        <v>53</v>
      </c>
      <c r="G18" s="114" t="s">
        <v>234</v>
      </c>
      <c r="H18" s="108"/>
      <c r="I18" s="115" t="s">
        <v>532</v>
      </c>
      <c r="J18" s="44"/>
      <c r="K18" s="44"/>
    </row>
    <row r="19" spans="1:94" ht="25" x14ac:dyDescent="0.35">
      <c r="B19" s="44"/>
      <c r="C19" s="62" t="s">
        <v>219</v>
      </c>
      <c r="D19" s="113" t="s">
        <v>153</v>
      </c>
      <c r="E19" s="113" t="s">
        <v>154</v>
      </c>
      <c r="F19" s="113" t="s">
        <v>58</v>
      </c>
      <c r="G19" s="114" t="s">
        <v>155</v>
      </c>
      <c r="H19" s="108"/>
      <c r="I19" s="115" t="s">
        <v>533</v>
      </c>
      <c r="J19" s="44"/>
      <c r="K19" s="44"/>
    </row>
    <row r="20" spans="1:94" ht="37.5" x14ac:dyDescent="0.35">
      <c r="B20" s="44"/>
      <c r="C20" s="62" t="s">
        <v>219</v>
      </c>
      <c r="D20" s="113" t="s">
        <v>51</v>
      </c>
      <c r="E20" s="113" t="s">
        <v>124</v>
      </c>
      <c r="F20" s="113" t="s">
        <v>58</v>
      </c>
      <c r="G20" s="114" t="s">
        <v>125</v>
      </c>
      <c r="H20" s="108"/>
      <c r="I20" s="200" t="s">
        <v>459</v>
      </c>
      <c r="J20" s="44"/>
      <c r="K20" s="44"/>
    </row>
    <row r="21" spans="1:94" ht="150" x14ac:dyDescent="0.35">
      <c r="B21" s="44"/>
      <c r="C21" s="62" t="s">
        <v>219</v>
      </c>
      <c r="D21" s="113" t="s">
        <v>153</v>
      </c>
      <c r="E21" s="113" t="s">
        <v>165</v>
      </c>
      <c r="F21" s="113" t="s">
        <v>53</v>
      </c>
      <c r="G21" s="114" t="s">
        <v>235</v>
      </c>
      <c r="H21" s="108"/>
      <c r="I21" s="115" t="s">
        <v>534</v>
      </c>
      <c r="J21" s="44"/>
      <c r="K21" s="44"/>
    </row>
    <row r="22" spans="1:94" ht="25" x14ac:dyDescent="0.35">
      <c r="B22" s="44"/>
      <c r="C22" s="62" t="s">
        <v>219</v>
      </c>
      <c r="D22" s="113" t="s">
        <v>153</v>
      </c>
      <c r="E22" s="113" t="s">
        <v>154</v>
      </c>
      <c r="F22" s="113" t="s">
        <v>58</v>
      </c>
      <c r="G22" s="114" t="s">
        <v>171</v>
      </c>
      <c r="H22" s="108"/>
      <c r="I22" s="115" t="s">
        <v>535</v>
      </c>
      <c r="J22" s="44"/>
      <c r="K22" s="44"/>
    </row>
    <row r="23" spans="1:94" ht="50" x14ac:dyDescent="0.35">
      <c r="B23" s="44"/>
      <c r="C23" s="62" t="s">
        <v>219</v>
      </c>
      <c r="D23" s="113" t="s">
        <v>153</v>
      </c>
      <c r="E23" s="113" t="s">
        <v>172</v>
      </c>
      <c r="F23" s="113" t="s">
        <v>53</v>
      </c>
      <c r="G23" s="114" t="s">
        <v>236</v>
      </c>
      <c r="H23" s="108"/>
      <c r="I23" s="115" t="s">
        <v>536</v>
      </c>
      <c r="J23" s="44"/>
      <c r="K23" s="44"/>
    </row>
    <row r="24" spans="1:94" ht="112.5" x14ac:dyDescent="0.35">
      <c r="B24" s="44"/>
      <c r="C24" s="128" t="s">
        <v>219</v>
      </c>
      <c r="D24" s="117" t="s">
        <v>153</v>
      </c>
      <c r="E24" s="117" t="s">
        <v>237</v>
      </c>
      <c r="F24" s="117" t="s">
        <v>53</v>
      </c>
      <c r="G24" s="116" t="s">
        <v>238</v>
      </c>
      <c r="H24" s="129"/>
      <c r="I24" s="115" t="s">
        <v>537</v>
      </c>
      <c r="J24" s="44"/>
      <c r="K24" s="44"/>
    </row>
    <row r="25" spans="1:94" x14ac:dyDescent="0.35">
      <c r="B25" s="44"/>
      <c r="C25" s="142"/>
      <c r="D25" s="142"/>
      <c r="E25" s="142"/>
      <c r="F25" s="142"/>
      <c r="G25" s="142"/>
      <c r="H25" s="142"/>
      <c r="I25" s="142"/>
      <c r="J25" s="142"/>
      <c r="K25" s="142"/>
      <c r="L25" s="141"/>
      <c r="M25" s="141"/>
      <c r="N25" s="141"/>
      <c r="O25" s="141"/>
      <c r="P25" s="141"/>
      <c r="Q25" s="141"/>
      <c r="R25" s="141"/>
      <c r="S25" s="141"/>
      <c r="T25" s="141"/>
      <c r="U25" s="141"/>
    </row>
    <row r="26" spans="1:94" ht="14.5" customHeight="1" x14ac:dyDescent="0.35">
      <c r="B26" s="44"/>
      <c r="C26" s="254" t="s">
        <v>151</v>
      </c>
      <c r="D26" s="254"/>
      <c r="E26" s="254"/>
      <c r="F26" s="254"/>
      <c r="G26" s="254"/>
      <c r="H26" s="254"/>
      <c r="I26" s="254"/>
      <c r="J26" s="254"/>
      <c r="K26" s="44"/>
    </row>
    <row r="27" spans="1:94" ht="111" customHeight="1" x14ac:dyDescent="0.35">
      <c r="B27" s="44"/>
      <c r="C27" s="245" t="s">
        <v>652</v>
      </c>
      <c r="D27" s="246"/>
      <c r="E27" s="246"/>
      <c r="F27" s="246"/>
      <c r="G27" s="246"/>
      <c r="H27" s="246"/>
      <c r="I27" s="246"/>
      <c r="J27" s="247"/>
      <c r="K27" s="44"/>
    </row>
    <row r="28" spans="1:94" x14ac:dyDescent="0.35">
      <c r="B28" s="44"/>
      <c r="C28" s="44"/>
      <c r="D28" s="16"/>
      <c r="E28" s="16"/>
      <c r="F28" s="16"/>
      <c r="G28" s="16"/>
      <c r="H28" s="18"/>
      <c r="I28" s="18"/>
      <c r="J28" s="17"/>
      <c r="K28" s="44"/>
    </row>
    <row r="29" spans="1:94" ht="14.5" customHeight="1" x14ac:dyDescent="0.35">
      <c r="B29" s="44"/>
      <c r="C29" s="250" t="s">
        <v>152</v>
      </c>
      <c r="D29" s="250"/>
      <c r="E29" s="250"/>
      <c r="F29" s="250"/>
      <c r="G29" s="250"/>
      <c r="H29" s="250"/>
      <c r="I29" s="250"/>
      <c r="J29" s="250"/>
      <c r="K29" s="44"/>
    </row>
    <row r="30" spans="1:94" ht="128.25" customHeight="1" x14ac:dyDescent="0.35">
      <c r="B30" s="44"/>
      <c r="C30" s="251"/>
      <c r="D30" s="252"/>
      <c r="E30" s="252"/>
      <c r="F30" s="252"/>
      <c r="G30" s="252"/>
      <c r="H30" s="252"/>
      <c r="I30" s="252"/>
      <c r="J30" s="253"/>
      <c r="K30" s="44"/>
    </row>
    <row r="31" spans="1:94" s="44" customFormat="1" x14ac:dyDescent="0.35">
      <c r="A31" s="45"/>
      <c r="G31" s="143"/>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5"/>
      <c r="AU31" s="45"/>
      <c r="AV31" s="45"/>
      <c r="AW31" s="45"/>
      <c r="AX31" s="45"/>
      <c r="AY31" s="45"/>
      <c r="AZ31" s="45"/>
      <c r="BA31" s="45"/>
      <c r="BB31" s="45"/>
      <c r="BC31" s="45"/>
      <c r="BD31" s="45"/>
      <c r="BE31" s="45"/>
      <c r="BF31" s="45"/>
      <c r="BG31" s="45"/>
      <c r="BH31" s="45"/>
      <c r="BI31" s="45"/>
      <c r="BJ31" s="45"/>
      <c r="BK31" s="45"/>
      <c r="BL31" s="45"/>
      <c r="BM31" s="45"/>
      <c r="BN31" s="45"/>
      <c r="BO31" s="45"/>
      <c r="BP31" s="45"/>
      <c r="BQ31" s="45"/>
      <c r="BR31" s="45"/>
      <c r="BS31" s="45"/>
      <c r="BT31" s="45"/>
      <c r="BU31" s="45"/>
      <c r="BV31" s="45"/>
      <c r="BW31" s="45"/>
      <c r="BX31" s="45"/>
      <c r="BY31" s="45"/>
      <c r="BZ31" s="45"/>
      <c r="CA31" s="45"/>
      <c r="CB31" s="45"/>
      <c r="CC31" s="45"/>
      <c r="CD31" s="45"/>
      <c r="CE31" s="45"/>
      <c r="CF31" s="45"/>
      <c r="CG31" s="45"/>
      <c r="CH31" s="45"/>
      <c r="CI31" s="45"/>
      <c r="CJ31" s="45"/>
      <c r="CK31" s="45"/>
      <c r="CL31" s="45"/>
      <c r="CM31" s="45"/>
      <c r="CN31" s="45"/>
      <c r="CO31" s="45"/>
      <c r="CP31" s="45"/>
    </row>
    <row r="32" spans="1:94" s="44" customFormat="1" ht="14.5" customHeight="1" x14ac:dyDescent="0.35">
      <c r="A32" s="45"/>
      <c r="C32" s="250" t="s">
        <v>423</v>
      </c>
      <c r="D32" s="250"/>
      <c r="E32" s="250"/>
      <c r="F32" s="250"/>
      <c r="G32" s="250"/>
      <c r="H32" s="250"/>
      <c r="I32" s="250"/>
      <c r="J32" s="250"/>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c r="BC32" s="45"/>
      <c r="BD32" s="45"/>
      <c r="BE32" s="45"/>
      <c r="BF32" s="45"/>
      <c r="BG32" s="45"/>
      <c r="BH32" s="45"/>
      <c r="BI32" s="45"/>
      <c r="BJ32" s="45"/>
      <c r="BK32" s="45"/>
      <c r="BL32" s="45"/>
      <c r="BM32" s="45"/>
      <c r="BN32" s="45"/>
      <c r="BO32" s="45"/>
      <c r="BP32" s="45"/>
      <c r="BQ32" s="45"/>
      <c r="BR32" s="45"/>
      <c r="BS32" s="45"/>
      <c r="BT32" s="45"/>
      <c r="BU32" s="45"/>
      <c r="BV32" s="45"/>
      <c r="BW32" s="45"/>
      <c r="BX32" s="45"/>
      <c r="BY32" s="45"/>
      <c r="BZ32" s="45"/>
      <c r="CA32" s="45"/>
      <c r="CB32" s="45"/>
      <c r="CC32" s="45"/>
      <c r="CD32" s="45"/>
      <c r="CE32" s="45"/>
      <c r="CF32" s="45"/>
      <c r="CG32" s="45"/>
      <c r="CH32" s="45"/>
      <c r="CI32" s="45"/>
      <c r="CJ32" s="45"/>
      <c r="CK32" s="45"/>
      <c r="CL32" s="45"/>
      <c r="CM32" s="45"/>
      <c r="CN32" s="45"/>
      <c r="CO32" s="45"/>
      <c r="CP32" s="45"/>
    </row>
    <row r="33" spans="1:94" s="44" customFormat="1" ht="47" customHeight="1" x14ac:dyDescent="0.35">
      <c r="A33" s="45"/>
      <c r="C33" s="245" t="s">
        <v>653</v>
      </c>
      <c r="D33" s="246"/>
      <c r="E33" s="246"/>
      <c r="F33" s="246"/>
      <c r="G33" s="246"/>
      <c r="H33" s="246"/>
      <c r="I33" s="246"/>
      <c r="J33" s="247"/>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c r="AL33" s="45"/>
      <c r="AM33" s="45"/>
      <c r="AN33" s="45"/>
      <c r="AO33" s="45"/>
      <c r="AP33" s="45"/>
      <c r="AQ33" s="45"/>
      <c r="AR33" s="45"/>
      <c r="AS33" s="45"/>
      <c r="AT33" s="45"/>
      <c r="AU33" s="45"/>
      <c r="AV33" s="45"/>
      <c r="AW33" s="45"/>
      <c r="AX33" s="45"/>
      <c r="AY33" s="45"/>
      <c r="AZ33" s="45"/>
      <c r="BA33" s="45"/>
      <c r="BB33" s="45"/>
      <c r="BC33" s="45"/>
      <c r="BD33" s="45"/>
      <c r="BE33" s="45"/>
      <c r="BF33" s="45"/>
      <c r="BG33" s="45"/>
      <c r="BH33" s="45"/>
      <c r="BI33" s="45"/>
      <c r="BJ33" s="45"/>
      <c r="BK33" s="45"/>
      <c r="BL33" s="45"/>
      <c r="BM33" s="45"/>
      <c r="BN33" s="45"/>
      <c r="BO33" s="45"/>
      <c r="BP33" s="45"/>
      <c r="BQ33" s="45"/>
      <c r="BR33" s="45"/>
      <c r="BS33" s="45"/>
      <c r="BT33" s="45"/>
      <c r="BU33" s="45"/>
      <c r="BV33" s="45"/>
      <c r="BW33" s="45"/>
      <c r="BX33" s="45"/>
      <c r="BY33" s="45"/>
      <c r="BZ33" s="45"/>
      <c r="CA33" s="45"/>
      <c r="CB33" s="45"/>
      <c r="CC33" s="45"/>
      <c r="CD33" s="45"/>
      <c r="CE33" s="45"/>
      <c r="CF33" s="45"/>
      <c r="CG33" s="45"/>
      <c r="CH33" s="45"/>
      <c r="CI33" s="45"/>
      <c r="CJ33" s="45"/>
      <c r="CK33" s="45"/>
      <c r="CL33" s="45"/>
      <c r="CM33" s="45"/>
      <c r="CN33" s="45"/>
      <c r="CO33" s="45"/>
      <c r="CP33" s="45"/>
    </row>
    <row r="34" spans="1:94" s="44" customFormat="1" x14ac:dyDescent="0.35">
      <c r="A34" s="45"/>
      <c r="G34" s="143"/>
      <c r="L34" s="45"/>
      <c r="M34" s="45"/>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c r="AN34" s="45"/>
      <c r="AO34" s="45"/>
      <c r="AP34" s="45"/>
      <c r="AQ34" s="45"/>
      <c r="AR34" s="45"/>
      <c r="AS34" s="45"/>
      <c r="AT34" s="45"/>
      <c r="AU34" s="45"/>
      <c r="AV34" s="45"/>
      <c r="AW34" s="45"/>
      <c r="AX34" s="45"/>
      <c r="AY34" s="45"/>
      <c r="AZ34" s="45"/>
      <c r="BA34" s="45"/>
      <c r="BB34" s="45"/>
      <c r="BC34" s="45"/>
      <c r="BD34" s="45"/>
      <c r="BE34" s="45"/>
      <c r="BF34" s="45"/>
      <c r="BG34" s="45"/>
      <c r="BH34" s="45"/>
      <c r="BI34" s="45"/>
      <c r="BJ34" s="45"/>
      <c r="BK34" s="45"/>
      <c r="BL34" s="45"/>
      <c r="BM34" s="45"/>
      <c r="BN34" s="45"/>
      <c r="BO34" s="45"/>
      <c r="BP34" s="45"/>
      <c r="BQ34" s="45"/>
      <c r="BR34" s="45"/>
      <c r="BS34" s="45"/>
      <c r="BT34" s="45"/>
      <c r="BU34" s="45"/>
      <c r="BV34" s="45"/>
      <c r="BW34" s="45"/>
      <c r="BX34" s="45"/>
      <c r="BY34" s="45"/>
      <c r="BZ34" s="45"/>
      <c r="CA34" s="45"/>
      <c r="CB34" s="45"/>
      <c r="CC34" s="45"/>
      <c r="CD34" s="45"/>
      <c r="CE34" s="45"/>
      <c r="CF34" s="45"/>
      <c r="CG34" s="45"/>
      <c r="CH34" s="45"/>
      <c r="CI34" s="45"/>
      <c r="CJ34" s="45"/>
      <c r="CK34" s="45"/>
      <c r="CL34" s="45"/>
      <c r="CM34" s="45"/>
      <c r="CN34" s="45"/>
      <c r="CO34" s="45"/>
      <c r="CP34" s="45"/>
    </row>
    <row r="35" spans="1:94" s="45" customFormat="1" x14ac:dyDescent="0.35">
      <c r="G35" s="144"/>
    </row>
    <row r="36" spans="1:94" s="45" customFormat="1" x14ac:dyDescent="0.35"/>
    <row r="37" spans="1:94" s="45" customFormat="1" x14ac:dyDescent="0.35"/>
    <row r="38" spans="1:94" s="45" customFormat="1" x14ac:dyDescent="0.35"/>
    <row r="39" spans="1:94" s="45" customFormat="1" x14ac:dyDescent="0.35"/>
    <row r="40" spans="1:94" s="45" customFormat="1" x14ac:dyDescent="0.35"/>
    <row r="41" spans="1:94" s="45" customFormat="1" x14ac:dyDescent="0.35"/>
    <row r="42" spans="1:94" s="45" customFormat="1" x14ac:dyDescent="0.35"/>
    <row r="43" spans="1:94" s="45" customFormat="1" x14ac:dyDescent="0.35"/>
    <row r="44" spans="1:94" s="45" customFormat="1" x14ac:dyDescent="0.35"/>
    <row r="45" spans="1:94" s="45" customFormat="1" x14ac:dyDescent="0.35"/>
    <row r="46" spans="1:94" s="45" customFormat="1" x14ac:dyDescent="0.35"/>
    <row r="47" spans="1:94" s="45" customFormat="1" x14ac:dyDescent="0.35"/>
    <row r="48" spans="1:94" s="45" customFormat="1" x14ac:dyDescent="0.35"/>
    <row r="49" s="45" customFormat="1" x14ac:dyDescent="0.35"/>
    <row r="50" s="45" customFormat="1" x14ac:dyDescent="0.35"/>
    <row r="51" s="45" customFormat="1" x14ac:dyDescent="0.35"/>
    <row r="52" s="45" customFormat="1" x14ac:dyDescent="0.35"/>
    <row r="53" s="45" customFormat="1" x14ac:dyDescent="0.35"/>
    <row r="54" s="45" customFormat="1" x14ac:dyDescent="0.35"/>
    <row r="55" s="45" customFormat="1" x14ac:dyDescent="0.35"/>
    <row r="56" s="45" customFormat="1" x14ac:dyDescent="0.35"/>
    <row r="57" s="45" customFormat="1" x14ac:dyDescent="0.35"/>
    <row r="58" s="45" customFormat="1" x14ac:dyDescent="0.35"/>
    <row r="59" s="45" customFormat="1" x14ac:dyDescent="0.35"/>
    <row r="60" s="45" customFormat="1" x14ac:dyDescent="0.35"/>
    <row r="61" s="45" customFormat="1" x14ac:dyDescent="0.35"/>
    <row r="62" s="45" customFormat="1" x14ac:dyDescent="0.35"/>
    <row r="63" s="45" customFormat="1" x14ac:dyDescent="0.35"/>
    <row r="64" s="45" customFormat="1" x14ac:dyDescent="0.35"/>
    <row r="65" s="45" customFormat="1" x14ac:dyDescent="0.35"/>
    <row r="66" s="45" customFormat="1" x14ac:dyDescent="0.35"/>
    <row r="67" s="45" customFormat="1" x14ac:dyDescent="0.35"/>
    <row r="68" s="45" customFormat="1" x14ac:dyDescent="0.35"/>
    <row r="69" s="45" customFormat="1" x14ac:dyDescent="0.35"/>
    <row r="70" s="45" customFormat="1" x14ac:dyDescent="0.35"/>
    <row r="71" s="45" customFormat="1" x14ac:dyDescent="0.35"/>
    <row r="72" s="45" customFormat="1" x14ac:dyDescent="0.35"/>
    <row r="73" s="45" customFormat="1" x14ac:dyDescent="0.35"/>
    <row r="74" s="45" customFormat="1" x14ac:dyDescent="0.35"/>
    <row r="75" s="45" customFormat="1" x14ac:dyDescent="0.35"/>
    <row r="76" s="45" customFormat="1" x14ac:dyDescent="0.35"/>
    <row r="77" s="45" customFormat="1" x14ac:dyDescent="0.35"/>
    <row r="78" s="45" customFormat="1" x14ac:dyDescent="0.35"/>
    <row r="79" s="45" customFormat="1" x14ac:dyDescent="0.35"/>
    <row r="80" s="45" customFormat="1" x14ac:dyDescent="0.35"/>
    <row r="81" s="45" customFormat="1" x14ac:dyDescent="0.35"/>
    <row r="82" s="45" customFormat="1" x14ac:dyDescent="0.35"/>
    <row r="83" s="45" customFormat="1" x14ac:dyDescent="0.35"/>
    <row r="84" s="45" customFormat="1" x14ac:dyDescent="0.35"/>
    <row r="85" s="45" customFormat="1" x14ac:dyDescent="0.35"/>
    <row r="86" s="45" customFormat="1" x14ac:dyDescent="0.35"/>
    <row r="87" s="45" customFormat="1" x14ac:dyDescent="0.35"/>
    <row r="88" s="45" customFormat="1" x14ac:dyDescent="0.35"/>
    <row r="89" s="45" customFormat="1" x14ac:dyDescent="0.35"/>
    <row r="90" s="45" customFormat="1" x14ac:dyDescent="0.35"/>
    <row r="91" s="45" customFormat="1" x14ac:dyDescent="0.35"/>
    <row r="92" s="45" customFormat="1" x14ac:dyDescent="0.35"/>
    <row r="93" s="45" customFormat="1" x14ac:dyDescent="0.35"/>
    <row r="94" s="45" customFormat="1" x14ac:dyDescent="0.35"/>
    <row r="95" s="45" customFormat="1" x14ac:dyDescent="0.35"/>
    <row r="96" s="45" customFormat="1" x14ac:dyDescent="0.35"/>
    <row r="97" s="45" customFormat="1" x14ac:dyDescent="0.35"/>
    <row r="98" s="45" customFormat="1" x14ac:dyDescent="0.35"/>
    <row r="99" s="45" customFormat="1" x14ac:dyDescent="0.35"/>
    <row r="100" s="45" customFormat="1" x14ac:dyDescent="0.35"/>
    <row r="101" s="45" customFormat="1" x14ac:dyDescent="0.35"/>
    <row r="102" s="45" customFormat="1" x14ac:dyDescent="0.35"/>
    <row r="103" s="45" customFormat="1" x14ac:dyDescent="0.35"/>
    <row r="104" s="45" customFormat="1" x14ac:dyDescent="0.35"/>
    <row r="105" s="45" customFormat="1" x14ac:dyDescent="0.35"/>
    <row r="106" s="45" customFormat="1" x14ac:dyDescent="0.35"/>
    <row r="107" s="45" customFormat="1" x14ac:dyDescent="0.35"/>
    <row r="108" s="45" customFormat="1" x14ac:dyDescent="0.35"/>
    <row r="109" s="45" customFormat="1" x14ac:dyDescent="0.35"/>
    <row r="110" s="45" customFormat="1" x14ac:dyDescent="0.35"/>
    <row r="111" s="45" customFormat="1" x14ac:dyDescent="0.35"/>
    <row r="112" s="45" customFormat="1" x14ac:dyDescent="0.35"/>
    <row r="113" s="45" customFormat="1" x14ac:dyDescent="0.35"/>
    <row r="114" s="45" customFormat="1" x14ac:dyDescent="0.35"/>
    <row r="115" s="45" customFormat="1" x14ac:dyDescent="0.35"/>
    <row r="116" s="45" customFormat="1" x14ac:dyDescent="0.35"/>
    <row r="117" s="45" customFormat="1" x14ac:dyDescent="0.35"/>
    <row r="118" s="45" customFormat="1" x14ac:dyDescent="0.35"/>
    <row r="119" s="45" customFormat="1" x14ac:dyDescent="0.35"/>
    <row r="120" s="45" customFormat="1" x14ac:dyDescent="0.35"/>
    <row r="121" s="45" customFormat="1" x14ac:dyDescent="0.35"/>
    <row r="122" s="45" customFormat="1" x14ac:dyDescent="0.35"/>
    <row r="123" s="45" customFormat="1" x14ac:dyDescent="0.35"/>
    <row r="124" s="45" customFormat="1" x14ac:dyDescent="0.35"/>
    <row r="125" s="45" customFormat="1" x14ac:dyDescent="0.35"/>
    <row r="126" s="45" customFormat="1" x14ac:dyDescent="0.35"/>
    <row r="127" s="45" customFormat="1" x14ac:dyDescent="0.35"/>
    <row r="128" s="45" customFormat="1" x14ac:dyDescent="0.35"/>
    <row r="129" s="45" customFormat="1" x14ac:dyDescent="0.35"/>
    <row r="130" s="45" customFormat="1" x14ac:dyDescent="0.35"/>
    <row r="131" s="45" customFormat="1" x14ac:dyDescent="0.35"/>
    <row r="132" s="45" customFormat="1" x14ac:dyDescent="0.35"/>
    <row r="133" s="45" customFormat="1" x14ac:dyDescent="0.35"/>
    <row r="134" s="45" customFormat="1" x14ac:dyDescent="0.35"/>
    <row r="135" s="45" customFormat="1" x14ac:dyDescent="0.35"/>
    <row r="136" s="45" customFormat="1" x14ac:dyDescent="0.35"/>
    <row r="137" s="45" customFormat="1" x14ac:dyDescent="0.35"/>
    <row r="138" s="45" customFormat="1" x14ac:dyDescent="0.35"/>
    <row r="139" s="45" customFormat="1" x14ac:dyDescent="0.35"/>
    <row r="140" s="45" customFormat="1" x14ac:dyDescent="0.35"/>
    <row r="141" s="45" customFormat="1" x14ac:dyDescent="0.35"/>
    <row r="142" s="45" customFormat="1" x14ac:dyDescent="0.35"/>
    <row r="143" s="45" customFormat="1" x14ac:dyDescent="0.35"/>
    <row r="144" s="45" customFormat="1" x14ac:dyDescent="0.35"/>
    <row r="145" s="45" customFormat="1" x14ac:dyDescent="0.35"/>
    <row r="146" s="45" customFormat="1" x14ac:dyDescent="0.35"/>
    <row r="147" s="45" customFormat="1" x14ac:dyDescent="0.35"/>
    <row r="148" s="45" customFormat="1" x14ac:dyDescent="0.35"/>
    <row r="149" s="45" customFormat="1" x14ac:dyDescent="0.35"/>
    <row r="150" s="45" customFormat="1" x14ac:dyDescent="0.35"/>
    <row r="151" s="45" customFormat="1" x14ac:dyDescent="0.35"/>
    <row r="152" s="45" customFormat="1" x14ac:dyDescent="0.35"/>
    <row r="153" s="45" customFormat="1" x14ac:dyDescent="0.35"/>
    <row r="154" s="45" customFormat="1" x14ac:dyDescent="0.35"/>
    <row r="155" s="45" customFormat="1" x14ac:dyDescent="0.35"/>
    <row r="156" s="45" customFormat="1" x14ac:dyDescent="0.35"/>
    <row r="157" s="45" customFormat="1" x14ac:dyDescent="0.35"/>
    <row r="158" s="45" customFormat="1" x14ac:dyDescent="0.35"/>
    <row r="159" s="45" customFormat="1" x14ac:dyDescent="0.35"/>
    <row r="160" s="45" customFormat="1" x14ac:dyDescent="0.35"/>
    <row r="161" s="45" customFormat="1" x14ac:dyDescent="0.35"/>
    <row r="162" s="45" customFormat="1" x14ac:dyDescent="0.35"/>
    <row r="163" s="45" customFormat="1" x14ac:dyDescent="0.35"/>
    <row r="164" s="45" customFormat="1" x14ac:dyDescent="0.35"/>
    <row r="165" s="45" customFormat="1" x14ac:dyDescent="0.35"/>
    <row r="166" s="45" customFormat="1" x14ac:dyDescent="0.35"/>
    <row r="167" s="45" customFormat="1" x14ac:dyDescent="0.35"/>
    <row r="168" s="45" customFormat="1" x14ac:dyDescent="0.35"/>
    <row r="169" s="45" customFormat="1" x14ac:dyDescent="0.35"/>
    <row r="170" s="45" customFormat="1" x14ac:dyDescent="0.35"/>
    <row r="171" s="45" customFormat="1" x14ac:dyDescent="0.35"/>
    <row r="172" s="45" customFormat="1" x14ac:dyDescent="0.35"/>
    <row r="173" s="45" customFormat="1" x14ac:dyDescent="0.35"/>
    <row r="174" s="45" customFormat="1" x14ac:dyDescent="0.35"/>
    <row r="175" s="45" customFormat="1" x14ac:dyDescent="0.35"/>
    <row r="176" s="45" customFormat="1" x14ac:dyDescent="0.35"/>
    <row r="177" s="45" customFormat="1" x14ac:dyDescent="0.35"/>
    <row r="178" s="45" customFormat="1" x14ac:dyDescent="0.35"/>
    <row r="179" s="45" customFormat="1" x14ac:dyDescent="0.35"/>
    <row r="180" s="45" customFormat="1" x14ac:dyDescent="0.35"/>
    <row r="181" s="45" customFormat="1" x14ac:dyDescent="0.35"/>
    <row r="182" s="45" customFormat="1" x14ac:dyDescent="0.35"/>
    <row r="183" s="45" customFormat="1" x14ac:dyDescent="0.35"/>
    <row r="184" s="45" customFormat="1" x14ac:dyDescent="0.35"/>
    <row r="185" s="45" customFormat="1" x14ac:dyDescent="0.35"/>
    <row r="186" s="45" customFormat="1" x14ac:dyDescent="0.35"/>
    <row r="187" s="45" customFormat="1" x14ac:dyDescent="0.35"/>
    <row r="188" s="45" customFormat="1" x14ac:dyDescent="0.35"/>
    <row r="189" s="45" customFormat="1" x14ac:dyDescent="0.35"/>
    <row r="190" s="45" customFormat="1" x14ac:dyDescent="0.35"/>
    <row r="191" s="45" customFormat="1" x14ac:dyDescent="0.35"/>
    <row r="192" s="45" customFormat="1" x14ac:dyDescent="0.35"/>
    <row r="193" s="45" customFormat="1" x14ac:dyDescent="0.35"/>
    <row r="194" s="45" customFormat="1" x14ac:dyDescent="0.35"/>
    <row r="195" s="45" customFormat="1" x14ac:dyDescent="0.35"/>
    <row r="196" s="45" customFormat="1" x14ac:dyDescent="0.35"/>
    <row r="197" s="45" customFormat="1" x14ac:dyDescent="0.35"/>
    <row r="198" s="45" customFormat="1" x14ac:dyDescent="0.35"/>
    <row r="199" s="45" customFormat="1" x14ac:dyDescent="0.35"/>
    <row r="200" s="45" customFormat="1" x14ac:dyDescent="0.35"/>
    <row r="201" s="45" customFormat="1" x14ac:dyDescent="0.35"/>
    <row r="202" s="45" customFormat="1" x14ac:dyDescent="0.35"/>
    <row r="203" s="45" customFormat="1" x14ac:dyDescent="0.35"/>
    <row r="204" s="45" customFormat="1" x14ac:dyDescent="0.35"/>
    <row r="205" s="45" customFormat="1" x14ac:dyDescent="0.35"/>
    <row r="206" s="45" customFormat="1" x14ac:dyDescent="0.35"/>
    <row r="207" s="45" customFormat="1" x14ac:dyDescent="0.35"/>
    <row r="208" s="45" customFormat="1" x14ac:dyDescent="0.35"/>
    <row r="209" s="45" customFormat="1" x14ac:dyDescent="0.35"/>
    <row r="210" s="45" customFormat="1" x14ac:dyDescent="0.35"/>
    <row r="211" s="45" customFormat="1" x14ac:dyDescent="0.35"/>
    <row r="212" s="45" customFormat="1" x14ac:dyDescent="0.35"/>
    <row r="213" s="45" customFormat="1" x14ac:dyDescent="0.35"/>
    <row r="214" s="45" customFormat="1" x14ac:dyDescent="0.35"/>
    <row r="215" s="45" customFormat="1" x14ac:dyDescent="0.35"/>
    <row r="216" s="45" customFormat="1" x14ac:dyDescent="0.35"/>
    <row r="217" s="45" customFormat="1" x14ac:dyDescent="0.35"/>
    <row r="218" s="45" customFormat="1" x14ac:dyDescent="0.35"/>
    <row r="219" s="45" customFormat="1" x14ac:dyDescent="0.35"/>
    <row r="220" s="45" customFormat="1" x14ac:dyDescent="0.35"/>
    <row r="221" s="45" customFormat="1" x14ac:dyDescent="0.35"/>
    <row r="222" s="45" customFormat="1" x14ac:dyDescent="0.35"/>
    <row r="223" s="45" customFormat="1" x14ac:dyDescent="0.35"/>
    <row r="224" s="45" customFormat="1" x14ac:dyDescent="0.35"/>
    <row r="225" s="45" customFormat="1" x14ac:dyDescent="0.35"/>
    <row r="226" s="45" customFormat="1" x14ac:dyDescent="0.35"/>
    <row r="227" s="45" customFormat="1" x14ac:dyDescent="0.35"/>
    <row r="228" s="45" customFormat="1" x14ac:dyDescent="0.35"/>
    <row r="229" s="45" customFormat="1" x14ac:dyDescent="0.35"/>
    <row r="230" s="45" customFormat="1" x14ac:dyDescent="0.35"/>
    <row r="231" s="45" customFormat="1" x14ac:dyDescent="0.35"/>
    <row r="232" s="45" customFormat="1" x14ac:dyDescent="0.35"/>
    <row r="233" s="45" customFormat="1" x14ac:dyDescent="0.35"/>
    <row r="234" s="45" customFormat="1" x14ac:dyDescent="0.35"/>
    <row r="235" s="45" customFormat="1" x14ac:dyDescent="0.35"/>
    <row r="236" s="45" customFormat="1" x14ac:dyDescent="0.35"/>
    <row r="237" s="45" customFormat="1" x14ac:dyDescent="0.35"/>
    <row r="238" s="45" customFormat="1" x14ac:dyDescent="0.35"/>
    <row r="239" s="45" customFormat="1" x14ac:dyDescent="0.35"/>
    <row r="240" s="45" customFormat="1" x14ac:dyDescent="0.35"/>
    <row r="241" s="45" customFormat="1" x14ac:dyDescent="0.35"/>
    <row r="242" s="45" customFormat="1" x14ac:dyDescent="0.35"/>
    <row r="243" s="45" customFormat="1" x14ac:dyDescent="0.35"/>
    <row r="244" s="45" customFormat="1" x14ac:dyDescent="0.35"/>
    <row r="245" s="45" customFormat="1" x14ac:dyDescent="0.35"/>
    <row r="246" s="45" customFormat="1" x14ac:dyDescent="0.35"/>
    <row r="247" s="45" customFormat="1" x14ac:dyDescent="0.35"/>
    <row r="248" s="45" customFormat="1" x14ac:dyDescent="0.35"/>
    <row r="249" s="45" customFormat="1" x14ac:dyDescent="0.35"/>
    <row r="250" s="45" customFormat="1" x14ac:dyDescent="0.35"/>
    <row r="251" s="45" customFormat="1" x14ac:dyDescent="0.35"/>
    <row r="252" s="45" customFormat="1" x14ac:dyDescent="0.35"/>
    <row r="253" s="45" customFormat="1" x14ac:dyDescent="0.35"/>
    <row r="254" s="45" customFormat="1" x14ac:dyDescent="0.35"/>
    <row r="255" s="45" customFormat="1" x14ac:dyDescent="0.35"/>
    <row r="256" s="45" customFormat="1" x14ac:dyDescent="0.35"/>
    <row r="257" s="45" customFormat="1" x14ac:dyDescent="0.35"/>
    <row r="258" s="45" customFormat="1" x14ac:dyDescent="0.35"/>
    <row r="259" s="45" customFormat="1" x14ac:dyDescent="0.35"/>
    <row r="260" s="45" customFormat="1" x14ac:dyDescent="0.35"/>
    <row r="261" s="45" customFormat="1" x14ac:dyDescent="0.35"/>
    <row r="262" s="45" customFormat="1" x14ac:dyDescent="0.35"/>
    <row r="263" s="45" customFormat="1" x14ac:dyDescent="0.35"/>
    <row r="264" s="45" customFormat="1" x14ac:dyDescent="0.35"/>
    <row r="265" s="45" customFormat="1" x14ac:dyDescent="0.35"/>
    <row r="266" s="45" customFormat="1" x14ac:dyDescent="0.35"/>
    <row r="267" s="45" customFormat="1" x14ac:dyDescent="0.35"/>
    <row r="268" s="45" customFormat="1" x14ac:dyDescent="0.35"/>
    <row r="269" s="45" customFormat="1" x14ac:dyDescent="0.35"/>
    <row r="270" s="45" customFormat="1" x14ac:dyDescent="0.35"/>
    <row r="271" s="45" customFormat="1" x14ac:dyDescent="0.35"/>
    <row r="272" s="45" customFormat="1" x14ac:dyDescent="0.35"/>
    <row r="273" s="45" customFormat="1" x14ac:dyDescent="0.35"/>
    <row r="274" s="45" customFormat="1" x14ac:dyDescent="0.35"/>
    <row r="275" s="45" customFormat="1" x14ac:dyDescent="0.35"/>
    <row r="276" s="45" customFormat="1" x14ac:dyDescent="0.35"/>
    <row r="277" s="45" customFormat="1" x14ac:dyDescent="0.35"/>
    <row r="278" s="45" customFormat="1" x14ac:dyDescent="0.35"/>
    <row r="279" s="45" customFormat="1" x14ac:dyDescent="0.35"/>
    <row r="280" s="45" customFormat="1" x14ac:dyDescent="0.35"/>
    <row r="281" s="45" customFormat="1" x14ac:dyDescent="0.35"/>
    <row r="282" s="45" customFormat="1" x14ac:dyDescent="0.35"/>
    <row r="283" s="45" customFormat="1" x14ac:dyDescent="0.35"/>
    <row r="284" s="45" customFormat="1" x14ac:dyDescent="0.35"/>
    <row r="285" s="45" customFormat="1" x14ac:dyDescent="0.35"/>
    <row r="286" s="45" customFormat="1" x14ac:dyDescent="0.35"/>
    <row r="287" s="45" customFormat="1" x14ac:dyDescent="0.35"/>
    <row r="288" s="45" customFormat="1" x14ac:dyDescent="0.35"/>
    <row r="289" s="45" customFormat="1" x14ac:dyDescent="0.35"/>
    <row r="290" s="45" customFormat="1" x14ac:dyDescent="0.35"/>
    <row r="291" s="45" customFormat="1" x14ac:dyDescent="0.35"/>
    <row r="292" s="45" customFormat="1" x14ac:dyDescent="0.35"/>
    <row r="293" s="45" customFormat="1" x14ac:dyDescent="0.35"/>
    <row r="294" s="45" customFormat="1" x14ac:dyDescent="0.35"/>
    <row r="295" s="45" customFormat="1" x14ac:dyDescent="0.35"/>
    <row r="296" s="45" customFormat="1" x14ac:dyDescent="0.35"/>
    <row r="297" s="45" customFormat="1" x14ac:dyDescent="0.35"/>
    <row r="298" s="45" customFormat="1" x14ac:dyDescent="0.35"/>
    <row r="299" s="45" customFormat="1" x14ac:dyDescent="0.35"/>
    <row r="300" s="45" customFormat="1" x14ac:dyDescent="0.35"/>
    <row r="301" s="45" customFormat="1" x14ac:dyDescent="0.35"/>
    <row r="302" s="45" customFormat="1" x14ac:dyDescent="0.35"/>
    <row r="303" s="45" customFormat="1" x14ac:dyDescent="0.35"/>
    <row r="304" s="45" customFormat="1" x14ac:dyDescent="0.35"/>
    <row r="305" s="45" customFormat="1" x14ac:dyDescent="0.35"/>
    <row r="306" s="45" customFormat="1" x14ac:dyDescent="0.35"/>
    <row r="307" s="45" customFormat="1" x14ac:dyDescent="0.35"/>
    <row r="308" s="45" customFormat="1" x14ac:dyDescent="0.35"/>
    <row r="309" s="45" customFormat="1" x14ac:dyDescent="0.35"/>
    <row r="310" s="45" customFormat="1" x14ac:dyDescent="0.35"/>
    <row r="311" s="45" customFormat="1" x14ac:dyDescent="0.35"/>
    <row r="312" s="45" customFormat="1" x14ac:dyDescent="0.35"/>
    <row r="313" s="45" customFormat="1" x14ac:dyDescent="0.35"/>
    <row r="314" s="45" customFormat="1" x14ac:dyDescent="0.35"/>
    <row r="315" s="45" customFormat="1" x14ac:dyDescent="0.35"/>
    <row r="316" s="45" customFormat="1" x14ac:dyDescent="0.35"/>
    <row r="317" s="45" customFormat="1" x14ac:dyDescent="0.35"/>
    <row r="318" s="45" customFormat="1" x14ac:dyDescent="0.35"/>
    <row r="319" s="45" customFormat="1" x14ac:dyDescent="0.35"/>
    <row r="320" s="45" customFormat="1" x14ac:dyDescent="0.35"/>
    <row r="321" s="45" customFormat="1" x14ac:dyDescent="0.35"/>
    <row r="322" s="45" customFormat="1" x14ac:dyDescent="0.35"/>
    <row r="323" s="45" customFormat="1" x14ac:dyDescent="0.35"/>
    <row r="324" s="45" customFormat="1" x14ac:dyDescent="0.35"/>
    <row r="325" s="45" customFormat="1" x14ac:dyDescent="0.35"/>
    <row r="326" s="45" customFormat="1" x14ac:dyDescent="0.35"/>
    <row r="327" s="45" customFormat="1" x14ac:dyDescent="0.35"/>
    <row r="328" s="45" customFormat="1" x14ac:dyDescent="0.35"/>
    <row r="329" s="45" customFormat="1" x14ac:dyDescent="0.35"/>
    <row r="330" s="45" customFormat="1" x14ac:dyDescent="0.35"/>
    <row r="331" s="45" customFormat="1" x14ac:dyDescent="0.35"/>
    <row r="332" s="45" customFormat="1" x14ac:dyDescent="0.35"/>
    <row r="333" s="45" customFormat="1" x14ac:dyDescent="0.35"/>
    <row r="334" s="45" customFormat="1" x14ac:dyDescent="0.35"/>
    <row r="335" s="45" customFormat="1" x14ac:dyDescent="0.35"/>
    <row r="336" s="45" customFormat="1" x14ac:dyDescent="0.35"/>
    <row r="337" s="45" customFormat="1" x14ac:dyDescent="0.35"/>
    <row r="338" s="45" customFormat="1" x14ac:dyDescent="0.35"/>
    <row r="339" s="45" customFormat="1" x14ac:dyDescent="0.35"/>
    <row r="340" s="45" customFormat="1" x14ac:dyDescent="0.35"/>
    <row r="341" s="45" customFormat="1" x14ac:dyDescent="0.35"/>
    <row r="342" s="45" customFormat="1" x14ac:dyDescent="0.35"/>
    <row r="343" s="45" customFormat="1" x14ac:dyDescent="0.35"/>
    <row r="344" s="45" customFormat="1" x14ac:dyDescent="0.35"/>
    <row r="345" s="45" customFormat="1" x14ac:dyDescent="0.35"/>
    <row r="346" s="45" customFormat="1" x14ac:dyDescent="0.35"/>
    <row r="347" s="45" customFormat="1" x14ac:dyDescent="0.35"/>
    <row r="348" s="45" customFormat="1" x14ac:dyDescent="0.35"/>
    <row r="349" s="45" customFormat="1" x14ac:dyDescent="0.35"/>
    <row r="350" s="45" customFormat="1" x14ac:dyDescent="0.35"/>
    <row r="351" s="45" customFormat="1" x14ac:dyDescent="0.35"/>
    <row r="352" s="45" customFormat="1" x14ac:dyDescent="0.35"/>
    <row r="353" s="45" customFormat="1" x14ac:dyDescent="0.35"/>
    <row r="354" s="45" customFormat="1" x14ac:dyDescent="0.35"/>
    <row r="355" s="45" customFormat="1" x14ac:dyDescent="0.35"/>
    <row r="356" s="45" customFormat="1" x14ac:dyDescent="0.35"/>
    <row r="357" s="45" customFormat="1" x14ac:dyDescent="0.35"/>
    <row r="358" s="45" customFormat="1" x14ac:dyDescent="0.35"/>
    <row r="359" s="45" customFormat="1" x14ac:dyDescent="0.35"/>
    <row r="360" s="45" customFormat="1" x14ac:dyDescent="0.35"/>
    <row r="361" s="45" customFormat="1" x14ac:dyDescent="0.35"/>
    <row r="362" s="45" customFormat="1" x14ac:dyDescent="0.35"/>
    <row r="363" s="45" customFormat="1" x14ac:dyDescent="0.35"/>
    <row r="364" s="45" customFormat="1" x14ac:dyDescent="0.35"/>
    <row r="365" s="45" customFormat="1" x14ac:dyDescent="0.35"/>
    <row r="366" s="45" customFormat="1" x14ac:dyDescent="0.35"/>
    <row r="367" s="45" customFormat="1" x14ac:dyDescent="0.35"/>
    <row r="368" s="45" customFormat="1" x14ac:dyDescent="0.35"/>
    <row r="369" s="45" customFormat="1" x14ac:dyDescent="0.35"/>
    <row r="370" s="45" customFormat="1" x14ac:dyDescent="0.35"/>
    <row r="371" s="45" customFormat="1" x14ac:dyDescent="0.35"/>
    <row r="372" s="45" customFormat="1" x14ac:dyDescent="0.35"/>
    <row r="373" s="45" customFormat="1" x14ac:dyDescent="0.35"/>
    <row r="374" s="45" customFormat="1" x14ac:dyDescent="0.35"/>
    <row r="375" s="45" customFormat="1" x14ac:dyDescent="0.35"/>
    <row r="376" s="45" customFormat="1" x14ac:dyDescent="0.35"/>
    <row r="377" s="45" customFormat="1" x14ac:dyDescent="0.35"/>
    <row r="378" s="45" customFormat="1" x14ac:dyDescent="0.35"/>
    <row r="379" s="45" customFormat="1" x14ac:dyDescent="0.35"/>
    <row r="380" s="45" customFormat="1" x14ac:dyDescent="0.35"/>
    <row r="381" s="45" customFormat="1" x14ac:dyDescent="0.35"/>
    <row r="382" s="45" customFormat="1" x14ac:dyDescent="0.35"/>
    <row r="383" s="45" customFormat="1" x14ac:dyDescent="0.35"/>
    <row r="384" s="45" customFormat="1" x14ac:dyDescent="0.35"/>
    <row r="385" s="45" customFormat="1" x14ac:dyDescent="0.35"/>
    <row r="386" s="45" customFormat="1" x14ac:dyDescent="0.35"/>
    <row r="387" s="45" customFormat="1" x14ac:dyDescent="0.35"/>
    <row r="388" s="45" customFormat="1" x14ac:dyDescent="0.35"/>
    <row r="389" s="45" customFormat="1" x14ac:dyDescent="0.35"/>
    <row r="390" s="45" customFormat="1" x14ac:dyDescent="0.35"/>
    <row r="391" s="45" customFormat="1" x14ac:dyDescent="0.35"/>
    <row r="392" s="45" customFormat="1" x14ac:dyDescent="0.35"/>
    <row r="393" s="45" customFormat="1" x14ac:dyDescent="0.35"/>
    <row r="394" s="45" customFormat="1" x14ac:dyDescent="0.35"/>
    <row r="395" s="45" customFormat="1" x14ac:dyDescent="0.35"/>
    <row r="396" s="45" customFormat="1" x14ac:dyDescent="0.35"/>
    <row r="397" s="45" customFormat="1" x14ac:dyDescent="0.35"/>
    <row r="398" s="45" customFormat="1" x14ac:dyDescent="0.35"/>
    <row r="399" s="45" customFormat="1" x14ac:dyDescent="0.35"/>
    <row r="400" s="45" customFormat="1" x14ac:dyDescent="0.35"/>
    <row r="401" s="45" customFormat="1" x14ac:dyDescent="0.35"/>
    <row r="402" s="45" customFormat="1" x14ac:dyDescent="0.35"/>
    <row r="403" s="45" customFormat="1" x14ac:dyDescent="0.35"/>
    <row r="404" s="45" customFormat="1" x14ac:dyDescent="0.35"/>
    <row r="405" s="45" customFormat="1" x14ac:dyDescent="0.35"/>
    <row r="406" s="45" customFormat="1" x14ac:dyDescent="0.35"/>
    <row r="407" s="45" customFormat="1" x14ac:dyDescent="0.35"/>
    <row r="408" s="45" customFormat="1" x14ac:dyDescent="0.35"/>
    <row r="409" s="45" customFormat="1" x14ac:dyDescent="0.35"/>
    <row r="410" s="45" customFormat="1" x14ac:dyDescent="0.35"/>
    <row r="411" s="45" customFormat="1" x14ac:dyDescent="0.35"/>
    <row r="412" s="45" customFormat="1" x14ac:dyDescent="0.35"/>
    <row r="413" s="45" customFormat="1" x14ac:dyDescent="0.35"/>
    <row r="414" s="45" customFormat="1" x14ac:dyDescent="0.35"/>
    <row r="415" s="45" customFormat="1" x14ac:dyDescent="0.35"/>
    <row r="416" s="45" customFormat="1" x14ac:dyDescent="0.35"/>
    <row r="417" s="45" customFormat="1" x14ac:dyDescent="0.35"/>
    <row r="418" s="45" customFormat="1" x14ac:dyDescent="0.35"/>
    <row r="419" s="45" customFormat="1" x14ac:dyDescent="0.35"/>
    <row r="420" s="45" customFormat="1" x14ac:dyDescent="0.35"/>
    <row r="421" s="45" customFormat="1" x14ac:dyDescent="0.35"/>
    <row r="422" s="45" customFormat="1" x14ac:dyDescent="0.35"/>
    <row r="423" s="45" customFormat="1" x14ac:dyDescent="0.35"/>
    <row r="424" s="45" customFormat="1" x14ac:dyDescent="0.35"/>
    <row r="425" s="45" customFormat="1" x14ac:dyDescent="0.35"/>
    <row r="426" s="45" customFormat="1" x14ac:dyDescent="0.35"/>
    <row r="427" s="45" customFormat="1" x14ac:dyDescent="0.35"/>
    <row r="428" s="45" customFormat="1" x14ac:dyDescent="0.35"/>
    <row r="429" s="45" customFormat="1" x14ac:dyDescent="0.35"/>
    <row r="430" s="45" customFormat="1" x14ac:dyDescent="0.35"/>
    <row r="431" s="45" customFormat="1" x14ac:dyDescent="0.35"/>
    <row r="432" s="45" customFormat="1" x14ac:dyDescent="0.35"/>
    <row r="433" s="45" customFormat="1" x14ac:dyDescent="0.35"/>
    <row r="434" s="45" customFormat="1" x14ac:dyDescent="0.35"/>
    <row r="435" s="45" customFormat="1" x14ac:dyDescent="0.35"/>
    <row r="436" s="45" customFormat="1" x14ac:dyDescent="0.35"/>
    <row r="437" s="45" customFormat="1" x14ac:dyDescent="0.35"/>
    <row r="438" s="45" customFormat="1" x14ac:dyDescent="0.35"/>
    <row r="439" s="45" customFormat="1" x14ac:dyDescent="0.35"/>
    <row r="440" s="45" customFormat="1" x14ac:dyDescent="0.35"/>
    <row r="441" s="45" customFormat="1" x14ac:dyDescent="0.35"/>
    <row r="442" s="45" customFormat="1" x14ac:dyDescent="0.35"/>
    <row r="443" s="45" customFormat="1" x14ac:dyDescent="0.35"/>
    <row r="444" s="45" customFormat="1" x14ac:dyDescent="0.35"/>
    <row r="445" s="45" customFormat="1" x14ac:dyDescent="0.35"/>
    <row r="446" s="45" customFormat="1" x14ac:dyDescent="0.35"/>
    <row r="447" s="45" customFormat="1" x14ac:dyDescent="0.35"/>
    <row r="448" s="45" customFormat="1" x14ac:dyDescent="0.35"/>
    <row r="449" s="45" customFormat="1" x14ac:dyDescent="0.35"/>
    <row r="450" s="45" customFormat="1" x14ac:dyDescent="0.35"/>
    <row r="451" s="45" customFormat="1" x14ac:dyDescent="0.35"/>
    <row r="452" s="45" customFormat="1" x14ac:dyDescent="0.35"/>
    <row r="453" s="45" customFormat="1" x14ac:dyDescent="0.35"/>
    <row r="454" s="45" customFormat="1" x14ac:dyDescent="0.35"/>
    <row r="455" s="45" customFormat="1" x14ac:dyDescent="0.35"/>
    <row r="456" s="45" customFormat="1" x14ac:dyDescent="0.35"/>
    <row r="457" s="45" customFormat="1" x14ac:dyDescent="0.35"/>
    <row r="458" s="45" customFormat="1" x14ac:dyDescent="0.35"/>
    <row r="459" s="45" customFormat="1" x14ac:dyDescent="0.35"/>
    <row r="460" s="45" customFormat="1" x14ac:dyDescent="0.35"/>
    <row r="461" s="45" customFormat="1" x14ac:dyDescent="0.35"/>
    <row r="462" s="45" customFormat="1" x14ac:dyDescent="0.35"/>
    <row r="463" s="45" customFormat="1" x14ac:dyDescent="0.35"/>
    <row r="464" s="45" customFormat="1" x14ac:dyDescent="0.35"/>
    <row r="465" s="45" customFormat="1" x14ac:dyDescent="0.35"/>
    <row r="466" s="45" customFormat="1" x14ac:dyDescent="0.35"/>
    <row r="467" s="45" customFormat="1" x14ac:dyDescent="0.35"/>
    <row r="468" s="45" customFormat="1" x14ac:dyDescent="0.35"/>
    <row r="469" s="45" customFormat="1" x14ac:dyDescent="0.35"/>
    <row r="470" s="45" customFormat="1" x14ac:dyDescent="0.35"/>
    <row r="471" s="45" customFormat="1" x14ac:dyDescent="0.35"/>
    <row r="472" s="45" customFormat="1" x14ac:dyDescent="0.35"/>
    <row r="473" s="45" customFormat="1" x14ac:dyDescent="0.35"/>
    <row r="474" s="45" customFormat="1" x14ac:dyDescent="0.35"/>
    <row r="475" s="45" customFormat="1" x14ac:dyDescent="0.35"/>
    <row r="476" s="45" customFormat="1" x14ac:dyDescent="0.35"/>
    <row r="477" s="45" customFormat="1" x14ac:dyDescent="0.35"/>
    <row r="478" s="45" customFormat="1" x14ac:dyDescent="0.35"/>
    <row r="479" s="45" customFormat="1" x14ac:dyDescent="0.35"/>
    <row r="480" s="45" customFormat="1" x14ac:dyDescent="0.35"/>
    <row r="481" s="45" customFormat="1" x14ac:dyDescent="0.35"/>
    <row r="482" s="45" customFormat="1" x14ac:dyDescent="0.35"/>
    <row r="483" s="45" customFormat="1" x14ac:dyDescent="0.35"/>
    <row r="484" s="45" customFormat="1" x14ac:dyDescent="0.35"/>
    <row r="485" s="45" customFormat="1" x14ac:dyDescent="0.35"/>
    <row r="486" s="45" customFormat="1" x14ac:dyDescent="0.35"/>
    <row r="487" s="45" customFormat="1" x14ac:dyDescent="0.35"/>
    <row r="488" s="45" customFormat="1" x14ac:dyDescent="0.35"/>
    <row r="489" s="45" customFormat="1" x14ac:dyDescent="0.35"/>
    <row r="490" s="45" customFormat="1" x14ac:dyDescent="0.35"/>
    <row r="491" s="45" customFormat="1" x14ac:dyDescent="0.35"/>
    <row r="492" s="45" customFormat="1" x14ac:dyDescent="0.35"/>
    <row r="493" s="45" customFormat="1" x14ac:dyDescent="0.35"/>
    <row r="494" s="45" customFormat="1" x14ac:dyDescent="0.35"/>
    <row r="495" s="45" customFormat="1" x14ac:dyDescent="0.35"/>
    <row r="496" s="45" customFormat="1" x14ac:dyDescent="0.35"/>
    <row r="497" s="45" customFormat="1" x14ac:dyDescent="0.35"/>
    <row r="498" s="45" customFormat="1" x14ac:dyDescent="0.35"/>
    <row r="499" s="45" customFormat="1" x14ac:dyDescent="0.35"/>
    <row r="500" s="45" customFormat="1" x14ac:dyDescent="0.35"/>
    <row r="501" s="45" customFormat="1" x14ac:dyDescent="0.35"/>
    <row r="502" s="45" customFormat="1" x14ac:dyDescent="0.35"/>
    <row r="503" s="45" customFormat="1" x14ac:dyDescent="0.35"/>
    <row r="504" s="45" customFormat="1" x14ac:dyDescent="0.35"/>
    <row r="505" s="45" customFormat="1" x14ac:dyDescent="0.35"/>
    <row r="506" s="45" customFormat="1" x14ac:dyDescent="0.35"/>
    <row r="507" s="45" customFormat="1" x14ac:dyDescent="0.35"/>
    <row r="508" s="45" customFormat="1" x14ac:dyDescent="0.35"/>
    <row r="509" s="45" customFormat="1" x14ac:dyDescent="0.35"/>
    <row r="510" s="45" customFormat="1" x14ac:dyDescent="0.35"/>
    <row r="511" s="45" customFormat="1" x14ac:dyDescent="0.35"/>
    <row r="512" s="45" customFormat="1" x14ac:dyDescent="0.35"/>
    <row r="513" s="45" customFormat="1" x14ac:dyDescent="0.35"/>
    <row r="514" s="45" customFormat="1" x14ac:dyDescent="0.35"/>
    <row r="515" s="45" customFormat="1" x14ac:dyDescent="0.35"/>
    <row r="516" s="45" customFormat="1" x14ac:dyDescent="0.35"/>
    <row r="517" s="45" customFormat="1" x14ac:dyDescent="0.35"/>
    <row r="518" s="45" customFormat="1" x14ac:dyDescent="0.35"/>
    <row r="519" s="45" customFormat="1" x14ac:dyDescent="0.35"/>
    <row r="520" s="45" customFormat="1" x14ac:dyDescent="0.35"/>
    <row r="521" s="45" customFormat="1" x14ac:dyDescent="0.35"/>
    <row r="522" s="45" customFormat="1" x14ac:dyDescent="0.35"/>
    <row r="523" s="45" customFormat="1" x14ac:dyDescent="0.35"/>
    <row r="524" s="45" customFormat="1" x14ac:dyDescent="0.35"/>
    <row r="525" s="45" customFormat="1" x14ac:dyDescent="0.35"/>
    <row r="526" s="45" customFormat="1" x14ac:dyDescent="0.35"/>
    <row r="527" s="45" customFormat="1" x14ac:dyDescent="0.35"/>
    <row r="528" s="45" customFormat="1" x14ac:dyDescent="0.35"/>
    <row r="529" s="45" customFormat="1" x14ac:dyDescent="0.35"/>
    <row r="530" s="45" customFormat="1" x14ac:dyDescent="0.35"/>
    <row r="531" s="45" customFormat="1" x14ac:dyDescent="0.35"/>
    <row r="532" s="45" customFormat="1" x14ac:dyDescent="0.35"/>
    <row r="533" s="45" customFormat="1" x14ac:dyDescent="0.35"/>
    <row r="534" s="45" customFormat="1" x14ac:dyDescent="0.35"/>
    <row r="535" s="45" customFormat="1" x14ac:dyDescent="0.35"/>
    <row r="536" s="45" customFormat="1" x14ac:dyDescent="0.35"/>
    <row r="537" s="45" customFormat="1" x14ac:dyDescent="0.35"/>
    <row r="538" s="45" customFormat="1" x14ac:dyDescent="0.35"/>
    <row r="539" s="45" customFormat="1" x14ac:dyDescent="0.35"/>
    <row r="540" s="45" customFormat="1" x14ac:dyDescent="0.35"/>
    <row r="541" s="45" customFormat="1" x14ac:dyDescent="0.35"/>
    <row r="542" s="45" customFormat="1" x14ac:dyDescent="0.35"/>
    <row r="543" s="45" customFormat="1" x14ac:dyDescent="0.35"/>
    <row r="544" s="45" customFormat="1" x14ac:dyDescent="0.35"/>
    <row r="545" s="45" customFormat="1" x14ac:dyDescent="0.35"/>
    <row r="546" s="45" customFormat="1" x14ac:dyDescent="0.35"/>
    <row r="547" s="45" customFormat="1" x14ac:dyDescent="0.35"/>
    <row r="548" s="45" customFormat="1" x14ac:dyDescent="0.35"/>
    <row r="549" s="45" customFormat="1" x14ac:dyDescent="0.35"/>
    <row r="550" s="45" customFormat="1" x14ac:dyDescent="0.35"/>
    <row r="551" s="45" customFormat="1" x14ac:dyDescent="0.35"/>
    <row r="552" s="45" customFormat="1" x14ac:dyDescent="0.35"/>
    <row r="553" s="45" customFormat="1" x14ac:dyDescent="0.35"/>
    <row r="554" s="45" customFormat="1" x14ac:dyDescent="0.35"/>
    <row r="555" s="45" customFormat="1" x14ac:dyDescent="0.35"/>
    <row r="556" s="45" customFormat="1" x14ac:dyDescent="0.35"/>
    <row r="557" s="45" customFormat="1" x14ac:dyDescent="0.35"/>
    <row r="558" s="45" customFormat="1" x14ac:dyDescent="0.35"/>
    <row r="559" s="45" customFormat="1" x14ac:dyDescent="0.35"/>
    <row r="560" s="45" customFormat="1" x14ac:dyDescent="0.35"/>
    <row r="561" s="45" customFormat="1" x14ac:dyDescent="0.35"/>
    <row r="562" s="45" customFormat="1" x14ac:dyDescent="0.35"/>
    <row r="563" s="45" customFormat="1" x14ac:dyDescent="0.35"/>
    <row r="564" s="45" customFormat="1" x14ac:dyDescent="0.35"/>
    <row r="565" s="45" customFormat="1" x14ac:dyDescent="0.35"/>
    <row r="566" s="45" customFormat="1" x14ac:dyDescent="0.35"/>
    <row r="567" s="45" customFormat="1" x14ac:dyDescent="0.35"/>
    <row r="568" s="45" customFormat="1" x14ac:dyDescent="0.35"/>
    <row r="569" s="45" customFormat="1" x14ac:dyDescent="0.35"/>
    <row r="570" s="45" customFormat="1" x14ac:dyDescent="0.35"/>
    <row r="571" s="45" customFormat="1" x14ac:dyDescent="0.35"/>
    <row r="572" s="45" customFormat="1" x14ac:dyDescent="0.35"/>
    <row r="573" s="45" customFormat="1" x14ac:dyDescent="0.35"/>
    <row r="574" s="45" customFormat="1" x14ac:dyDescent="0.35"/>
    <row r="575" s="45" customFormat="1" x14ac:dyDescent="0.35"/>
    <row r="576" s="45" customFormat="1" x14ac:dyDescent="0.35"/>
    <row r="577" s="45" customFormat="1" x14ac:dyDescent="0.35"/>
    <row r="578" s="45" customFormat="1" x14ac:dyDescent="0.35"/>
    <row r="579" s="45" customFormat="1" x14ac:dyDescent="0.35"/>
    <row r="580" s="45" customFormat="1" x14ac:dyDescent="0.35"/>
    <row r="581" s="45" customFormat="1" x14ac:dyDescent="0.35"/>
    <row r="582" s="45" customFormat="1" x14ac:dyDescent="0.35"/>
    <row r="583" s="45" customFormat="1" x14ac:dyDescent="0.35"/>
    <row r="584" s="45" customFormat="1" x14ac:dyDescent="0.35"/>
    <row r="585" s="45" customFormat="1" x14ac:dyDescent="0.35"/>
    <row r="586" s="45" customFormat="1" x14ac:dyDescent="0.35"/>
    <row r="587" s="45" customFormat="1" x14ac:dyDescent="0.35"/>
    <row r="588" s="45" customFormat="1" x14ac:dyDescent="0.35"/>
    <row r="589" s="45" customFormat="1" x14ac:dyDescent="0.35"/>
    <row r="590" s="45" customFormat="1" x14ac:dyDescent="0.35"/>
    <row r="591" s="45" customFormat="1" x14ac:dyDescent="0.35"/>
    <row r="592" s="45" customFormat="1" x14ac:dyDescent="0.35"/>
    <row r="593" s="45" customFormat="1" x14ac:dyDescent="0.35"/>
    <row r="594" s="45" customFormat="1" x14ac:dyDescent="0.35"/>
    <row r="595" s="45" customFormat="1" x14ac:dyDescent="0.35"/>
    <row r="596" s="45" customFormat="1" x14ac:dyDescent="0.35"/>
    <row r="597" s="45" customFormat="1" x14ac:dyDescent="0.35"/>
    <row r="598" s="45" customFormat="1" x14ac:dyDescent="0.35"/>
    <row r="599" s="45" customFormat="1" x14ac:dyDescent="0.35"/>
    <row r="600" s="45" customFormat="1" x14ac:dyDescent="0.35"/>
    <row r="601" s="45" customFormat="1" x14ac:dyDescent="0.35"/>
    <row r="602" s="45" customFormat="1" x14ac:dyDescent="0.35"/>
    <row r="603" s="45" customFormat="1" x14ac:dyDescent="0.35"/>
    <row r="604" s="45" customFormat="1" x14ac:dyDescent="0.35"/>
    <row r="605" s="45" customFormat="1" x14ac:dyDescent="0.35"/>
    <row r="606" s="45" customFormat="1" x14ac:dyDescent="0.35"/>
    <row r="607" s="45" customFormat="1" x14ac:dyDescent="0.35"/>
    <row r="608" s="45" customFormat="1" x14ac:dyDescent="0.35"/>
    <row r="609" s="45" customFormat="1" x14ac:dyDescent="0.35"/>
    <row r="610" s="45" customFormat="1" x14ac:dyDescent="0.35"/>
    <row r="611" s="45" customFormat="1" x14ac:dyDescent="0.35"/>
    <row r="612" s="45" customFormat="1" x14ac:dyDescent="0.35"/>
    <row r="613" s="45" customFormat="1" x14ac:dyDescent="0.35"/>
    <row r="614" s="45" customFormat="1" x14ac:dyDescent="0.35"/>
    <row r="615" s="45" customFormat="1" x14ac:dyDescent="0.35"/>
    <row r="616" s="45" customFormat="1" x14ac:dyDescent="0.35"/>
    <row r="617" s="45" customFormat="1" x14ac:dyDescent="0.35"/>
    <row r="618" s="45" customFormat="1" x14ac:dyDescent="0.35"/>
    <row r="619" s="45" customFormat="1" x14ac:dyDescent="0.35"/>
    <row r="620" s="45" customFormat="1" x14ac:dyDescent="0.35"/>
    <row r="621" s="45" customFormat="1" x14ac:dyDescent="0.35"/>
    <row r="622" s="45" customFormat="1" x14ac:dyDescent="0.35"/>
    <row r="623" s="45" customFormat="1" x14ac:dyDescent="0.35"/>
    <row r="624" s="45" customFormat="1" x14ac:dyDescent="0.35"/>
    <row r="625" s="45" customFormat="1" x14ac:dyDescent="0.35"/>
    <row r="626" s="45" customFormat="1" x14ac:dyDescent="0.35"/>
    <row r="627" s="45" customFormat="1" x14ac:dyDescent="0.35"/>
    <row r="628" s="45" customFormat="1" x14ac:dyDescent="0.35"/>
    <row r="629" s="45" customFormat="1" x14ac:dyDescent="0.35"/>
    <row r="630" s="45" customFormat="1" x14ac:dyDescent="0.35"/>
    <row r="631" s="45" customFormat="1" x14ac:dyDescent="0.35"/>
    <row r="632" s="45" customFormat="1" x14ac:dyDescent="0.35"/>
    <row r="633" s="45" customFormat="1" x14ac:dyDescent="0.35"/>
    <row r="634" s="45" customFormat="1" x14ac:dyDescent="0.35"/>
    <row r="635" s="45" customFormat="1" x14ac:dyDescent="0.35"/>
    <row r="636" s="45" customFormat="1" x14ac:dyDescent="0.35"/>
    <row r="637" s="45" customFormat="1" x14ac:dyDescent="0.35"/>
    <row r="638" s="45" customFormat="1" x14ac:dyDescent="0.35"/>
    <row r="639" s="45" customFormat="1" x14ac:dyDescent="0.35"/>
    <row r="640" s="45" customFormat="1" x14ac:dyDescent="0.35"/>
    <row r="641" s="45" customFormat="1" x14ac:dyDescent="0.35"/>
    <row r="642" s="45" customFormat="1" x14ac:dyDescent="0.35"/>
    <row r="643" s="45" customFormat="1" x14ac:dyDescent="0.35"/>
    <row r="644" s="45" customFormat="1" x14ac:dyDescent="0.35"/>
    <row r="645" s="45" customFormat="1" x14ac:dyDescent="0.35"/>
    <row r="646" s="45" customFormat="1" x14ac:dyDescent="0.35"/>
    <row r="647" s="45" customFormat="1" x14ac:dyDescent="0.35"/>
    <row r="648" s="45" customFormat="1" x14ac:dyDescent="0.35"/>
    <row r="649" s="45" customFormat="1" x14ac:dyDescent="0.35"/>
    <row r="650" s="45" customFormat="1" x14ac:dyDescent="0.35"/>
    <row r="651" s="45" customFormat="1" x14ac:dyDescent="0.35"/>
    <row r="652" s="45" customFormat="1" x14ac:dyDescent="0.35"/>
    <row r="653" s="45" customFormat="1" x14ac:dyDescent="0.35"/>
    <row r="654" s="45" customFormat="1" x14ac:dyDescent="0.35"/>
    <row r="655" s="45" customFormat="1" x14ac:dyDescent="0.35"/>
    <row r="656" s="45" customFormat="1" x14ac:dyDescent="0.35"/>
    <row r="657" s="45" customFormat="1" x14ac:dyDescent="0.35"/>
    <row r="658" s="45" customFormat="1" x14ac:dyDescent="0.35"/>
    <row r="659" s="45" customFormat="1" x14ac:dyDescent="0.35"/>
    <row r="660" s="45" customFormat="1" x14ac:dyDescent="0.35"/>
    <row r="661" s="45" customFormat="1" x14ac:dyDescent="0.35"/>
    <row r="662" s="45" customFormat="1" x14ac:dyDescent="0.35"/>
    <row r="663" s="45" customFormat="1" x14ac:dyDescent="0.35"/>
    <row r="664" s="45" customFormat="1" x14ac:dyDescent="0.35"/>
    <row r="665" s="45" customFormat="1" x14ac:dyDescent="0.35"/>
    <row r="666" s="45" customFormat="1" x14ac:dyDescent="0.35"/>
    <row r="667" s="45" customFormat="1" x14ac:dyDescent="0.35"/>
    <row r="668" s="45" customFormat="1" x14ac:dyDescent="0.35"/>
    <row r="669" s="45" customFormat="1" x14ac:dyDescent="0.35"/>
    <row r="670" s="45" customFormat="1" x14ac:dyDescent="0.35"/>
    <row r="671" s="45" customFormat="1" x14ac:dyDescent="0.35"/>
    <row r="672" s="45" customFormat="1" x14ac:dyDescent="0.35"/>
    <row r="673" s="45" customFormat="1" x14ac:dyDescent="0.35"/>
    <row r="674" s="45" customFormat="1" x14ac:dyDescent="0.35"/>
    <row r="675" s="45" customFormat="1" x14ac:dyDescent="0.35"/>
    <row r="676" s="45" customFormat="1" x14ac:dyDescent="0.35"/>
    <row r="677" s="45" customFormat="1" x14ac:dyDescent="0.35"/>
    <row r="678" s="45" customFormat="1" x14ac:dyDescent="0.35"/>
    <row r="679" s="45" customFormat="1" x14ac:dyDescent="0.35"/>
    <row r="680" s="45" customFormat="1" x14ac:dyDescent="0.35"/>
    <row r="681" s="45" customFormat="1" x14ac:dyDescent="0.35"/>
    <row r="682" s="45" customFormat="1" x14ac:dyDescent="0.35"/>
    <row r="683" s="45" customFormat="1" x14ac:dyDescent="0.35"/>
    <row r="684" s="45" customFormat="1" x14ac:dyDescent="0.35"/>
    <row r="685" s="45" customFormat="1" x14ac:dyDescent="0.35"/>
    <row r="686" s="45" customFormat="1" x14ac:dyDescent="0.35"/>
    <row r="687" s="45" customFormat="1" x14ac:dyDescent="0.35"/>
    <row r="688" s="45" customFormat="1" x14ac:dyDescent="0.35"/>
    <row r="689" s="45" customFormat="1" x14ac:dyDescent="0.35"/>
    <row r="690" s="45" customFormat="1" x14ac:dyDescent="0.35"/>
    <row r="691" s="45" customFormat="1" x14ac:dyDescent="0.35"/>
    <row r="692" s="45" customFormat="1" x14ac:dyDescent="0.35"/>
    <row r="693" s="45" customFormat="1" x14ac:dyDescent="0.35"/>
    <row r="694" s="45" customFormat="1" x14ac:dyDescent="0.35"/>
    <row r="695" s="45" customFormat="1" x14ac:dyDescent="0.35"/>
    <row r="696" s="45" customFormat="1" x14ac:dyDescent="0.35"/>
    <row r="697" s="45" customFormat="1" x14ac:dyDescent="0.35"/>
    <row r="698" s="45" customFormat="1" x14ac:dyDescent="0.35"/>
    <row r="699" s="45" customFormat="1" x14ac:dyDescent="0.35"/>
    <row r="700" s="45" customFormat="1" x14ac:dyDescent="0.35"/>
    <row r="701" s="45" customFormat="1" x14ac:dyDescent="0.35"/>
    <row r="702" s="45" customFormat="1" x14ac:dyDescent="0.35"/>
    <row r="703" s="45" customFormat="1" x14ac:dyDescent="0.35"/>
    <row r="704" s="45" customFormat="1" x14ac:dyDescent="0.35"/>
    <row r="705" s="45" customFormat="1" x14ac:dyDescent="0.35"/>
    <row r="706" s="45" customFormat="1" x14ac:dyDescent="0.35"/>
    <row r="707" s="45" customFormat="1" x14ac:dyDescent="0.35"/>
    <row r="708" s="45" customFormat="1" x14ac:dyDescent="0.35"/>
    <row r="709" s="45" customFormat="1" x14ac:dyDescent="0.35"/>
    <row r="710" s="45" customFormat="1" x14ac:dyDescent="0.35"/>
    <row r="711" s="45" customFormat="1" x14ac:dyDescent="0.35"/>
    <row r="712" s="45" customFormat="1" x14ac:dyDescent="0.35"/>
    <row r="713" s="45" customFormat="1" x14ac:dyDescent="0.35"/>
    <row r="714" s="45" customFormat="1" x14ac:dyDescent="0.35"/>
    <row r="715" s="45" customFormat="1" x14ac:dyDescent="0.35"/>
    <row r="716" s="45" customFormat="1" x14ac:dyDescent="0.35"/>
    <row r="717" s="45" customFormat="1" x14ac:dyDescent="0.35"/>
    <row r="718" s="45" customFormat="1" x14ac:dyDescent="0.35"/>
    <row r="719" s="45" customFormat="1" x14ac:dyDescent="0.35"/>
    <row r="720" s="45" customFormat="1" x14ac:dyDescent="0.35"/>
    <row r="721" s="45" customFormat="1" x14ac:dyDescent="0.35"/>
    <row r="722" s="45" customFormat="1" x14ac:dyDescent="0.35"/>
    <row r="723" s="45" customFormat="1" x14ac:dyDescent="0.35"/>
    <row r="724" s="45" customFormat="1" x14ac:dyDescent="0.35"/>
    <row r="725" s="45" customFormat="1" x14ac:dyDescent="0.35"/>
    <row r="726" s="45" customFormat="1" x14ac:dyDescent="0.35"/>
    <row r="727" s="45" customFormat="1" x14ac:dyDescent="0.35"/>
    <row r="728" s="45" customFormat="1" x14ac:dyDescent="0.35"/>
    <row r="729" s="45" customFormat="1" x14ac:dyDescent="0.35"/>
    <row r="730" s="45" customFormat="1" x14ac:dyDescent="0.35"/>
    <row r="731" s="45" customFormat="1" x14ac:dyDescent="0.35"/>
    <row r="732" s="45" customFormat="1" x14ac:dyDescent="0.35"/>
    <row r="733" s="45" customFormat="1" x14ac:dyDescent="0.35"/>
    <row r="734" s="45" customFormat="1" x14ac:dyDescent="0.35"/>
    <row r="735" s="45" customFormat="1" x14ac:dyDescent="0.35"/>
    <row r="736" s="45" customFormat="1" x14ac:dyDescent="0.35"/>
    <row r="737" s="45" customFormat="1" x14ac:dyDescent="0.35"/>
    <row r="738" s="45" customFormat="1" x14ac:dyDescent="0.35"/>
    <row r="739" s="45" customFormat="1" x14ac:dyDescent="0.35"/>
    <row r="740" s="45" customFormat="1" x14ac:dyDescent="0.35"/>
    <row r="741" s="45" customFormat="1" x14ac:dyDescent="0.35"/>
    <row r="742" s="45" customFormat="1" x14ac:dyDescent="0.35"/>
    <row r="743" s="45" customFormat="1" x14ac:dyDescent="0.35"/>
    <row r="744" s="45" customFormat="1" x14ac:dyDescent="0.35"/>
    <row r="745" s="45" customFormat="1" x14ac:dyDescent="0.35"/>
    <row r="746" s="45" customFormat="1" x14ac:dyDescent="0.35"/>
    <row r="747" s="45" customFormat="1" x14ac:dyDescent="0.35"/>
    <row r="748" s="45" customFormat="1" x14ac:dyDescent="0.35"/>
    <row r="749" s="45" customFormat="1" x14ac:dyDescent="0.35"/>
    <row r="750" s="45" customFormat="1" x14ac:dyDescent="0.35"/>
    <row r="751" s="45" customFormat="1" x14ac:dyDescent="0.35"/>
    <row r="752" s="45" customFormat="1" x14ac:dyDescent="0.35"/>
    <row r="753" s="45" customFormat="1" x14ac:dyDescent="0.35"/>
    <row r="754" s="45" customFormat="1" x14ac:dyDescent="0.35"/>
    <row r="755" s="45" customFormat="1" x14ac:dyDescent="0.35"/>
    <row r="756" s="45" customFormat="1" x14ac:dyDescent="0.35"/>
    <row r="757" s="45" customFormat="1" x14ac:dyDescent="0.35"/>
    <row r="758" s="45" customFormat="1" x14ac:dyDescent="0.35"/>
    <row r="759" s="45" customFormat="1" x14ac:dyDescent="0.35"/>
    <row r="760" s="45" customFormat="1" x14ac:dyDescent="0.35"/>
    <row r="761" s="45" customFormat="1" x14ac:dyDescent="0.35"/>
    <row r="762" s="45" customFormat="1" x14ac:dyDescent="0.35"/>
    <row r="763" s="45" customFormat="1" x14ac:dyDescent="0.35"/>
    <row r="764" s="45" customFormat="1" x14ac:dyDescent="0.35"/>
    <row r="765" s="45" customFormat="1" x14ac:dyDescent="0.35"/>
    <row r="766" s="45" customFormat="1" x14ac:dyDescent="0.35"/>
    <row r="767" s="45" customFormat="1" x14ac:dyDescent="0.35"/>
    <row r="768" s="45" customFormat="1" x14ac:dyDescent="0.35"/>
    <row r="769" s="45" customFormat="1" x14ac:dyDescent="0.35"/>
    <row r="770" s="45" customFormat="1" x14ac:dyDescent="0.35"/>
    <row r="771" s="45" customFormat="1" x14ac:dyDescent="0.35"/>
    <row r="772" s="45" customFormat="1" x14ac:dyDescent="0.35"/>
    <row r="773" s="45" customFormat="1" x14ac:dyDescent="0.35"/>
    <row r="774" s="45" customFormat="1" x14ac:dyDescent="0.35"/>
    <row r="775" s="45" customFormat="1" x14ac:dyDescent="0.35"/>
    <row r="776" s="45" customFormat="1" x14ac:dyDescent="0.35"/>
    <row r="777" s="45" customFormat="1" x14ac:dyDescent="0.35"/>
    <row r="778" s="45" customFormat="1" x14ac:dyDescent="0.35"/>
    <row r="779" s="45" customFormat="1" x14ac:dyDescent="0.35"/>
    <row r="780" s="45" customFormat="1" x14ac:dyDescent="0.35"/>
    <row r="781" s="45" customFormat="1" x14ac:dyDescent="0.35"/>
    <row r="782" s="45" customFormat="1" x14ac:dyDescent="0.35"/>
    <row r="783" s="45" customFormat="1" x14ac:dyDescent="0.35"/>
    <row r="784" s="45" customFormat="1" x14ac:dyDescent="0.35"/>
    <row r="785" s="45" customFormat="1" x14ac:dyDescent="0.35"/>
    <row r="786" s="45" customFormat="1" x14ac:dyDescent="0.35"/>
    <row r="787" s="45" customFormat="1" x14ac:dyDescent="0.35"/>
    <row r="788" s="45" customFormat="1" x14ac:dyDescent="0.35"/>
    <row r="789" s="45" customFormat="1" x14ac:dyDescent="0.35"/>
    <row r="790" s="45" customFormat="1" x14ac:dyDescent="0.35"/>
    <row r="791" s="45" customFormat="1" x14ac:dyDescent="0.35"/>
    <row r="792" s="45" customFormat="1" x14ac:dyDescent="0.35"/>
    <row r="793" s="45" customFormat="1" x14ac:dyDescent="0.35"/>
    <row r="794" s="45" customFormat="1" x14ac:dyDescent="0.35"/>
    <row r="795" s="45" customFormat="1" x14ac:dyDescent="0.35"/>
    <row r="796" s="45" customFormat="1" x14ac:dyDescent="0.35"/>
    <row r="797" s="45" customFormat="1" x14ac:dyDescent="0.35"/>
    <row r="798" s="45" customFormat="1" x14ac:dyDescent="0.35"/>
    <row r="799" s="45" customFormat="1" x14ac:dyDescent="0.35"/>
    <row r="800" s="45" customFormat="1" x14ac:dyDescent="0.35"/>
    <row r="801" s="45" customFormat="1" x14ac:dyDescent="0.35"/>
    <row r="802" s="45" customFormat="1" x14ac:dyDescent="0.35"/>
    <row r="803" s="45" customFormat="1" x14ac:dyDescent="0.35"/>
    <row r="804" s="45" customFormat="1" x14ac:dyDescent="0.35"/>
    <row r="805" s="45" customFormat="1" x14ac:dyDescent="0.35"/>
    <row r="806" s="45" customFormat="1" x14ac:dyDescent="0.35"/>
    <row r="807" s="45" customFormat="1" x14ac:dyDescent="0.35"/>
    <row r="808" s="45" customFormat="1" x14ac:dyDescent="0.35"/>
    <row r="809" s="45" customFormat="1" x14ac:dyDescent="0.35"/>
    <row r="810" s="45" customFormat="1" x14ac:dyDescent="0.35"/>
    <row r="811" s="45" customFormat="1" x14ac:dyDescent="0.35"/>
    <row r="812" s="45" customFormat="1" x14ac:dyDescent="0.35"/>
    <row r="813" s="45" customFormat="1" x14ac:dyDescent="0.35"/>
    <row r="814" s="45" customFormat="1" x14ac:dyDescent="0.35"/>
    <row r="815" s="45" customFormat="1" x14ac:dyDescent="0.35"/>
    <row r="816" s="45" customFormat="1" x14ac:dyDescent="0.35"/>
    <row r="817" s="45" customFormat="1" x14ac:dyDescent="0.35"/>
    <row r="818" s="45" customFormat="1" x14ac:dyDescent="0.35"/>
    <row r="819" s="45" customFormat="1" x14ac:dyDescent="0.35"/>
    <row r="820" s="45" customFormat="1" x14ac:dyDescent="0.35"/>
    <row r="821" s="45" customFormat="1" x14ac:dyDescent="0.35"/>
    <row r="822" s="45" customFormat="1" x14ac:dyDescent="0.35"/>
    <row r="823" s="45" customFormat="1" x14ac:dyDescent="0.35"/>
    <row r="824" s="45" customFormat="1" x14ac:dyDescent="0.35"/>
    <row r="825" s="45" customFormat="1" x14ac:dyDescent="0.35"/>
    <row r="826" s="45" customFormat="1" x14ac:dyDescent="0.35"/>
    <row r="827" s="45" customFormat="1" x14ac:dyDescent="0.35"/>
    <row r="828" s="45" customFormat="1" x14ac:dyDescent="0.35"/>
    <row r="829" s="45" customFormat="1" x14ac:dyDescent="0.35"/>
    <row r="830" s="45" customFormat="1" x14ac:dyDescent="0.35"/>
    <row r="831" s="45" customFormat="1" x14ac:dyDescent="0.35"/>
    <row r="832" s="45" customFormat="1" x14ac:dyDescent="0.35"/>
    <row r="833" s="45" customFormat="1" x14ac:dyDescent="0.35"/>
    <row r="834" s="45" customFormat="1" x14ac:dyDescent="0.35"/>
    <row r="835" s="45" customFormat="1" x14ac:dyDescent="0.35"/>
    <row r="836" s="45" customFormat="1" x14ac:dyDescent="0.35"/>
    <row r="837" s="45" customFormat="1" x14ac:dyDescent="0.35"/>
    <row r="838" s="45" customFormat="1" x14ac:dyDescent="0.35"/>
    <row r="839" s="45" customFormat="1" x14ac:dyDescent="0.35"/>
    <row r="840" s="45" customFormat="1" x14ac:dyDescent="0.35"/>
    <row r="841" s="45" customFormat="1" x14ac:dyDescent="0.35"/>
    <row r="842" s="45" customFormat="1" x14ac:dyDescent="0.35"/>
    <row r="843" s="45" customFormat="1" x14ac:dyDescent="0.35"/>
    <row r="844" s="45" customFormat="1" x14ac:dyDescent="0.35"/>
    <row r="845" s="45" customFormat="1" x14ac:dyDescent="0.35"/>
    <row r="846" s="45" customFormat="1" x14ac:dyDescent="0.35"/>
    <row r="847" s="45" customFormat="1" x14ac:dyDescent="0.35"/>
    <row r="848" s="45" customFormat="1" x14ac:dyDescent="0.35"/>
    <row r="849" s="45" customFormat="1" x14ac:dyDescent="0.35"/>
    <row r="850" s="45" customFormat="1" x14ac:dyDescent="0.35"/>
    <row r="851" s="45" customFormat="1" x14ac:dyDescent="0.35"/>
    <row r="852" s="45" customFormat="1" x14ac:dyDescent="0.35"/>
    <row r="853" s="45" customFormat="1" x14ac:dyDescent="0.35"/>
    <row r="854" s="45" customFormat="1" x14ac:dyDescent="0.35"/>
    <row r="855" s="45" customFormat="1" x14ac:dyDescent="0.35"/>
    <row r="856" s="45" customFormat="1" x14ac:dyDescent="0.35"/>
    <row r="857" s="45" customFormat="1" x14ac:dyDescent="0.35"/>
    <row r="858" s="45" customFormat="1" x14ac:dyDescent="0.35"/>
    <row r="859" s="45" customFormat="1" x14ac:dyDescent="0.35"/>
    <row r="860" s="45" customFormat="1" x14ac:dyDescent="0.35"/>
    <row r="861" s="45" customFormat="1" x14ac:dyDescent="0.35"/>
    <row r="862" s="45" customFormat="1" x14ac:dyDescent="0.35"/>
    <row r="863" s="45" customFormat="1" x14ac:dyDescent="0.35"/>
    <row r="864" s="45" customFormat="1" x14ac:dyDescent="0.35"/>
    <row r="865" s="45" customFormat="1" x14ac:dyDescent="0.35"/>
    <row r="866" s="45" customFormat="1" x14ac:dyDescent="0.35"/>
    <row r="867" s="45" customFormat="1" x14ac:dyDescent="0.35"/>
    <row r="868" s="45" customFormat="1" x14ac:dyDescent="0.35"/>
    <row r="869" s="45" customFormat="1" x14ac:dyDescent="0.35"/>
    <row r="870" s="45" customFormat="1" x14ac:dyDescent="0.35"/>
    <row r="871" s="45" customFormat="1" x14ac:dyDescent="0.35"/>
    <row r="872" s="45" customFormat="1" x14ac:dyDescent="0.35"/>
    <row r="873" s="45" customFormat="1" x14ac:dyDescent="0.35"/>
    <row r="874" s="45" customFormat="1" x14ac:dyDescent="0.35"/>
    <row r="875" s="45" customFormat="1" x14ac:dyDescent="0.35"/>
    <row r="876" s="45" customFormat="1" x14ac:dyDescent="0.35"/>
    <row r="877" s="45" customFormat="1" x14ac:dyDescent="0.35"/>
    <row r="878" s="45" customFormat="1" x14ac:dyDescent="0.35"/>
    <row r="879" s="45" customFormat="1" x14ac:dyDescent="0.35"/>
    <row r="880" s="45" customFormat="1" x14ac:dyDescent="0.35"/>
    <row r="881" s="45" customFormat="1" x14ac:dyDescent="0.35"/>
    <row r="882" s="45" customFormat="1" x14ac:dyDescent="0.35"/>
    <row r="883" s="45" customFormat="1" x14ac:dyDescent="0.35"/>
    <row r="884" s="45" customFormat="1" x14ac:dyDescent="0.35"/>
    <row r="885" s="45" customFormat="1" x14ac:dyDescent="0.35"/>
    <row r="886" s="45" customFormat="1" x14ac:dyDescent="0.35"/>
    <row r="887" s="45" customFormat="1" x14ac:dyDescent="0.35"/>
    <row r="888" s="45" customFormat="1" x14ac:dyDescent="0.35"/>
    <row r="889" s="45" customFormat="1" x14ac:dyDescent="0.35"/>
    <row r="890" s="45" customFormat="1" x14ac:dyDescent="0.35"/>
    <row r="891" s="45" customFormat="1" x14ac:dyDescent="0.35"/>
    <row r="892" s="45" customFormat="1" x14ac:dyDescent="0.35"/>
    <row r="893" s="45" customFormat="1" x14ac:dyDescent="0.35"/>
    <row r="894" s="45" customFormat="1" x14ac:dyDescent="0.35"/>
    <row r="895" s="45" customFormat="1" x14ac:dyDescent="0.35"/>
    <row r="896" s="45" customFormat="1" x14ac:dyDescent="0.35"/>
    <row r="897" s="45" customFormat="1" x14ac:dyDescent="0.35"/>
    <row r="898" s="45" customFormat="1" x14ac:dyDescent="0.35"/>
    <row r="899" s="45" customFormat="1" x14ac:dyDescent="0.35"/>
    <row r="900" s="45" customFormat="1" x14ac:dyDescent="0.35"/>
    <row r="901" s="45" customFormat="1" x14ac:dyDescent="0.35"/>
    <row r="902" s="45" customFormat="1" x14ac:dyDescent="0.35"/>
    <row r="903" s="45" customFormat="1" x14ac:dyDescent="0.35"/>
    <row r="904" s="45" customFormat="1" x14ac:dyDescent="0.35"/>
    <row r="905" s="45" customFormat="1" x14ac:dyDescent="0.35"/>
    <row r="906" s="45" customFormat="1" x14ac:dyDescent="0.35"/>
    <row r="907" s="45" customFormat="1" x14ac:dyDescent="0.35"/>
    <row r="908" s="45" customFormat="1" x14ac:dyDescent="0.35"/>
    <row r="909" s="45" customFormat="1" x14ac:dyDescent="0.35"/>
    <row r="910" s="45" customFormat="1" x14ac:dyDescent="0.35"/>
    <row r="911" s="45" customFormat="1" x14ac:dyDescent="0.35"/>
    <row r="912" s="45" customFormat="1" x14ac:dyDescent="0.35"/>
    <row r="913" s="45" customFormat="1" x14ac:dyDescent="0.35"/>
    <row r="914" s="45" customFormat="1" x14ac:dyDescent="0.35"/>
    <row r="915" s="45" customFormat="1" x14ac:dyDescent="0.35"/>
    <row r="916" s="45" customFormat="1" x14ac:dyDescent="0.35"/>
    <row r="917" s="45" customFormat="1" x14ac:dyDescent="0.35"/>
    <row r="918" s="45" customFormat="1" x14ac:dyDescent="0.35"/>
    <row r="919" s="45" customFormat="1" x14ac:dyDescent="0.35"/>
    <row r="920" s="45" customFormat="1" x14ac:dyDescent="0.35"/>
    <row r="921" s="45" customFormat="1" x14ac:dyDescent="0.35"/>
    <row r="922" s="45" customFormat="1" x14ac:dyDescent="0.35"/>
    <row r="923" s="45" customFormat="1" x14ac:dyDescent="0.35"/>
    <row r="924" s="45" customFormat="1" x14ac:dyDescent="0.35"/>
    <row r="925" s="45" customFormat="1" x14ac:dyDescent="0.35"/>
    <row r="926" s="45" customFormat="1" x14ac:dyDescent="0.35"/>
    <row r="927" s="45" customFormat="1" x14ac:dyDescent="0.35"/>
    <row r="928" s="45" customFormat="1" x14ac:dyDescent="0.35"/>
    <row r="929" s="45" customFormat="1" x14ac:dyDescent="0.35"/>
    <row r="930" s="45" customFormat="1" x14ac:dyDescent="0.35"/>
    <row r="931" s="45" customFormat="1" x14ac:dyDescent="0.35"/>
    <row r="932" s="45" customFormat="1" x14ac:dyDescent="0.35"/>
    <row r="933" s="45" customFormat="1" x14ac:dyDescent="0.35"/>
    <row r="934" s="45" customFormat="1" x14ac:dyDescent="0.35"/>
    <row r="935" s="45" customFormat="1" x14ac:dyDescent="0.35"/>
    <row r="936" s="45" customFormat="1" x14ac:dyDescent="0.35"/>
    <row r="937" s="45" customFormat="1" x14ac:dyDescent="0.35"/>
    <row r="938" s="45" customFormat="1" x14ac:dyDescent="0.35"/>
    <row r="939" s="45" customFormat="1" x14ac:dyDescent="0.35"/>
    <row r="940" s="45" customFormat="1" x14ac:dyDescent="0.35"/>
    <row r="941" s="45" customFormat="1" x14ac:dyDescent="0.35"/>
    <row r="942" s="45" customFormat="1" x14ac:dyDescent="0.35"/>
    <row r="943" s="45" customFormat="1" x14ac:dyDescent="0.35"/>
    <row r="944" s="45" customFormat="1" x14ac:dyDescent="0.35"/>
    <row r="945" s="45" customFormat="1" x14ac:dyDescent="0.35"/>
    <row r="946" s="45" customFormat="1" x14ac:dyDescent="0.35"/>
    <row r="947" s="45" customFormat="1" x14ac:dyDescent="0.35"/>
    <row r="948" s="45" customFormat="1" x14ac:dyDescent="0.35"/>
    <row r="949" s="45" customFormat="1" x14ac:dyDescent="0.35"/>
    <row r="950" s="45" customFormat="1" x14ac:dyDescent="0.35"/>
    <row r="951" s="45" customFormat="1" x14ac:dyDescent="0.35"/>
    <row r="952" s="45" customFormat="1" x14ac:dyDescent="0.35"/>
    <row r="953" s="45" customFormat="1" x14ac:dyDescent="0.35"/>
    <row r="954" s="45" customFormat="1" x14ac:dyDescent="0.35"/>
    <row r="955" s="45" customFormat="1" x14ac:dyDescent="0.35"/>
    <row r="956" s="45" customFormat="1" x14ac:dyDescent="0.35"/>
    <row r="957" s="45" customFormat="1" x14ac:dyDescent="0.35"/>
    <row r="958" s="45" customFormat="1" x14ac:dyDescent="0.35"/>
    <row r="959" s="45" customFormat="1" x14ac:dyDescent="0.35"/>
    <row r="960" s="45" customFormat="1" x14ac:dyDescent="0.35"/>
    <row r="961" s="45" customFormat="1" x14ac:dyDescent="0.35"/>
    <row r="962" s="45" customFormat="1" x14ac:dyDescent="0.35"/>
    <row r="963" s="45" customFormat="1" x14ac:dyDescent="0.35"/>
    <row r="964" s="45" customFormat="1" x14ac:dyDescent="0.35"/>
    <row r="965" s="45" customFormat="1" x14ac:dyDescent="0.35"/>
    <row r="966" s="45" customFormat="1" x14ac:dyDescent="0.35"/>
    <row r="967" s="45" customFormat="1" x14ac:dyDescent="0.35"/>
    <row r="968" s="45" customFormat="1" x14ac:dyDescent="0.35"/>
    <row r="969" s="45" customFormat="1" x14ac:dyDescent="0.35"/>
    <row r="970" s="45" customFormat="1" x14ac:dyDescent="0.35"/>
    <row r="971" s="45" customFormat="1" x14ac:dyDescent="0.35"/>
    <row r="972" s="45" customFormat="1" x14ac:dyDescent="0.35"/>
    <row r="973" s="45" customFormat="1" x14ac:dyDescent="0.35"/>
    <row r="974" s="45" customFormat="1" x14ac:dyDescent="0.35"/>
    <row r="975" s="45" customFormat="1" x14ac:dyDescent="0.35"/>
    <row r="976" s="45" customFormat="1" x14ac:dyDescent="0.35"/>
    <row r="977" s="45" customFormat="1" x14ac:dyDescent="0.35"/>
    <row r="978" s="45" customFormat="1" x14ac:dyDescent="0.35"/>
    <row r="979" s="45" customFormat="1" x14ac:dyDescent="0.35"/>
    <row r="980" s="45" customFormat="1" x14ac:dyDescent="0.35"/>
    <row r="981" s="45" customFormat="1" x14ac:dyDescent="0.35"/>
    <row r="982" s="45" customFormat="1" x14ac:dyDescent="0.35"/>
    <row r="983" s="45" customFormat="1" x14ac:dyDescent="0.35"/>
    <row r="984" s="45" customFormat="1" x14ac:dyDescent="0.35"/>
    <row r="985" s="45" customFormat="1" x14ac:dyDescent="0.35"/>
    <row r="986" s="45" customFormat="1" x14ac:dyDescent="0.35"/>
    <row r="987" s="45" customFormat="1" x14ac:dyDescent="0.35"/>
    <row r="988" s="45" customFormat="1" x14ac:dyDescent="0.35"/>
    <row r="989" s="45" customFormat="1" x14ac:dyDescent="0.35"/>
    <row r="990" s="45" customFormat="1" x14ac:dyDescent="0.35"/>
    <row r="991" s="45" customFormat="1" x14ac:dyDescent="0.35"/>
    <row r="992" s="45" customFormat="1" x14ac:dyDescent="0.35"/>
    <row r="993" s="45" customFormat="1" x14ac:dyDescent="0.35"/>
    <row r="994" s="45" customFormat="1" x14ac:dyDescent="0.35"/>
    <row r="995" s="45" customFormat="1" x14ac:dyDescent="0.35"/>
    <row r="996" s="45" customFormat="1" x14ac:dyDescent="0.35"/>
    <row r="997" s="45" customFormat="1" x14ac:dyDescent="0.35"/>
    <row r="998" s="45" customFormat="1" x14ac:dyDescent="0.35"/>
    <row r="999" s="45" customFormat="1" x14ac:dyDescent="0.35"/>
    <row r="1000" s="45" customFormat="1" x14ac:dyDescent="0.35"/>
    <row r="1001" s="45" customFormat="1" x14ac:dyDescent="0.35"/>
    <row r="1002" s="45" customFormat="1" x14ac:dyDescent="0.35"/>
    <row r="1003" s="45" customFormat="1" x14ac:dyDescent="0.35"/>
    <row r="1004" s="45" customFormat="1" x14ac:dyDescent="0.35"/>
    <row r="1005" s="45" customFormat="1" x14ac:dyDescent="0.35"/>
    <row r="1006" s="45" customFormat="1" x14ac:dyDescent="0.35"/>
    <row r="1007" s="45" customFormat="1" x14ac:dyDescent="0.35"/>
    <row r="1008" s="45" customFormat="1" x14ac:dyDescent="0.35"/>
    <row r="1009" s="45" customFormat="1" x14ac:dyDescent="0.35"/>
    <row r="1010" s="45" customFormat="1" x14ac:dyDescent="0.35"/>
    <row r="1011" s="45" customFormat="1" x14ac:dyDescent="0.35"/>
    <row r="1012" s="45" customFormat="1" x14ac:dyDescent="0.35"/>
    <row r="1013" s="45" customFormat="1" x14ac:dyDescent="0.35"/>
    <row r="1014" s="45" customFormat="1" x14ac:dyDescent="0.35"/>
    <row r="1015" s="45" customFormat="1" x14ac:dyDescent="0.35"/>
    <row r="1016" s="45" customFormat="1" x14ac:dyDescent="0.35"/>
    <row r="1017" s="45" customFormat="1" x14ac:dyDescent="0.35"/>
    <row r="1018" s="45" customFormat="1" x14ac:dyDescent="0.35"/>
    <row r="1019" s="45" customFormat="1" x14ac:dyDescent="0.35"/>
    <row r="1020" s="45" customFormat="1" x14ac:dyDescent="0.35"/>
    <row r="1021" s="45" customFormat="1" x14ac:dyDescent="0.35"/>
    <row r="1022" s="45" customFormat="1" x14ac:dyDescent="0.35"/>
    <row r="1023" s="45" customFormat="1" x14ac:dyDescent="0.35"/>
    <row r="1024" s="45" customFormat="1" x14ac:dyDescent="0.35"/>
    <row r="1025" s="45" customFormat="1" x14ac:dyDescent="0.35"/>
    <row r="1026" s="45" customFormat="1" x14ac:dyDescent="0.35"/>
    <row r="1027" s="45" customFormat="1" x14ac:dyDescent="0.35"/>
    <row r="1028" s="45" customFormat="1" x14ac:dyDescent="0.35"/>
    <row r="1029" s="45" customFormat="1" x14ac:dyDescent="0.35"/>
    <row r="1030" s="45" customFormat="1" x14ac:dyDescent="0.35"/>
    <row r="1031" s="45" customFormat="1" x14ac:dyDescent="0.35"/>
    <row r="1032" s="45" customFormat="1" x14ac:dyDescent="0.35"/>
    <row r="1033" s="45" customFormat="1" x14ac:dyDescent="0.35"/>
    <row r="1034" s="45" customFormat="1" x14ac:dyDescent="0.35"/>
    <row r="1035" s="45" customFormat="1" x14ac:dyDescent="0.35"/>
    <row r="1036" s="45" customFormat="1" x14ac:dyDescent="0.35"/>
    <row r="1037" s="45" customFormat="1" x14ac:dyDescent="0.35"/>
    <row r="1038" s="45" customFormat="1" x14ac:dyDescent="0.35"/>
    <row r="1039" s="45" customFormat="1" x14ac:dyDescent="0.35"/>
    <row r="1040" s="45" customFormat="1" x14ac:dyDescent="0.35"/>
    <row r="1041" s="45" customFormat="1" x14ac:dyDescent="0.35"/>
    <row r="1042" s="45" customFormat="1" x14ac:dyDescent="0.35"/>
    <row r="1043" s="45" customFormat="1" x14ac:dyDescent="0.35"/>
    <row r="1044" s="45" customFormat="1" x14ac:dyDescent="0.35"/>
    <row r="1045" s="45" customFormat="1" x14ac:dyDescent="0.35"/>
    <row r="1046" s="45" customFormat="1" x14ac:dyDescent="0.35"/>
    <row r="1047" s="45" customFormat="1" x14ac:dyDescent="0.35"/>
    <row r="1048" s="45" customFormat="1" x14ac:dyDescent="0.35"/>
    <row r="1049" s="45" customFormat="1" x14ac:dyDescent="0.35"/>
    <row r="1050" s="45" customFormat="1" x14ac:dyDescent="0.35"/>
    <row r="1051" s="45" customFormat="1" x14ac:dyDescent="0.35"/>
    <row r="1052" s="45" customFormat="1" x14ac:dyDescent="0.35"/>
    <row r="1053" s="45" customFormat="1" x14ac:dyDescent="0.35"/>
    <row r="1054" s="45" customFormat="1" x14ac:dyDescent="0.35"/>
    <row r="1055" s="45" customFormat="1" x14ac:dyDescent="0.35"/>
    <row r="1056" s="45" customFormat="1" x14ac:dyDescent="0.35"/>
    <row r="1057" s="45" customFormat="1" x14ac:dyDescent="0.35"/>
    <row r="1058" s="45" customFormat="1" x14ac:dyDescent="0.35"/>
    <row r="1059" s="45" customFormat="1" x14ac:dyDescent="0.35"/>
    <row r="1060" s="45" customFormat="1" x14ac:dyDescent="0.35"/>
    <row r="1061" s="45" customFormat="1" x14ac:dyDescent="0.35"/>
    <row r="1062" s="45" customFormat="1" x14ac:dyDescent="0.35"/>
    <row r="1063" s="45" customFormat="1" x14ac:dyDescent="0.35"/>
    <row r="1064" s="45" customFormat="1" x14ac:dyDescent="0.35"/>
    <row r="1065" s="45" customFormat="1" x14ac:dyDescent="0.35"/>
    <row r="1066" s="45" customFormat="1" x14ac:dyDescent="0.35"/>
    <row r="1067" s="45" customFormat="1" x14ac:dyDescent="0.35"/>
    <row r="1068" s="45" customFormat="1" x14ac:dyDescent="0.35"/>
    <row r="1069" s="45" customFormat="1" x14ac:dyDescent="0.35"/>
    <row r="1070" s="45" customFormat="1" x14ac:dyDescent="0.35"/>
    <row r="1071" s="45" customFormat="1" x14ac:dyDescent="0.35"/>
    <row r="1072" s="45" customFormat="1" x14ac:dyDescent="0.35"/>
    <row r="1073" s="45" customFormat="1" x14ac:dyDescent="0.35"/>
    <row r="1074" s="45" customFormat="1" x14ac:dyDescent="0.35"/>
    <row r="1075" s="45" customFormat="1" x14ac:dyDescent="0.35"/>
    <row r="1076" s="45" customFormat="1" x14ac:dyDescent="0.35"/>
    <row r="1077" s="45" customFormat="1" x14ac:dyDescent="0.35"/>
    <row r="1078" s="45" customFormat="1" x14ac:dyDescent="0.35"/>
    <row r="1079" s="45" customFormat="1" x14ac:dyDescent="0.35"/>
    <row r="1080" s="45" customFormat="1" x14ac:dyDescent="0.35"/>
    <row r="1081" s="45" customFormat="1" x14ac:dyDescent="0.35"/>
    <row r="1082" s="45" customFormat="1" x14ac:dyDescent="0.35"/>
    <row r="1083" s="45" customFormat="1" x14ac:dyDescent="0.35"/>
    <row r="1084" s="45" customFormat="1" x14ac:dyDescent="0.35"/>
    <row r="1085" s="45" customFormat="1" x14ac:dyDescent="0.35"/>
    <row r="1086" s="45" customFormat="1" x14ac:dyDescent="0.35"/>
    <row r="1087" s="45" customFormat="1" x14ac:dyDescent="0.35"/>
    <row r="1088" s="45" customFormat="1" x14ac:dyDescent="0.35"/>
    <row r="1089" s="45" customFormat="1" x14ac:dyDescent="0.35"/>
    <row r="1090" s="45" customFormat="1" x14ac:dyDescent="0.35"/>
    <row r="1091" s="45" customFormat="1" x14ac:dyDescent="0.35"/>
    <row r="1092" s="45" customFormat="1" x14ac:dyDescent="0.35"/>
    <row r="1093" s="45" customFormat="1" x14ac:dyDescent="0.35"/>
    <row r="1094" s="45" customFormat="1" x14ac:dyDescent="0.35"/>
    <row r="1095" s="45" customFormat="1" x14ac:dyDescent="0.35"/>
    <row r="1096" s="45" customFormat="1" x14ac:dyDescent="0.35"/>
    <row r="1097" s="45" customFormat="1" x14ac:dyDescent="0.35"/>
    <row r="1098" s="45" customFormat="1" x14ac:dyDescent="0.35"/>
    <row r="1099" s="45" customFormat="1" x14ac:dyDescent="0.35"/>
    <row r="1100" s="45" customFormat="1" x14ac:dyDescent="0.35"/>
    <row r="1101" s="45" customFormat="1" x14ac:dyDescent="0.35"/>
    <row r="1102" s="45" customFormat="1" x14ac:dyDescent="0.35"/>
    <row r="1103" s="45" customFormat="1" x14ac:dyDescent="0.35"/>
    <row r="1104" s="45" customFormat="1" x14ac:dyDescent="0.35"/>
    <row r="1105" s="45" customFormat="1" x14ac:dyDescent="0.35"/>
    <row r="1106" s="45" customFormat="1" x14ac:dyDescent="0.35"/>
    <row r="1107" s="45" customFormat="1" x14ac:dyDescent="0.35"/>
    <row r="1108" s="45" customFormat="1" x14ac:dyDescent="0.35"/>
    <row r="1109" s="45" customFormat="1" x14ac:dyDescent="0.35"/>
    <row r="1110" s="45" customFormat="1" x14ac:dyDescent="0.35"/>
    <row r="1111" s="45" customFormat="1" x14ac:dyDescent="0.35"/>
    <row r="1112" s="45" customFormat="1" x14ac:dyDescent="0.35"/>
    <row r="1113" s="45" customFormat="1" x14ac:dyDescent="0.35"/>
    <row r="1114" s="45" customFormat="1" x14ac:dyDescent="0.35"/>
    <row r="1115" s="45" customFormat="1" x14ac:dyDescent="0.35"/>
    <row r="1116" s="45" customFormat="1" x14ac:dyDescent="0.35"/>
    <row r="1117" s="45" customFormat="1" x14ac:dyDescent="0.35"/>
    <row r="1118" s="45" customFormat="1" x14ac:dyDescent="0.35"/>
    <row r="1119" s="45" customFormat="1" x14ac:dyDescent="0.35"/>
    <row r="1120" s="45" customFormat="1" x14ac:dyDescent="0.35"/>
    <row r="1121" s="45" customFormat="1" x14ac:dyDescent="0.35"/>
    <row r="1122" s="45" customFormat="1" x14ac:dyDescent="0.35"/>
    <row r="1123" s="45" customFormat="1" x14ac:dyDescent="0.35"/>
    <row r="1124" s="45" customFormat="1" x14ac:dyDescent="0.35"/>
    <row r="1125" s="45" customFormat="1" x14ac:dyDescent="0.35"/>
    <row r="1126" s="45" customFormat="1" x14ac:dyDescent="0.35"/>
    <row r="1127" s="45" customFormat="1" x14ac:dyDescent="0.35"/>
    <row r="1128" s="45" customFormat="1" x14ac:dyDescent="0.35"/>
    <row r="1129" s="45" customFormat="1" x14ac:dyDescent="0.35"/>
    <row r="1130" s="45" customFormat="1" x14ac:dyDescent="0.35"/>
    <row r="1131" s="45" customFormat="1" x14ac:dyDescent="0.35"/>
    <row r="1132" s="45" customFormat="1" x14ac:dyDescent="0.35"/>
    <row r="1133" s="45" customFormat="1" x14ac:dyDescent="0.35"/>
    <row r="1134" s="45" customFormat="1" x14ac:dyDescent="0.35"/>
    <row r="1135" s="45" customFormat="1" x14ac:dyDescent="0.35"/>
    <row r="1136" s="45" customFormat="1" x14ac:dyDescent="0.35"/>
    <row r="1137" s="45" customFormat="1" x14ac:dyDescent="0.35"/>
    <row r="1138" s="45" customFormat="1" x14ac:dyDescent="0.35"/>
    <row r="1139" s="45" customFormat="1" x14ac:dyDescent="0.35"/>
    <row r="1140" s="45" customFormat="1" x14ac:dyDescent="0.35"/>
    <row r="1141" s="45" customFormat="1" x14ac:dyDescent="0.35"/>
    <row r="1142" s="45" customFormat="1" x14ac:dyDescent="0.35"/>
    <row r="1143" s="45" customFormat="1" x14ac:dyDescent="0.35"/>
    <row r="1144" s="45" customFormat="1" x14ac:dyDescent="0.35"/>
    <row r="1145" s="45" customFormat="1" x14ac:dyDescent="0.35"/>
    <row r="1146" s="45" customFormat="1" x14ac:dyDescent="0.35"/>
    <row r="1147" s="45" customFormat="1" x14ac:dyDescent="0.35"/>
    <row r="1148" s="45" customFormat="1" x14ac:dyDescent="0.35"/>
    <row r="1149" s="45" customFormat="1" x14ac:dyDescent="0.35"/>
    <row r="1150" s="45" customFormat="1" x14ac:dyDescent="0.35"/>
    <row r="1151" s="45" customFormat="1" x14ac:dyDescent="0.35"/>
    <row r="1152" s="45" customFormat="1" x14ac:dyDescent="0.35"/>
    <row r="1153" s="45" customFormat="1" x14ac:dyDescent="0.35"/>
    <row r="1154" s="45" customFormat="1" x14ac:dyDescent="0.35"/>
    <row r="1155" s="45" customFormat="1" x14ac:dyDescent="0.35"/>
    <row r="1156" s="45" customFormat="1" x14ac:dyDescent="0.35"/>
    <row r="1157" s="45" customFormat="1" x14ac:dyDescent="0.35"/>
    <row r="1158" s="45" customFormat="1" x14ac:dyDescent="0.35"/>
    <row r="1159" s="45" customFormat="1" x14ac:dyDescent="0.35"/>
    <row r="1160" s="45" customFormat="1" x14ac:dyDescent="0.35"/>
    <row r="1161" s="45" customFormat="1" x14ac:dyDescent="0.35"/>
    <row r="1162" s="45" customFormat="1" x14ac:dyDescent="0.35"/>
    <row r="1163" s="45" customFormat="1" x14ac:dyDescent="0.35"/>
    <row r="1164" s="45" customFormat="1" x14ac:dyDescent="0.35"/>
    <row r="1165" s="45" customFormat="1" x14ac:dyDescent="0.35"/>
    <row r="1166" s="45" customFormat="1" x14ac:dyDescent="0.35"/>
    <row r="1167" s="45" customFormat="1" x14ac:dyDescent="0.35"/>
    <row r="1168" s="45" customFormat="1" x14ac:dyDescent="0.35"/>
    <row r="1169" s="45" customFormat="1" x14ac:dyDescent="0.35"/>
    <row r="1170" s="45" customFormat="1" x14ac:dyDescent="0.35"/>
    <row r="1171" s="45" customFormat="1" x14ac:dyDescent="0.35"/>
    <row r="1172" s="45" customFormat="1" x14ac:dyDescent="0.35"/>
    <row r="1173" s="45" customFormat="1" x14ac:dyDescent="0.35"/>
    <row r="1174" s="45" customFormat="1" x14ac:dyDescent="0.35"/>
    <row r="1175" s="45" customFormat="1" x14ac:dyDescent="0.35"/>
    <row r="1176" s="45" customFormat="1" x14ac:dyDescent="0.35"/>
    <row r="1177" s="45" customFormat="1" x14ac:dyDescent="0.35"/>
    <row r="1178" s="45" customFormat="1" x14ac:dyDescent="0.35"/>
    <row r="1179" s="45" customFormat="1" x14ac:dyDescent="0.35"/>
    <row r="1180" s="45" customFormat="1" x14ac:dyDescent="0.35"/>
    <row r="1181" s="45" customFormat="1" x14ac:dyDescent="0.35"/>
    <row r="1182" s="45" customFormat="1" x14ac:dyDescent="0.35"/>
    <row r="1183" s="45" customFormat="1" x14ac:dyDescent="0.35"/>
    <row r="1184" s="45" customFormat="1" x14ac:dyDescent="0.35"/>
    <row r="1185" s="45" customFormat="1" x14ac:dyDescent="0.35"/>
    <row r="1186" s="45" customFormat="1" x14ac:dyDescent="0.35"/>
    <row r="1187" s="45" customFormat="1" x14ac:dyDescent="0.35"/>
    <row r="1188" s="45" customFormat="1" x14ac:dyDescent="0.35"/>
    <row r="1189" s="45" customFormat="1" x14ac:dyDescent="0.35"/>
    <row r="1190" s="45" customFormat="1" x14ac:dyDescent="0.35"/>
    <row r="1191" s="45" customFormat="1" x14ac:dyDescent="0.35"/>
    <row r="1192" s="45" customFormat="1" x14ac:dyDescent="0.35"/>
    <row r="1193" s="45" customFormat="1" x14ac:dyDescent="0.35"/>
    <row r="1194" s="45" customFormat="1" x14ac:dyDescent="0.35"/>
    <row r="1195" s="45" customFormat="1" x14ac:dyDescent="0.35"/>
    <row r="1196" s="45" customFormat="1" x14ac:dyDescent="0.35"/>
    <row r="1197" s="45" customFormat="1" x14ac:dyDescent="0.35"/>
    <row r="1198" s="45" customFormat="1" x14ac:dyDescent="0.35"/>
    <row r="1199" s="45" customFormat="1" x14ac:dyDescent="0.35"/>
    <row r="1200" s="45" customFormat="1" x14ac:dyDescent="0.35"/>
    <row r="1201" s="45" customFormat="1" x14ac:dyDescent="0.35"/>
    <row r="1202" s="45" customFormat="1" x14ac:dyDescent="0.35"/>
    <row r="1203" s="45" customFormat="1" x14ac:dyDescent="0.35"/>
    <row r="1204" s="45" customFormat="1" x14ac:dyDescent="0.35"/>
    <row r="1205" s="45" customFormat="1" x14ac:dyDescent="0.35"/>
    <row r="1206" s="45" customFormat="1" x14ac:dyDescent="0.35"/>
    <row r="1207" s="45" customFormat="1" x14ac:dyDescent="0.35"/>
    <row r="1208" s="45" customFormat="1" x14ac:dyDescent="0.35"/>
    <row r="1209" s="45" customFormat="1" x14ac:dyDescent="0.35"/>
    <row r="1210" s="45" customFormat="1" x14ac:dyDescent="0.35"/>
    <row r="1211" s="45" customFormat="1" x14ac:dyDescent="0.35"/>
    <row r="1212" s="45" customFormat="1" x14ac:dyDescent="0.35"/>
    <row r="1213" s="45" customFormat="1" x14ac:dyDescent="0.35"/>
    <row r="1214" s="45" customFormat="1" x14ac:dyDescent="0.35"/>
    <row r="1215" s="45" customFormat="1" x14ac:dyDescent="0.35"/>
    <row r="1216" s="45" customFormat="1" x14ac:dyDescent="0.35"/>
    <row r="1217" s="45" customFormat="1" x14ac:dyDescent="0.35"/>
    <row r="1218" s="45" customFormat="1" x14ac:dyDescent="0.35"/>
    <row r="1219" s="45" customFormat="1" x14ac:dyDescent="0.35"/>
    <row r="1220" s="45" customFormat="1" x14ac:dyDescent="0.35"/>
    <row r="1221" s="45" customFormat="1" x14ac:dyDescent="0.35"/>
    <row r="1222" s="45" customFormat="1" x14ac:dyDescent="0.35"/>
    <row r="1223" s="45" customFormat="1" x14ac:dyDescent="0.35"/>
    <row r="1224" s="45" customFormat="1" x14ac:dyDescent="0.35"/>
    <row r="1225" s="45" customFormat="1" x14ac:dyDescent="0.35"/>
    <row r="1226" s="45" customFormat="1" x14ac:dyDescent="0.35"/>
    <row r="1227" s="45" customFormat="1" x14ac:dyDescent="0.35"/>
    <row r="1228" s="45" customFormat="1" x14ac:dyDescent="0.35"/>
    <row r="1229" s="45" customFormat="1" x14ac:dyDescent="0.35"/>
    <row r="1230" s="45" customFormat="1" x14ac:dyDescent="0.35"/>
    <row r="1231" s="45" customFormat="1" x14ac:dyDescent="0.35"/>
    <row r="1232" s="45" customFormat="1" x14ac:dyDescent="0.35"/>
    <row r="1233" s="45" customFormat="1" x14ac:dyDescent="0.35"/>
    <row r="1234" s="45" customFormat="1" x14ac:dyDescent="0.35"/>
    <row r="1235" s="45" customFormat="1" x14ac:dyDescent="0.35"/>
    <row r="1236" s="45" customFormat="1" x14ac:dyDescent="0.35"/>
    <row r="1237" s="45" customFormat="1" x14ac:dyDescent="0.35"/>
    <row r="1238" s="45" customFormat="1" x14ac:dyDescent="0.35"/>
    <row r="1239" s="45" customFormat="1" x14ac:dyDescent="0.35"/>
    <row r="1240" s="45" customFormat="1" x14ac:dyDescent="0.35"/>
    <row r="1241" s="45" customFormat="1" x14ac:dyDescent="0.35"/>
    <row r="1242" s="45" customFormat="1" x14ac:dyDescent="0.35"/>
    <row r="1243" s="45" customFormat="1" x14ac:dyDescent="0.35"/>
    <row r="1244" s="45" customFormat="1" x14ac:dyDescent="0.35"/>
    <row r="1245" s="45" customFormat="1" x14ac:dyDescent="0.35"/>
    <row r="1246" s="45" customFormat="1" x14ac:dyDescent="0.35"/>
    <row r="1247" s="45" customFormat="1" x14ac:dyDescent="0.35"/>
    <row r="1248" s="45" customFormat="1" x14ac:dyDescent="0.35"/>
    <row r="1249" s="45" customFormat="1" x14ac:dyDescent="0.35"/>
    <row r="1250" s="45" customFormat="1" x14ac:dyDescent="0.35"/>
    <row r="1251" s="45" customFormat="1" x14ac:dyDescent="0.35"/>
    <row r="1252" s="45" customFormat="1" x14ac:dyDescent="0.35"/>
    <row r="1253" s="45" customFormat="1" x14ac:dyDescent="0.35"/>
    <row r="1254" s="45" customFormat="1" x14ac:dyDescent="0.35"/>
    <row r="1255" s="45" customFormat="1" x14ac:dyDescent="0.35"/>
    <row r="1256" s="45" customFormat="1" x14ac:dyDescent="0.35"/>
    <row r="1257" s="45" customFormat="1" x14ac:dyDescent="0.35"/>
    <row r="1258" s="45" customFormat="1" x14ac:dyDescent="0.35"/>
    <row r="1259" s="45" customFormat="1" x14ac:dyDescent="0.35"/>
    <row r="1260" s="45" customFormat="1" x14ac:dyDescent="0.35"/>
    <row r="1261" s="45" customFormat="1" x14ac:dyDescent="0.35"/>
    <row r="1262" s="45" customFormat="1" x14ac:dyDescent="0.35"/>
    <row r="1263" s="45" customFormat="1" x14ac:dyDescent="0.35"/>
    <row r="1264" s="45" customFormat="1" x14ac:dyDescent="0.35"/>
    <row r="1265" s="45" customFormat="1" x14ac:dyDescent="0.35"/>
    <row r="1266" s="45" customFormat="1" x14ac:dyDescent="0.35"/>
    <row r="1267" s="45" customFormat="1" x14ac:dyDescent="0.35"/>
    <row r="1268" s="45" customFormat="1" x14ac:dyDescent="0.35"/>
    <row r="1269" s="45" customFormat="1" x14ac:dyDescent="0.35"/>
    <row r="1270" s="45" customFormat="1" x14ac:dyDescent="0.35"/>
    <row r="1271" s="45" customFormat="1" x14ac:dyDescent="0.35"/>
    <row r="1272" s="45" customFormat="1" x14ac:dyDescent="0.35"/>
    <row r="1273" s="45" customFormat="1" x14ac:dyDescent="0.35"/>
    <row r="1274" s="45" customFormat="1" x14ac:dyDescent="0.35"/>
    <row r="1275" s="45" customFormat="1" x14ac:dyDescent="0.35"/>
    <row r="1276" s="45" customFormat="1" x14ac:dyDescent="0.35"/>
    <row r="1277" s="45" customFormat="1" x14ac:dyDescent="0.35"/>
    <row r="1278" s="45" customFormat="1" x14ac:dyDescent="0.35"/>
    <row r="1279" s="45" customFormat="1" x14ac:dyDescent="0.35"/>
    <row r="1280" s="45" customFormat="1" x14ac:dyDescent="0.35"/>
    <row r="1281" s="45" customFormat="1" x14ac:dyDescent="0.35"/>
    <row r="1282" s="45" customFormat="1" x14ac:dyDescent="0.35"/>
    <row r="1283" s="45" customFormat="1" x14ac:dyDescent="0.35"/>
    <row r="1284" s="45" customFormat="1" x14ac:dyDescent="0.35"/>
    <row r="1285" s="45" customFormat="1" x14ac:dyDescent="0.35"/>
    <row r="1286" s="45" customFormat="1" x14ac:dyDescent="0.35"/>
    <row r="1287" s="45" customFormat="1" x14ac:dyDescent="0.35"/>
    <row r="1288" s="45" customFormat="1" x14ac:dyDescent="0.35"/>
    <row r="1289" s="45" customFormat="1" x14ac:dyDescent="0.35"/>
    <row r="1290" s="45" customFormat="1" x14ac:dyDescent="0.35"/>
    <row r="1291" s="45" customFormat="1" x14ac:dyDescent="0.35"/>
    <row r="1292" s="45" customFormat="1" x14ac:dyDescent="0.35"/>
    <row r="1293" s="45" customFormat="1" x14ac:dyDescent="0.35"/>
    <row r="1294" s="45" customFormat="1" x14ac:dyDescent="0.35"/>
    <row r="1295" s="45" customFormat="1" x14ac:dyDescent="0.35"/>
    <row r="1296" s="45" customFormat="1" x14ac:dyDescent="0.35"/>
    <row r="1297" s="45" customFormat="1" x14ac:dyDescent="0.35"/>
    <row r="1298" s="45" customFormat="1" x14ac:dyDescent="0.35"/>
    <row r="1299" s="45" customFormat="1" x14ac:dyDescent="0.35"/>
    <row r="1300" s="45" customFormat="1" x14ac:dyDescent="0.35"/>
    <row r="1301" s="45" customFormat="1" x14ac:dyDescent="0.35"/>
    <row r="1302" s="45" customFormat="1" x14ac:dyDescent="0.35"/>
    <row r="1303" s="45" customFormat="1" x14ac:dyDescent="0.35"/>
    <row r="1304" s="45" customFormat="1" x14ac:dyDescent="0.35"/>
    <row r="1305" s="45" customFormat="1" x14ac:dyDescent="0.35"/>
    <row r="1306" s="45" customFormat="1" x14ac:dyDescent="0.35"/>
    <row r="1307" s="45" customFormat="1" x14ac:dyDescent="0.35"/>
    <row r="1308" s="45" customFormat="1" x14ac:dyDescent="0.35"/>
    <row r="1309" s="45" customFormat="1" x14ac:dyDescent="0.35"/>
    <row r="1310" s="45" customFormat="1" x14ac:dyDescent="0.35"/>
    <row r="1311" s="45" customFormat="1" x14ac:dyDescent="0.35"/>
    <row r="1312" s="45" customFormat="1" x14ac:dyDescent="0.35"/>
    <row r="1313" s="45" customFormat="1" x14ac:dyDescent="0.35"/>
    <row r="1314" s="45" customFormat="1" x14ac:dyDescent="0.35"/>
    <row r="1315" s="45" customFormat="1" x14ac:dyDescent="0.35"/>
    <row r="1316" s="45" customFormat="1" x14ac:dyDescent="0.35"/>
    <row r="1317" s="45" customFormat="1" x14ac:dyDescent="0.35"/>
    <row r="1318" s="45" customFormat="1" x14ac:dyDescent="0.35"/>
    <row r="1319" s="45" customFormat="1" x14ac:dyDescent="0.35"/>
    <row r="1320" s="45" customFormat="1" x14ac:dyDescent="0.35"/>
    <row r="1321" s="45" customFormat="1" x14ac:dyDescent="0.35"/>
    <row r="1322" s="45" customFormat="1" x14ac:dyDescent="0.35"/>
    <row r="1323" s="45" customFormat="1" x14ac:dyDescent="0.35"/>
    <row r="1324" s="45" customFormat="1" x14ac:dyDescent="0.35"/>
    <row r="1325" s="45" customFormat="1" x14ac:dyDescent="0.35"/>
    <row r="1326" s="45" customFormat="1" x14ac:dyDescent="0.35"/>
    <row r="1327" s="45" customFormat="1" x14ac:dyDescent="0.35"/>
  </sheetData>
  <mergeCells count="18">
    <mergeCell ref="C26:J26"/>
    <mergeCell ref="H8:H9"/>
    <mergeCell ref="I8:I9"/>
    <mergeCell ref="C8:C9"/>
    <mergeCell ref="D8:D9"/>
    <mergeCell ref="E8:E9"/>
    <mergeCell ref="F8:F9"/>
    <mergeCell ref="G8:G9"/>
    <mergeCell ref="B2:K2"/>
    <mergeCell ref="B3:K3"/>
    <mergeCell ref="B4:K4"/>
    <mergeCell ref="B5:K5"/>
    <mergeCell ref="B6:K6"/>
    <mergeCell ref="C27:J27"/>
    <mergeCell ref="C29:J29"/>
    <mergeCell ref="C30:J30"/>
    <mergeCell ref="C32:J32"/>
    <mergeCell ref="C33:J33"/>
  </mergeCells>
  <dataValidations disablePrompts="1" count="2">
    <dataValidation type="list" allowBlank="1" showInputMessage="1" showErrorMessage="1" sqref="H20:H23" xr:uid="{3A1FF4BF-2316-4C84-BB44-5414B6E6D8C8}">
      <formula1>$H$45:$H$46</formula1>
    </dataValidation>
    <dataValidation type="list" allowBlank="1" showInputMessage="1" showErrorMessage="1" sqref="H24 H10:H19" xr:uid="{4832BD79-4359-4E2F-B009-5E87B6678F12}">
      <formula1>$H$31:$H$35</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1A432-ECBB-4FC6-A406-FDB293E7845E}">
  <dimension ref="A1:DL952"/>
  <sheetViews>
    <sheetView topLeftCell="A30" zoomScale="68" zoomScaleNormal="100" workbookViewId="0">
      <selection activeCell="D33" sqref="D33:K33"/>
    </sheetView>
  </sheetViews>
  <sheetFormatPr defaultRowHeight="14.5" x14ac:dyDescent="0.35"/>
  <cols>
    <col min="1" max="1" width="9.1796875" style="45"/>
    <col min="2" max="2" width="11.26953125" customWidth="1"/>
    <col min="3" max="3" width="18.26953125" bestFit="1" customWidth="1"/>
    <col min="4" max="4" width="10.54296875" bestFit="1" customWidth="1"/>
    <col min="5" max="5" width="17.453125" customWidth="1"/>
    <col min="6" max="6" width="10.54296875" bestFit="1" customWidth="1"/>
    <col min="7" max="7" width="34" customWidth="1"/>
    <col min="8" max="8" width="20.54296875" bestFit="1" customWidth="1"/>
    <col min="9" max="9" width="51.7265625" bestFit="1" customWidth="1"/>
    <col min="10" max="10" width="146.1796875" bestFit="1" customWidth="1"/>
    <col min="11" max="11" width="8" customWidth="1"/>
  </cols>
  <sheetData>
    <row r="1" spans="1:116" s="45" customFormat="1" x14ac:dyDescent="0.35"/>
    <row r="2" spans="1:116" ht="20" x14ac:dyDescent="0.4">
      <c r="B2" s="241" t="s">
        <v>10</v>
      </c>
      <c r="C2" s="241"/>
      <c r="D2" s="241"/>
      <c r="E2" s="241"/>
      <c r="F2" s="241"/>
      <c r="G2" s="241"/>
      <c r="H2" s="241"/>
      <c r="I2" s="241"/>
      <c r="J2" s="241"/>
      <c r="K2" s="241"/>
      <c r="L2" s="241"/>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c r="AU2" s="45"/>
      <c r="AV2" s="45"/>
      <c r="AW2" s="45"/>
      <c r="AX2" s="45"/>
      <c r="AY2" s="45"/>
      <c r="AZ2" s="45"/>
      <c r="BA2" s="45"/>
      <c r="BB2" s="45"/>
      <c r="BC2" s="45"/>
      <c r="BD2" s="45"/>
      <c r="BE2" s="45"/>
      <c r="BF2" s="45"/>
      <c r="BG2" s="45"/>
      <c r="BH2" s="45"/>
      <c r="BI2" s="45"/>
      <c r="BJ2" s="45"/>
      <c r="BK2" s="45"/>
      <c r="BL2" s="45"/>
      <c r="BM2" s="45"/>
      <c r="BN2" s="45"/>
      <c r="BO2" s="45"/>
      <c r="BP2" s="45"/>
      <c r="BQ2" s="45"/>
      <c r="BR2" s="45"/>
      <c r="BS2" s="45"/>
      <c r="BT2" s="45"/>
      <c r="BU2" s="45"/>
      <c r="BV2" s="45"/>
      <c r="BW2" s="45"/>
      <c r="BX2" s="45"/>
      <c r="BY2" s="45"/>
      <c r="BZ2" s="45"/>
      <c r="CA2" s="45"/>
      <c r="CB2" s="45"/>
      <c r="CC2" s="45"/>
      <c r="CD2" s="45"/>
      <c r="CE2" s="45"/>
      <c r="CF2" s="45"/>
      <c r="CG2" s="45"/>
      <c r="CH2" s="45"/>
      <c r="CI2" s="45"/>
      <c r="CJ2" s="45"/>
      <c r="CK2" s="45"/>
      <c r="CL2" s="45"/>
      <c r="CM2" s="45"/>
      <c r="CN2" s="45"/>
      <c r="CO2" s="45"/>
      <c r="CP2" s="45"/>
      <c r="CQ2" s="45"/>
      <c r="CR2" s="45"/>
      <c r="CS2" s="45"/>
      <c r="CT2" s="45"/>
      <c r="CU2" s="45"/>
      <c r="CV2" s="45"/>
      <c r="CW2" s="45"/>
      <c r="CX2" s="45"/>
      <c r="CY2" s="45"/>
      <c r="CZ2" s="45"/>
      <c r="DA2" s="45"/>
      <c r="DB2" s="45"/>
      <c r="DC2" s="45"/>
      <c r="DD2" s="45"/>
      <c r="DE2" s="45"/>
      <c r="DF2" s="45"/>
      <c r="DG2" s="45"/>
      <c r="DH2" s="45"/>
      <c r="DI2" s="45"/>
      <c r="DJ2" s="45"/>
      <c r="DK2" s="45"/>
      <c r="DL2" s="45"/>
    </row>
    <row r="3" spans="1:116" ht="18" x14ac:dyDescent="0.4">
      <c r="B3" s="242" t="s">
        <v>41</v>
      </c>
      <c r="C3" s="242"/>
      <c r="D3" s="242"/>
      <c r="E3" s="242"/>
      <c r="F3" s="242"/>
      <c r="G3" s="242"/>
      <c r="H3" s="242"/>
      <c r="I3" s="242"/>
      <c r="J3" s="242"/>
      <c r="K3" s="242"/>
      <c r="L3" s="242"/>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c r="BU3" s="45"/>
      <c r="BV3" s="45"/>
      <c r="BW3" s="45"/>
      <c r="BX3" s="45"/>
      <c r="BY3" s="45"/>
      <c r="BZ3" s="45"/>
      <c r="CA3" s="45"/>
      <c r="CB3" s="45"/>
      <c r="CC3" s="45"/>
      <c r="CD3" s="45"/>
      <c r="CE3" s="45"/>
      <c r="CF3" s="45"/>
      <c r="CG3" s="45"/>
      <c r="CH3" s="45"/>
      <c r="CI3" s="45"/>
      <c r="CJ3" s="45"/>
      <c r="CK3" s="45"/>
      <c r="CL3" s="45"/>
      <c r="CM3" s="45"/>
      <c r="CN3" s="45"/>
      <c r="CO3" s="45"/>
      <c r="CP3" s="45"/>
      <c r="CQ3" s="45"/>
      <c r="CR3" s="45"/>
      <c r="CS3" s="45"/>
      <c r="CT3" s="45"/>
      <c r="CU3" s="45"/>
      <c r="CV3" s="45"/>
      <c r="CW3" s="45"/>
      <c r="CX3" s="45"/>
      <c r="CY3" s="45"/>
      <c r="CZ3" s="45"/>
      <c r="DA3" s="45"/>
      <c r="DB3" s="45"/>
      <c r="DC3" s="45"/>
      <c r="DD3" s="45"/>
      <c r="DE3" s="45"/>
      <c r="DF3" s="45"/>
      <c r="DG3" s="45"/>
      <c r="DH3" s="45"/>
      <c r="DI3" s="45"/>
      <c r="DJ3" s="45"/>
      <c r="DK3" s="45"/>
      <c r="DL3" s="45"/>
    </row>
    <row r="4" spans="1:116" x14ac:dyDescent="0.35">
      <c r="B4" s="243" t="s">
        <v>354</v>
      </c>
      <c r="C4" s="243"/>
      <c r="D4" s="243"/>
      <c r="E4" s="243"/>
      <c r="F4" s="243"/>
      <c r="G4" s="243"/>
      <c r="H4" s="243"/>
      <c r="I4" s="243"/>
      <c r="J4" s="243"/>
      <c r="K4" s="243"/>
      <c r="L4" s="243"/>
      <c r="M4" s="45"/>
      <c r="N4" s="45"/>
      <c r="O4" s="45"/>
      <c r="P4" s="45"/>
      <c r="Q4" s="45"/>
      <c r="R4" s="45"/>
      <c r="S4" s="45"/>
      <c r="T4" s="45"/>
      <c r="U4" s="45"/>
      <c r="V4" s="45"/>
      <c r="W4" s="45"/>
      <c r="X4" s="45"/>
      <c r="Y4" s="45"/>
      <c r="Z4" s="45"/>
      <c r="AA4" s="45"/>
      <c r="AB4" s="45"/>
      <c r="AC4" s="45"/>
      <c r="AD4" s="45"/>
      <c r="AE4" s="45"/>
      <c r="AF4" s="45"/>
      <c r="AG4" s="45"/>
      <c r="AH4" s="45"/>
      <c r="AI4" s="45"/>
      <c r="AJ4" s="45"/>
      <c r="AK4" s="45"/>
      <c r="AL4" s="45"/>
      <c r="AM4" s="45"/>
      <c r="AN4" s="45"/>
      <c r="AO4" s="45"/>
      <c r="AP4" s="45"/>
      <c r="AQ4" s="45"/>
      <c r="AR4" s="45"/>
      <c r="AS4" s="45"/>
      <c r="AT4" s="45"/>
      <c r="AU4" s="45"/>
      <c r="AV4" s="45"/>
      <c r="AW4" s="45"/>
      <c r="AX4" s="45"/>
      <c r="AY4" s="45"/>
      <c r="AZ4" s="45"/>
      <c r="BA4" s="45"/>
      <c r="BB4" s="45"/>
      <c r="BC4" s="45"/>
      <c r="BD4" s="45"/>
      <c r="BE4" s="45"/>
      <c r="BF4" s="45"/>
      <c r="BG4" s="45"/>
      <c r="BH4" s="45"/>
      <c r="BI4" s="45"/>
      <c r="BJ4" s="45"/>
      <c r="BK4" s="45"/>
      <c r="BL4" s="45"/>
      <c r="BM4" s="45"/>
      <c r="BN4" s="45"/>
      <c r="BO4" s="45"/>
      <c r="BP4" s="45"/>
      <c r="BQ4" s="45"/>
      <c r="BR4" s="45"/>
      <c r="BS4" s="45"/>
      <c r="BT4" s="45"/>
      <c r="BU4" s="45"/>
      <c r="BV4" s="45"/>
      <c r="BW4" s="45"/>
      <c r="BX4" s="45"/>
      <c r="BY4" s="45"/>
      <c r="BZ4" s="45"/>
      <c r="CA4" s="45"/>
      <c r="CB4" s="45"/>
      <c r="CC4" s="45"/>
      <c r="CD4" s="45"/>
      <c r="CE4" s="45"/>
      <c r="CF4" s="45"/>
      <c r="CG4" s="45"/>
      <c r="CH4" s="45"/>
      <c r="CI4" s="45"/>
      <c r="CJ4" s="45"/>
      <c r="CK4" s="45"/>
      <c r="CL4" s="45"/>
      <c r="CM4" s="45"/>
      <c r="CN4" s="45"/>
      <c r="CO4" s="45"/>
      <c r="CP4" s="45"/>
      <c r="CQ4" s="45"/>
      <c r="CR4" s="45"/>
      <c r="CS4" s="45"/>
      <c r="CT4" s="45"/>
      <c r="CU4" s="45"/>
      <c r="CV4" s="45"/>
      <c r="CW4" s="45"/>
      <c r="CX4" s="45"/>
      <c r="CY4" s="45"/>
      <c r="CZ4" s="45"/>
      <c r="DA4" s="45"/>
      <c r="DB4" s="45"/>
      <c r="DC4" s="45"/>
      <c r="DD4" s="45"/>
      <c r="DE4" s="45"/>
      <c r="DF4" s="45"/>
      <c r="DG4" s="45"/>
      <c r="DH4" s="45"/>
      <c r="DI4" s="45"/>
      <c r="DJ4" s="45"/>
      <c r="DK4" s="45"/>
      <c r="DL4" s="45"/>
    </row>
    <row r="5" spans="1:116" x14ac:dyDescent="0.35">
      <c r="B5" s="244" t="s">
        <v>2</v>
      </c>
      <c r="C5" s="244"/>
      <c r="D5" s="244"/>
      <c r="E5" s="244"/>
      <c r="F5" s="244"/>
      <c r="G5" s="244"/>
      <c r="H5" s="244"/>
      <c r="I5" s="244"/>
      <c r="J5" s="244"/>
      <c r="K5" s="244"/>
      <c r="L5" s="244"/>
      <c r="M5" s="45"/>
      <c r="N5" s="45"/>
      <c r="O5" s="45"/>
      <c r="P5" s="45"/>
      <c r="Q5" s="45"/>
      <c r="R5" s="45"/>
      <c r="S5" s="45"/>
      <c r="T5" s="45"/>
      <c r="U5" s="45"/>
      <c r="V5" s="45"/>
      <c r="W5" s="45"/>
      <c r="X5" s="45"/>
      <c r="Y5" s="45"/>
      <c r="Z5" s="45"/>
      <c r="AA5" s="45"/>
      <c r="AB5" s="45"/>
      <c r="AC5" s="45"/>
      <c r="AD5" s="45"/>
      <c r="AE5" s="45"/>
      <c r="AF5" s="45"/>
      <c r="AG5" s="45"/>
      <c r="AH5" s="45"/>
      <c r="AI5" s="45"/>
      <c r="AJ5" s="45"/>
      <c r="AK5" s="45"/>
      <c r="AL5" s="45"/>
      <c r="AM5" s="45"/>
      <c r="AN5" s="45"/>
      <c r="AO5" s="45"/>
      <c r="AP5" s="45"/>
      <c r="AQ5" s="45"/>
      <c r="AR5" s="45"/>
      <c r="AS5" s="45"/>
      <c r="AT5" s="45"/>
      <c r="AU5" s="45"/>
      <c r="AV5" s="45"/>
      <c r="AW5" s="45"/>
      <c r="AX5" s="45"/>
      <c r="AY5" s="45"/>
      <c r="AZ5" s="45"/>
      <c r="BA5" s="45"/>
      <c r="BB5" s="45"/>
      <c r="BC5" s="45"/>
      <c r="BD5" s="45"/>
      <c r="BE5" s="45"/>
      <c r="BF5" s="45"/>
      <c r="BG5" s="45"/>
      <c r="BH5" s="45"/>
      <c r="BI5" s="45"/>
      <c r="BJ5" s="45"/>
      <c r="BK5" s="45"/>
      <c r="BL5" s="45"/>
      <c r="BM5" s="45"/>
      <c r="BN5" s="45"/>
      <c r="BO5" s="45"/>
      <c r="BP5" s="45"/>
      <c r="BQ5" s="45"/>
      <c r="BR5" s="45"/>
      <c r="BS5" s="45"/>
      <c r="BT5" s="45"/>
      <c r="BU5" s="45"/>
      <c r="BV5" s="45"/>
      <c r="BW5" s="45"/>
      <c r="BX5" s="45"/>
      <c r="BY5" s="45"/>
      <c r="BZ5" s="45"/>
      <c r="CA5" s="45"/>
      <c r="CB5" s="45"/>
      <c r="CC5" s="45"/>
      <c r="CD5" s="45"/>
      <c r="CE5" s="45"/>
      <c r="CF5" s="45"/>
      <c r="CG5" s="45"/>
      <c r="CH5" s="45"/>
      <c r="CI5" s="45"/>
      <c r="CJ5" s="45"/>
      <c r="CK5" s="45"/>
      <c r="CL5" s="45"/>
      <c r="CM5" s="45"/>
      <c r="CN5" s="45"/>
      <c r="CO5" s="45"/>
      <c r="CP5" s="45"/>
      <c r="CQ5" s="45"/>
      <c r="CR5" s="45"/>
      <c r="CS5" s="45"/>
      <c r="CT5" s="45"/>
      <c r="CU5" s="45"/>
      <c r="CV5" s="45"/>
      <c r="CW5" s="45"/>
      <c r="CX5" s="45"/>
      <c r="CY5" s="45"/>
      <c r="CZ5" s="45"/>
      <c r="DA5" s="45"/>
      <c r="DB5" s="45"/>
      <c r="DC5" s="45"/>
      <c r="DD5" s="45"/>
      <c r="DE5" s="45"/>
      <c r="DF5" s="45"/>
      <c r="DG5" s="45"/>
      <c r="DH5" s="45"/>
      <c r="DI5" s="45"/>
      <c r="DJ5" s="45"/>
      <c r="DK5" s="45"/>
      <c r="DL5" s="45"/>
    </row>
    <row r="6" spans="1:116" x14ac:dyDescent="0.35">
      <c r="B6" s="244" t="s">
        <v>12</v>
      </c>
      <c r="C6" s="244"/>
      <c r="D6" s="244"/>
      <c r="E6" s="244"/>
      <c r="F6" s="244"/>
      <c r="G6" s="244"/>
      <c r="H6" s="244"/>
      <c r="I6" s="244"/>
      <c r="J6" s="244"/>
      <c r="K6" s="244"/>
      <c r="L6" s="244"/>
      <c r="M6" s="45"/>
      <c r="N6" s="45"/>
      <c r="O6" s="45"/>
      <c r="P6" s="45"/>
      <c r="Q6" s="45"/>
      <c r="R6" s="45"/>
      <c r="S6" s="45"/>
      <c r="T6" s="45"/>
      <c r="U6" s="45"/>
      <c r="V6" s="45"/>
      <c r="W6" s="45"/>
      <c r="X6" s="45"/>
      <c r="Y6" s="45"/>
      <c r="Z6" s="45"/>
      <c r="AA6" s="45"/>
      <c r="AB6" s="45"/>
      <c r="AC6" s="45"/>
      <c r="AD6" s="45"/>
      <c r="AE6" s="45"/>
      <c r="AF6" s="45"/>
      <c r="AG6" s="45"/>
      <c r="AH6" s="45"/>
      <c r="AI6" s="45"/>
      <c r="AJ6" s="45"/>
      <c r="AK6" s="45"/>
      <c r="AL6" s="45"/>
      <c r="AM6" s="45"/>
      <c r="AN6" s="45"/>
      <c r="AO6" s="45"/>
      <c r="AP6" s="45"/>
      <c r="AQ6" s="45"/>
      <c r="AR6" s="45"/>
      <c r="AS6" s="45"/>
      <c r="AT6" s="45"/>
      <c r="AU6" s="45"/>
      <c r="AV6" s="45"/>
      <c r="AW6" s="45"/>
      <c r="AX6" s="45"/>
      <c r="AY6" s="45"/>
      <c r="AZ6" s="45"/>
      <c r="BA6" s="45"/>
      <c r="BB6" s="45"/>
      <c r="BC6" s="45"/>
      <c r="BD6" s="45"/>
      <c r="BE6" s="45"/>
      <c r="BF6" s="45"/>
      <c r="BG6" s="45"/>
      <c r="BH6" s="45"/>
      <c r="BI6" s="45"/>
      <c r="BJ6" s="45"/>
      <c r="BK6" s="45"/>
      <c r="BL6" s="45"/>
      <c r="BM6" s="45"/>
      <c r="BN6" s="45"/>
      <c r="BO6" s="45"/>
      <c r="BP6" s="45"/>
      <c r="BQ6" s="45"/>
      <c r="BR6" s="45"/>
      <c r="BS6" s="45"/>
      <c r="BT6" s="45"/>
      <c r="BU6" s="45"/>
      <c r="BV6" s="45"/>
      <c r="BW6" s="45"/>
      <c r="BX6" s="45"/>
      <c r="BY6" s="45"/>
      <c r="BZ6" s="45"/>
      <c r="CA6" s="45"/>
      <c r="CB6" s="45"/>
      <c r="CC6" s="45"/>
      <c r="CD6" s="45"/>
      <c r="CE6" s="45"/>
      <c r="CF6" s="45"/>
      <c r="CG6" s="45"/>
      <c r="CH6" s="45"/>
      <c r="CI6" s="45"/>
      <c r="CJ6" s="45"/>
      <c r="CK6" s="45"/>
      <c r="CL6" s="45"/>
      <c r="CM6" s="45"/>
      <c r="CN6" s="45"/>
      <c r="CO6" s="45"/>
      <c r="CP6" s="45"/>
      <c r="CQ6" s="45"/>
      <c r="CR6" s="45"/>
      <c r="CS6" s="45"/>
      <c r="CT6" s="45"/>
      <c r="CU6" s="45"/>
      <c r="CV6" s="45"/>
      <c r="CW6" s="45"/>
      <c r="CX6" s="45"/>
      <c r="CY6" s="45"/>
      <c r="CZ6" s="45"/>
      <c r="DA6" s="45"/>
      <c r="DB6" s="45"/>
      <c r="DC6" s="45"/>
      <c r="DD6" s="45"/>
      <c r="DE6" s="45"/>
      <c r="DF6" s="45"/>
      <c r="DG6" s="45"/>
      <c r="DH6" s="45"/>
      <c r="DI6" s="45"/>
      <c r="DJ6" s="45"/>
      <c r="DK6" s="45"/>
      <c r="DL6" s="45"/>
    </row>
    <row r="7" spans="1:116" s="44" customFormat="1" x14ac:dyDescent="0.35">
      <c r="A7" s="45"/>
      <c r="M7" s="45"/>
      <c r="N7" s="45"/>
      <c r="O7" s="45"/>
      <c r="P7" s="45"/>
      <c r="Q7" s="45"/>
      <c r="R7" s="45"/>
      <c r="S7" s="45"/>
      <c r="T7" s="45"/>
      <c r="U7" s="45"/>
      <c r="V7" s="45"/>
      <c r="W7" s="45"/>
      <c r="X7" s="45"/>
      <c r="Y7" s="45"/>
      <c r="Z7" s="45"/>
      <c r="AA7" s="45"/>
      <c r="AB7" s="45"/>
      <c r="AC7" s="45"/>
      <c r="AD7" s="45"/>
      <c r="AE7" s="45"/>
      <c r="AF7" s="45"/>
      <c r="AG7" s="45"/>
      <c r="AH7" s="45"/>
      <c r="AI7" s="45"/>
      <c r="AJ7" s="45"/>
      <c r="AK7" s="45"/>
      <c r="AL7" s="45"/>
      <c r="AM7" s="45"/>
      <c r="AN7" s="45"/>
      <c r="AO7" s="45"/>
      <c r="AP7" s="45"/>
      <c r="AQ7" s="45"/>
      <c r="AR7" s="45"/>
      <c r="AS7" s="45"/>
      <c r="AT7" s="45"/>
      <c r="AU7" s="45"/>
      <c r="AV7" s="45"/>
      <c r="AW7" s="45"/>
      <c r="AX7" s="45"/>
      <c r="AY7" s="45"/>
      <c r="AZ7" s="45"/>
      <c r="BA7" s="45"/>
      <c r="BB7" s="45"/>
      <c r="BC7" s="45"/>
      <c r="BD7" s="45"/>
      <c r="BE7" s="45"/>
      <c r="BF7" s="45"/>
      <c r="BG7" s="45"/>
      <c r="BH7" s="45"/>
      <c r="BI7" s="45"/>
      <c r="BJ7" s="45"/>
      <c r="BK7" s="45"/>
      <c r="BL7" s="45"/>
      <c r="BM7" s="45"/>
      <c r="BN7" s="45"/>
      <c r="BO7" s="45"/>
      <c r="BP7" s="45"/>
      <c r="BQ7" s="45"/>
      <c r="BR7" s="45"/>
      <c r="BS7" s="45"/>
      <c r="BT7" s="45"/>
      <c r="BU7" s="45"/>
      <c r="BV7" s="45"/>
      <c r="BW7" s="45"/>
      <c r="BX7" s="45"/>
      <c r="BY7" s="45"/>
      <c r="BZ7" s="45"/>
      <c r="CA7" s="45"/>
      <c r="CB7" s="45"/>
      <c r="CC7" s="45"/>
      <c r="CD7" s="45"/>
      <c r="CE7" s="45"/>
      <c r="CF7" s="45"/>
      <c r="CG7" s="45"/>
      <c r="CH7" s="45"/>
      <c r="CI7" s="45"/>
      <c r="CJ7" s="45"/>
      <c r="CK7" s="45"/>
      <c r="CL7" s="45"/>
      <c r="CM7" s="45"/>
      <c r="CN7" s="45"/>
      <c r="CO7" s="45"/>
      <c r="CP7" s="45"/>
      <c r="CQ7" s="45"/>
      <c r="CR7" s="45"/>
      <c r="CS7" s="45"/>
      <c r="CT7" s="45"/>
      <c r="CU7" s="45"/>
      <c r="CV7" s="45"/>
      <c r="CW7" s="45"/>
      <c r="CX7" s="45"/>
      <c r="CY7" s="45"/>
      <c r="CZ7" s="45"/>
      <c r="DA7" s="45"/>
      <c r="DB7" s="45"/>
      <c r="DC7" s="45"/>
      <c r="DD7" s="45"/>
      <c r="DE7" s="45"/>
      <c r="DF7" s="45"/>
      <c r="DG7" s="45"/>
      <c r="DH7" s="45"/>
      <c r="DI7" s="45"/>
      <c r="DJ7" s="45"/>
      <c r="DK7" s="45"/>
      <c r="DL7" s="45"/>
    </row>
    <row r="8" spans="1:116" x14ac:dyDescent="0.35">
      <c r="B8" s="56"/>
      <c r="C8" s="240" t="s">
        <v>42</v>
      </c>
      <c r="D8" s="240" t="s">
        <v>43</v>
      </c>
      <c r="E8" s="240" t="s">
        <v>44</v>
      </c>
      <c r="F8" s="240" t="s">
        <v>45</v>
      </c>
      <c r="G8" s="240" t="s">
        <v>46</v>
      </c>
      <c r="H8" s="240" t="s">
        <v>47</v>
      </c>
      <c r="I8" s="240" t="s">
        <v>48</v>
      </c>
      <c r="J8" s="240" t="s">
        <v>400</v>
      </c>
      <c r="K8" s="44"/>
      <c r="L8" s="44"/>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c r="BM8" s="45"/>
      <c r="BN8" s="45"/>
      <c r="BO8" s="45"/>
      <c r="BP8" s="45"/>
      <c r="BQ8" s="45"/>
      <c r="BR8" s="45"/>
      <c r="BS8" s="45"/>
      <c r="BT8" s="45"/>
      <c r="BU8" s="45"/>
      <c r="BV8" s="45"/>
      <c r="BW8" s="45"/>
      <c r="BX8" s="45"/>
      <c r="BY8" s="45"/>
      <c r="BZ8" s="45"/>
      <c r="CA8" s="45"/>
      <c r="CB8" s="45"/>
      <c r="CC8" s="45"/>
      <c r="CD8" s="45"/>
      <c r="CE8" s="45"/>
      <c r="CF8" s="45"/>
      <c r="CG8" s="45"/>
      <c r="CH8" s="45"/>
      <c r="CI8" s="45"/>
      <c r="CJ8" s="45"/>
      <c r="CK8" s="45"/>
      <c r="CL8" s="45"/>
      <c r="CM8" s="45"/>
      <c r="CN8" s="45"/>
      <c r="CO8" s="45"/>
      <c r="CP8" s="45"/>
      <c r="CQ8" s="45"/>
      <c r="CR8" s="45"/>
      <c r="CS8" s="45"/>
      <c r="CT8" s="45"/>
      <c r="CU8" s="45"/>
      <c r="CV8" s="45"/>
      <c r="CW8" s="45"/>
      <c r="CX8" s="45"/>
      <c r="CY8" s="45"/>
      <c r="CZ8" s="45"/>
      <c r="DA8" s="45"/>
      <c r="DB8" s="45"/>
      <c r="DC8" s="45"/>
      <c r="DD8" s="45"/>
      <c r="DE8" s="45"/>
      <c r="DF8" s="45"/>
      <c r="DG8" s="45"/>
      <c r="DH8" s="45"/>
      <c r="DI8" s="45"/>
      <c r="DJ8" s="45"/>
      <c r="DK8" s="45"/>
      <c r="DL8" s="45"/>
    </row>
    <row r="9" spans="1:116" x14ac:dyDescent="0.35">
      <c r="B9" s="44"/>
      <c r="C9" s="240"/>
      <c r="D9" s="240"/>
      <c r="E9" s="240"/>
      <c r="F9" s="240"/>
      <c r="G9" s="240"/>
      <c r="H9" s="240"/>
      <c r="I9" s="240"/>
      <c r="J9" s="240"/>
      <c r="K9" s="44"/>
      <c r="L9" s="44"/>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45"/>
      <c r="AN9" s="45"/>
      <c r="AO9" s="45"/>
      <c r="AP9" s="45"/>
      <c r="AQ9" s="45"/>
      <c r="AR9" s="45"/>
      <c r="AS9" s="45"/>
      <c r="AT9" s="45"/>
      <c r="AU9" s="45"/>
      <c r="AV9" s="45"/>
      <c r="AW9" s="45"/>
      <c r="AX9" s="45"/>
      <c r="AY9" s="45"/>
      <c r="AZ9" s="45"/>
      <c r="BA9" s="45"/>
      <c r="BB9" s="45"/>
      <c r="BC9" s="45"/>
      <c r="BD9" s="45"/>
      <c r="BE9" s="45"/>
      <c r="BF9" s="45"/>
      <c r="BG9" s="45"/>
      <c r="BH9" s="45"/>
      <c r="BI9" s="45"/>
      <c r="BJ9" s="45"/>
      <c r="BK9" s="45"/>
      <c r="BL9" s="45"/>
      <c r="BM9" s="45"/>
      <c r="BN9" s="45"/>
      <c r="BO9" s="45"/>
      <c r="BP9" s="45"/>
      <c r="BQ9" s="45"/>
      <c r="BR9" s="45"/>
      <c r="BS9" s="45"/>
      <c r="BT9" s="45"/>
      <c r="BU9" s="45"/>
      <c r="BV9" s="45"/>
      <c r="BW9" s="45"/>
      <c r="BX9" s="45"/>
      <c r="BY9" s="45"/>
      <c r="BZ9" s="45"/>
      <c r="CA9" s="45"/>
      <c r="CB9" s="45"/>
      <c r="CC9" s="45"/>
      <c r="CD9" s="45"/>
      <c r="CE9" s="45"/>
      <c r="CF9" s="45"/>
      <c r="CG9" s="45"/>
      <c r="CH9" s="45"/>
      <c r="CI9" s="45"/>
      <c r="CJ9" s="45"/>
      <c r="CK9" s="45"/>
      <c r="CL9" s="45"/>
      <c r="CM9" s="45"/>
      <c r="CN9" s="45"/>
      <c r="CO9" s="45"/>
      <c r="CP9" s="45"/>
      <c r="CQ9" s="45"/>
      <c r="CR9" s="45"/>
      <c r="CS9" s="45"/>
      <c r="CT9" s="45"/>
      <c r="CU9" s="45"/>
      <c r="CV9" s="45"/>
      <c r="CW9" s="45"/>
      <c r="CX9" s="45"/>
      <c r="CY9" s="45"/>
      <c r="CZ9" s="45"/>
      <c r="DA9" s="45"/>
      <c r="DB9" s="45"/>
      <c r="DC9" s="45"/>
      <c r="DD9" s="45"/>
      <c r="DE9" s="45"/>
      <c r="DF9" s="45"/>
      <c r="DG9" s="45"/>
      <c r="DH9" s="45"/>
      <c r="DI9" s="45"/>
      <c r="DJ9" s="45"/>
      <c r="DK9" s="45"/>
      <c r="DL9" s="45"/>
    </row>
    <row r="10" spans="1:116" ht="313" x14ac:dyDescent="0.35">
      <c r="B10" s="44"/>
      <c r="C10" s="62" t="s">
        <v>50</v>
      </c>
      <c r="D10" s="113" t="s">
        <v>51</v>
      </c>
      <c r="E10" s="113" t="s">
        <v>52</v>
      </c>
      <c r="F10" s="113" t="s">
        <v>53</v>
      </c>
      <c r="G10" s="126" t="s">
        <v>240</v>
      </c>
      <c r="H10" s="127" t="s">
        <v>55</v>
      </c>
      <c r="I10" s="108"/>
      <c r="J10" s="214" t="s">
        <v>592</v>
      </c>
      <c r="K10" s="44"/>
      <c r="L10" s="44"/>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c r="AL10" s="45"/>
      <c r="AM10" s="45"/>
      <c r="AN10" s="45"/>
      <c r="AO10" s="45"/>
      <c r="AP10" s="45"/>
      <c r="AQ10" s="45"/>
      <c r="AR10" s="45"/>
      <c r="AS10" s="45"/>
      <c r="AT10" s="45"/>
      <c r="AU10" s="45"/>
      <c r="AV10" s="45"/>
      <c r="AW10" s="45"/>
      <c r="AX10" s="45"/>
      <c r="AY10" s="45"/>
      <c r="AZ10" s="45"/>
      <c r="BA10" s="45"/>
      <c r="BB10" s="45"/>
      <c r="BC10" s="45"/>
      <c r="BD10" s="45"/>
      <c r="BE10" s="45"/>
      <c r="BF10" s="45"/>
      <c r="BG10" s="45"/>
      <c r="BH10" s="45"/>
      <c r="BI10" s="45"/>
      <c r="BJ10" s="45"/>
      <c r="BK10" s="45"/>
      <c r="BL10" s="45"/>
      <c r="BM10" s="45"/>
      <c r="BN10" s="45"/>
      <c r="BO10" s="45"/>
      <c r="BP10" s="45"/>
      <c r="BQ10" s="45"/>
      <c r="BR10" s="45"/>
      <c r="BS10" s="45"/>
      <c r="BT10" s="45"/>
      <c r="BU10" s="45"/>
      <c r="BV10" s="45"/>
      <c r="BW10" s="45"/>
      <c r="BX10" s="45"/>
      <c r="BY10" s="45"/>
      <c r="BZ10" s="45"/>
      <c r="CA10" s="45"/>
      <c r="CB10" s="45"/>
      <c r="CC10" s="45"/>
      <c r="CD10" s="45"/>
      <c r="CE10" s="45"/>
      <c r="CF10" s="45"/>
      <c r="CG10" s="45"/>
      <c r="CH10" s="45"/>
      <c r="CI10" s="45"/>
      <c r="CJ10" s="45"/>
      <c r="CK10" s="45"/>
      <c r="CL10" s="45"/>
      <c r="CM10" s="45"/>
      <c r="CN10" s="45"/>
      <c r="CO10" s="45"/>
      <c r="CP10" s="45"/>
      <c r="CQ10" s="45"/>
      <c r="CR10" s="45"/>
      <c r="CS10" s="45"/>
      <c r="CT10" s="45"/>
      <c r="CU10" s="45"/>
      <c r="CV10" s="45"/>
      <c r="CW10" s="45"/>
      <c r="CX10" s="45"/>
      <c r="CY10" s="45"/>
      <c r="CZ10" s="45"/>
      <c r="DA10" s="45"/>
      <c r="DB10" s="45"/>
      <c r="DC10" s="45"/>
      <c r="DD10" s="45"/>
      <c r="DE10" s="45"/>
      <c r="DF10" s="45"/>
      <c r="DG10" s="45"/>
      <c r="DH10" s="45"/>
      <c r="DI10" s="45"/>
      <c r="DJ10" s="45"/>
      <c r="DK10" s="45"/>
      <c r="DL10" s="45"/>
    </row>
    <row r="11" spans="1:116" ht="409.5" x14ac:dyDescent="0.35">
      <c r="B11" s="44"/>
      <c r="C11" s="62" t="s">
        <v>66</v>
      </c>
      <c r="D11" s="113" t="s">
        <v>241</v>
      </c>
      <c r="E11" s="113" t="s">
        <v>242</v>
      </c>
      <c r="F11" s="113" t="s">
        <v>58</v>
      </c>
      <c r="G11" s="114" t="s">
        <v>243</v>
      </c>
      <c r="H11" s="114"/>
      <c r="I11" s="108"/>
      <c r="J11" s="215" t="s">
        <v>593</v>
      </c>
      <c r="K11" s="44"/>
      <c r="L11" s="44"/>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5"/>
      <c r="BD11" s="45"/>
      <c r="BE11" s="45"/>
      <c r="BF11" s="45"/>
      <c r="BG11" s="45"/>
      <c r="BH11" s="45"/>
      <c r="BI11" s="45"/>
      <c r="BJ11" s="45"/>
      <c r="BK11" s="45"/>
      <c r="BL11" s="45"/>
      <c r="BM11" s="45"/>
      <c r="BN11" s="45"/>
      <c r="BO11" s="45"/>
      <c r="BP11" s="45"/>
      <c r="BQ11" s="45"/>
      <c r="BR11" s="45"/>
      <c r="BS11" s="45"/>
      <c r="BT11" s="45"/>
      <c r="BU11" s="45"/>
      <c r="BV11" s="45"/>
      <c r="BW11" s="45"/>
      <c r="BX11" s="45"/>
      <c r="BY11" s="45"/>
      <c r="BZ11" s="45"/>
      <c r="CA11" s="45"/>
      <c r="CB11" s="45"/>
      <c r="CC11" s="45"/>
      <c r="CD11" s="45"/>
      <c r="CE11" s="45"/>
      <c r="CF11" s="45"/>
      <c r="CG11" s="45"/>
      <c r="CH11" s="45"/>
      <c r="CI11" s="45"/>
      <c r="CJ11" s="45"/>
      <c r="CK11" s="45"/>
      <c r="CL11" s="45"/>
      <c r="CM11" s="45"/>
      <c r="CN11" s="45"/>
      <c r="CO11" s="45"/>
      <c r="CP11" s="45"/>
      <c r="CQ11" s="45"/>
      <c r="CR11" s="45"/>
      <c r="CS11" s="45"/>
      <c r="CT11" s="45"/>
      <c r="CU11" s="45"/>
      <c r="CV11" s="45"/>
      <c r="CW11" s="45"/>
      <c r="CX11" s="45"/>
      <c r="CY11" s="45"/>
      <c r="CZ11" s="45"/>
      <c r="DA11" s="45"/>
      <c r="DB11" s="45"/>
      <c r="DC11" s="45"/>
      <c r="DD11" s="45"/>
      <c r="DE11" s="45"/>
      <c r="DF11" s="45"/>
      <c r="DG11" s="45"/>
      <c r="DH11" s="45"/>
      <c r="DI11" s="45"/>
      <c r="DJ11" s="45"/>
      <c r="DK11" s="45"/>
      <c r="DL11" s="45"/>
    </row>
    <row r="12" spans="1:116" ht="337.5" x14ac:dyDescent="0.35">
      <c r="B12" s="44"/>
      <c r="C12" s="62" t="s">
        <v>56</v>
      </c>
      <c r="D12" s="113" t="s">
        <v>51</v>
      </c>
      <c r="E12" s="113" t="s">
        <v>57</v>
      </c>
      <c r="F12" s="113" t="s">
        <v>58</v>
      </c>
      <c r="G12" s="126" t="s">
        <v>244</v>
      </c>
      <c r="H12" s="114"/>
      <c r="I12" s="108"/>
      <c r="J12" s="214" t="s">
        <v>594</v>
      </c>
      <c r="K12" s="44"/>
      <c r="L12" s="44"/>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5"/>
      <c r="BD12" s="45"/>
      <c r="BE12" s="45"/>
      <c r="BF12" s="45"/>
      <c r="BG12" s="45"/>
      <c r="BH12" s="45"/>
      <c r="BI12" s="45"/>
      <c r="BJ12" s="45"/>
      <c r="BK12" s="45"/>
      <c r="BL12" s="45"/>
      <c r="BM12" s="45"/>
      <c r="BN12" s="45"/>
      <c r="BO12" s="45"/>
      <c r="BP12" s="45"/>
      <c r="BQ12" s="45"/>
      <c r="BR12" s="45"/>
      <c r="BS12" s="45"/>
      <c r="BT12" s="45"/>
      <c r="BU12" s="45"/>
      <c r="BV12" s="45"/>
      <c r="BW12" s="45"/>
      <c r="BX12" s="45"/>
      <c r="BY12" s="45"/>
      <c r="BZ12" s="45"/>
      <c r="CA12" s="45"/>
      <c r="CB12" s="45"/>
      <c r="CC12" s="45"/>
      <c r="CD12" s="45"/>
      <c r="CE12" s="45"/>
      <c r="CF12" s="45"/>
      <c r="CG12" s="45"/>
      <c r="CH12" s="45"/>
      <c r="CI12" s="45"/>
      <c r="CJ12" s="45"/>
      <c r="CK12" s="45"/>
      <c r="CL12" s="45"/>
      <c r="CM12" s="45"/>
      <c r="CN12" s="45"/>
      <c r="CO12" s="45"/>
      <c r="CP12" s="45"/>
      <c r="CQ12" s="45"/>
      <c r="CR12" s="45"/>
      <c r="CS12" s="45"/>
      <c r="CT12" s="45"/>
      <c r="CU12" s="45"/>
      <c r="CV12" s="45"/>
      <c r="CW12" s="45"/>
      <c r="CX12" s="45"/>
      <c r="CY12" s="45"/>
      <c r="CZ12" s="45"/>
      <c r="DA12" s="45"/>
      <c r="DB12" s="45"/>
      <c r="DC12" s="45"/>
      <c r="DD12" s="45"/>
      <c r="DE12" s="45"/>
      <c r="DF12" s="45"/>
      <c r="DG12" s="45"/>
      <c r="DH12" s="45"/>
      <c r="DI12" s="45"/>
      <c r="DJ12" s="45"/>
      <c r="DK12" s="45"/>
      <c r="DL12" s="45"/>
    </row>
    <row r="13" spans="1:116" ht="409.5" x14ac:dyDescent="0.35">
      <c r="B13" s="44"/>
      <c r="C13" s="62" t="s">
        <v>60</v>
      </c>
      <c r="D13" s="113" t="s">
        <v>79</v>
      </c>
      <c r="E13" s="113" t="s">
        <v>80</v>
      </c>
      <c r="F13" s="113" t="s">
        <v>58</v>
      </c>
      <c r="G13" s="114" t="s">
        <v>245</v>
      </c>
      <c r="H13" s="114"/>
      <c r="I13" s="108"/>
      <c r="J13" s="214" t="s">
        <v>595</v>
      </c>
      <c r="K13" s="44"/>
      <c r="L13" s="44"/>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5"/>
      <c r="BD13" s="45"/>
      <c r="BE13" s="45"/>
      <c r="BF13" s="45"/>
      <c r="BG13" s="45"/>
      <c r="BH13" s="45"/>
      <c r="BI13" s="45"/>
      <c r="BJ13" s="45"/>
      <c r="BK13" s="45"/>
      <c r="BL13" s="45"/>
      <c r="BM13" s="45"/>
      <c r="BN13" s="45"/>
      <c r="BO13" s="45"/>
      <c r="BP13" s="45"/>
      <c r="BQ13" s="45"/>
      <c r="BR13" s="45"/>
      <c r="BS13" s="45"/>
      <c r="BT13" s="45"/>
      <c r="BU13" s="45"/>
      <c r="BV13" s="45"/>
      <c r="BW13" s="45"/>
      <c r="BX13" s="45"/>
      <c r="BY13" s="45"/>
      <c r="BZ13" s="45"/>
      <c r="CA13" s="45"/>
      <c r="CB13" s="45"/>
      <c r="CC13" s="45"/>
      <c r="CD13" s="45"/>
      <c r="CE13" s="45"/>
      <c r="CF13" s="45"/>
      <c r="CG13" s="45"/>
      <c r="CH13" s="45"/>
      <c r="CI13" s="45"/>
      <c r="CJ13" s="45"/>
      <c r="CK13" s="45"/>
      <c r="CL13" s="45"/>
      <c r="CM13" s="45"/>
      <c r="CN13" s="45"/>
      <c r="CO13" s="45"/>
      <c r="CP13" s="45"/>
      <c r="CQ13" s="45"/>
      <c r="CR13" s="45"/>
      <c r="CS13" s="45"/>
      <c r="CT13" s="45"/>
      <c r="CU13" s="45"/>
      <c r="CV13" s="45"/>
      <c r="CW13" s="45"/>
      <c r="CX13" s="45"/>
      <c r="CY13" s="45"/>
      <c r="CZ13" s="45"/>
      <c r="DA13" s="45"/>
      <c r="DB13" s="45"/>
      <c r="DC13" s="45"/>
      <c r="DD13" s="45"/>
      <c r="DE13" s="45"/>
      <c r="DF13" s="45"/>
      <c r="DG13" s="45"/>
      <c r="DH13" s="45"/>
      <c r="DI13" s="45"/>
      <c r="DJ13" s="45"/>
      <c r="DK13" s="45"/>
      <c r="DL13" s="45"/>
    </row>
    <row r="14" spans="1:116" ht="87.5" x14ac:dyDescent="0.35">
      <c r="B14" s="44"/>
      <c r="C14" s="62" t="s">
        <v>219</v>
      </c>
      <c r="D14" s="113" t="s">
        <v>241</v>
      </c>
      <c r="E14" s="113" t="s">
        <v>67</v>
      </c>
      <c r="F14" s="113" t="s">
        <v>58</v>
      </c>
      <c r="G14" s="114" t="s">
        <v>246</v>
      </c>
      <c r="H14" s="114"/>
      <c r="I14" s="108"/>
      <c r="J14" s="215" t="s">
        <v>596</v>
      </c>
      <c r="K14" s="44"/>
      <c r="L14" s="44"/>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5"/>
      <c r="BD14" s="45"/>
      <c r="BE14" s="45"/>
      <c r="BF14" s="45"/>
      <c r="BG14" s="45"/>
      <c r="BH14" s="45"/>
      <c r="BI14" s="45"/>
      <c r="BJ14" s="45"/>
      <c r="BK14" s="45"/>
      <c r="BL14" s="45"/>
      <c r="BM14" s="45"/>
      <c r="BN14" s="45"/>
      <c r="BO14" s="45"/>
      <c r="BP14" s="45"/>
      <c r="BQ14" s="45"/>
      <c r="BR14" s="45"/>
      <c r="BS14" s="45"/>
      <c r="BT14" s="45"/>
      <c r="BU14" s="45"/>
      <c r="BV14" s="45"/>
      <c r="BW14" s="45"/>
      <c r="BX14" s="45"/>
      <c r="BY14" s="45"/>
      <c r="BZ14" s="45"/>
      <c r="CA14" s="45"/>
      <c r="CB14" s="45"/>
      <c r="CC14" s="45"/>
      <c r="CD14" s="45"/>
      <c r="CE14" s="45"/>
      <c r="CF14" s="45"/>
      <c r="CG14" s="45"/>
      <c r="CH14" s="45"/>
      <c r="CI14" s="45"/>
      <c r="CJ14" s="45"/>
      <c r="CK14" s="45"/>
      <c r="CL14" s="45"/>
      <c r="CM14" s="45"/>
      <c r="CN14" s="45"/>
      <c r="CO14" s="45"/>
      <c r="CP14" s="45"/>
      <c r="CQ14" s="45"/>
      <c r="CR14" s="45"/>
      <c r="CS14" s="45"/>
      <c r="CT14" s="45"/>
      <c r="CU14" s="45"/>
      <c r="CV14" s="45"/>
      <c r="CW14" s="45"/>
      <c r="CX14" s="45"/>
      <c r="CY14" s="45"/>
      <c r="CZ14" s="45"/>
      <c r="DA14" s="45"/>
      <c r="DB14" s="45"/>
      <c r="DC14" s="45"/>
      <c r="DD14" s="45"/>
      <c r="DE14" s="45"/>
      <c r="DF14" s="45"/>
      <c r="DG14" s="45"/>
      <c r="DH14" s="45"/>
      <c r="DI14" s="45"/>
      <c r="DJ14" s="45"/>
      <c r="DK14" s="45"/>
      <c r="DL14" s="45"/>
    </row>
    <row r="15" spans="1:116" ht="175.5" x14ac:dyDescent="0.35">
      <c r="B15" s="44"/>
      <c r="C15" s="62" t="s">
        <v>60</v>
      </c>
      <c r="D15" s="113" t="s">
        <v>186</v>
      </c>
      <c r="E15" s="113" t="s">
        <v>84</v>
      </c>
      <c r="F15" s="113" t="s">
        <v>53</v>
      </c>
      <c r="G15" s="114" t="s">
        <v>85</v>
      </c>
      <c r="H15" s="114"/>
      <c r="I15" s="108"/>
      <c r="J15" s="214" t="s">
        <v>597</v>
      </c>
      <c r="K15" s="44"/>
      <c r="L15" s="44"/>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5"/>
      <c r="AX15" s="45"/>
      <c r="AY15" s="45"/>
      <c r="AZ15" s="45"/>
      <c r="BA15" s="45"/>
      <c r="BB15" s="45"/>
      <c r="BC15" s="45"/>
      <c r="BD15" s="45"/>
      <c r="BE15" s="45"/>
      <c r="BF15" s="45"/>
      <c r="BG15" s="45"/>
      <c r="BH15" s="45"/>
      <c r="BI15" s="45"/>
      <c r="BJ15" s="45"/>
      <c r="BK15" s="45"/>
      <c r="BL15" s="45"/>
      <c r="BM15" s="45"/>
      <c r="BN15" s="45"/>
      <c r="BO15" s="45"/>
      <c r="BP15" s="45"/>
      <c r="BQ15" s="45"/>
      <c r="BR15" s="45"/>
      <c r="BS15" s="45"/>
      <c r="BT15" s="45"/>
      <c r="BU15" s="45"/>
      <c r="BV15" s="45"/>
      <c r="BW15" s="45"/>
      <c r="BX15" s="45"/>
      <c r="BY15" s="45"/>
      <c r="BZ15" s="45"/>
      <c r="CA15" s="45"/>
      <c r="CB15" s="45"/>
      <c r="CC15" s="45"/>
      <c r="CD15" s="45"/>
      <c r="CE15" s="45"/>
      <c r="CF15" s="45"/>
      <c r="CG15" s="45"/>
      <c r="CH15" s="45"/>
      <c r="CI15" s="45"/>
      <c r="CJ15" s="45"/>
      <c r="CK15" s="45"/>
      <c r="CL15" s="45"/>
      <c r="CM15" s="45"/>
      <c r="CN15" s="45"/>
      <c r="CO15" s="45"/>
      <c r="CP15" s="45"/>
      <c r="CQ15" s="45"/>
      <c r="CR15" s="45"/>
      <c r="CS15" s="45"/>
      <c r="CT15" s="45"/>
      <c r="CU15" s="45"/>
      <c r="CV15" s="45"/>
      <c r="CW15" s="45"/>
      <c r="CX15" s="45"/>
      <c r="CY15" s="45"/>
      <c r="CZ15" s="45"/>
      <c r="DA15" s="45"/>
      <c r="DB15" s="45"/>
      <c r="DC15" s="45"/>
      <c r="DD15" s="45"/>
      <c r="DE15" s="45"/>
      <c r="DF15" s="45"/>
      <c r="DG15" s="45"/>
      <c r="DH15" s="45"/>
      <c r="DI15" s="45"/>
      <c r="DJ15" s="45"/>
      <c r="DK15" s="45"/>
      <c r="DL15" s="45"/>
    </row>
    <row r="16" spans="1:116" ht="176.5" x14ac:dyDescent="0.35">
      <c r="B16" s="44"/>
      <c r="C16" s="62" t="s">
        <v>111</v>
      </c>
      <c r="D16" s="113" t="s">
        <v>247</v>
      </c>
      <c r="E16" s="113" t="s">
        <v>248</v>
      </c>
      <c r="F16" s="113" t="s">
        <v>53</v>
      </c>
      <c r="G16" s="114" t="s">
        <v>249</v>
      </c>
      <c r="H16" s="114"/>
      <c r="I16" s="108"/>
      <c r="J16" s="214" t="s">
        <v>598</v>
      </c>
      <c r="K16" s="44"/>
      <c r="L16" s="44"/>
      <c r="M16" s="45"/>
      <c r="N16" s="45"/>
      <c r="O16" s="45"/>
      <c r="P16" s="45"/>
      <c r="Q16" s="45"/>
      <c r="R16" s="45"/>
      <c r="S16" s="45"/>
      <c r="T16" s="45"/>
      <c r="U16" s="45"/>
      <c r="V16" s="45"/>
      <c r="W16" s="45"/>
      <c r="X16" s="45"/>
      <c r="Y16" s="45"/>
      <c r="Z16" s="45"/>
      <c r="AA16" s="45"/>
      <c r="AB16" s="45"/>
      <c r="AC16" s="45"/>
      <c r="AD16" s="45"/>
      <c r="AE16" s="45"/>
      <c r="AF16" s="45"/>
      <c r="AG16" s="45"/>
      <c r="AH16" s="45"/>
      <c r="AI16" s="45"/>
      <c r="AJ16" s="45"/>
      <c r="AK16" s="45"/>
      <c r="AL16" s="45"/>
      <c r="AM16" s="45"/>
      <c r="AN16" s="45"/>
      <c r="AO16" s="45"/>
      <c r="AP16" s="45"/>
      <c r="AQ16" s="45"/>
      <c r="AR16" s="45"/>
      <c r="AS16" s="45"/>
      <c r="AT16" s="45"/>
      <c r="AU16" s="45"/>
      <c r="AV16" s="45"/>
      <c r="AW16" s="45"/>
      <c r="AX16" s="45"/>
      <c r="AY16" s="45"/>
      <c r="AZ16" s="45"/>
      <c r="BA16" s="45"/>
      <c r="BB16" s="45"/>
      <c r="BC16" s="45"/>
      <c r="BD16" s="45"/>
      <c r="BE16" s="45"/>
      <c r="BF16" s="45"/>
      <c r="BG16" s="45"/>
      <c r="BH16" s="45"/>
      <c r="BI16" s="45"/>
      <c r="BJ16" s="45"/>
      <c r="BK16" s="45"/>
      <c r="BL16" s="45"/>
      <c r="BM16" s="45"/>
      <c r="BN16" s="45"/>
      <c r="BO16" s="45"/>
      <c r="BP16" s="45"/>
      <c r="BQ16" s="45"/>
      <c r="BR16" s="45"/>
      <c r="BS16" s="45"/>
      <c r="BT16" s="45"/>
      <c r="BU16" s="45"/>
      <c r="BV16" s="45"/>
      <c r="BW16" s="45"/>
      <c r="BX16" s="45"/>
      <c r="BY16" s="45"/>
      <c r="BZ16" s="45"/>
      <c r="CA16" s="45"/>
      <c r="CB16" s="45"/>
      <c r="CC16" s="45"/>
      <c r="CD16" s="45"/>
      <c r="CE16" s="45"/>
      <c r="CF16" s="45"/>
      <c r="CG16" s="45"/>
      <c r="CH16" s="45"/>
      <c r="CI16" s="45"/>
      <c r="CJ16" s="45"/>
      <c r="CK16" s="45"/>
      <c r="CL16" s="45"/>
      <c r="CM16" s="45"/>
      <c r="CN16" s="45"/>
      <c r="CO16" s="45"/>
      <c r="CP16" s="45"/>
      <c r="CQ16" s="45"/>
      <c r="CR16" s="45"/>
      <c r="CS16" s="45"/>
      <c r="CT16" s="45"/>
      <c r="CU16" s="45"/>
      <c r="CV16" s="45"/>
      <c r="CW16" s="45"/>
      <c r="CX16" s="45"/>
      <c r="CY16" s="45"/>
      <c r="CZ16" s="45"/>
      <c r="DA16" s="45"/>
      <c r="DB16" s="45"/>
      <c r="DC16" s="45"/>
      <c r="DD16" s="45"/>
      <c r="DE16" s="45"/>
      <c r="DF16" s="45"/>
      <c r="DG16" s="45"/>
      <c r="DH16" s="45"/>
      <c r="DI16" s="45"/>
      <c r="DJ16" s="45"/>
      <c r="DK16" s="45"/>
      <c r="DL16" s="45"/>
    </row>
    <row r="17" spans="2:116" ht="112.5" x14ac:dyDescent="0.35">
      <c r="B17" s="44"/>
      <c r="C17" s="62" t="s">
        <v>250</v>
      </c>
      <c r="D17" s="113" t="s">
        <v>247</v>
      </c>
      <c r="E17" s="113" t="s">
        <v>251</v>
      </c>
      <c r="F17" s="113" t="s">
        <v>58</v>
      </c>
      <c r="G17" s="114" t="s">
        <v>252</v>
      </c>
      <c r="H17" s="114"/>
      <c r="I17" s="108"/>
      <c r="J17" s="215" t="s">
        <v>599</v>
      </c>
      <c r="K17" s="44"/>
      <c r="L17" s="44"/>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c r="BC17" s="45"/>
      <c r="BD17" s="45"/>
      <c r="BE17" s="45"/>
      <c r="BF17" s="45"/>
      <c r="BG17" s="45"/>
      <c r="BH17" s="45"/>
      <c r="BI17" s="45"/>
      <c r="BJ17" s="45"/>
      <c r="BK17" s="45"/>
      <c r="BL17" s="45"/>
      <c r="BM17" s="45"/>
      <c r="BN17" s="45"/>
      <c r="BO17" s="45"/>
      <c r="BP17" s="45"/>
      <c r="BQ17" s="45"/>
      <c r="BR17" s="45"/>
      <c r="BS17" s="45"/>
      <c r="BT17" s="45"/>
      <c r="BU17" s="45"/>
      <c r="BV17" s="45"/>
      <c r="BW17" s="45"/>
      <c r="BX17" s="45"/>
      <c r="BY17" s="45"/>
      <c r="BZ17" s="45"/>
      <c r="CA17" s="45"/>
      <c r="CB17" s="45"/>
      <c r="CC17" s="45"/>
      <c r="CD17" s="45"/>
      <c r="CE17" s="45"/>
      <c r="CF17" s="45"/>
      <c r="CG17" s="45"/>
      <c r="CH17" s="45"/>
      <c r="CI17" s="45"/>
      <c r="CJ17" s="45"/>
      <c r="CK17" s="45"/>
      <c r="CL17" s="45"/>
      <c r="CM17" s="45"/>
      <c r="CN17" s="45"/>
      <c r="CO17" s="45"/>
      <c r="CP17" s="45"/>
      <c r="CQ17" s="45"/>
      <c r="CR17" s="45"/>
      <c r="CS17" s="45"/>
      <c r="CT17" s="45"/>
      <c r="CU17" s="45"/>
      <c r="CV17" s="45"/>
      <c r="CW17" s="45"/>
      <c r="CX17" s="45"/>
      <c r="CY17" s="45"/>
      <c r="CZ17" s="45"/>
      <c r="DA17" s="45"/>
      <c r="DB17" s="45"/>
      <c r="DC17" s="45"/>
      <c r="DD17" s="45"/>
      <c r="DE17" s="45"/>
      <c r="DF17" s="45"/>
      <c r="DG17" s="45"/>
      <c r="DH17" s="45"/>
      <c r="DI17" s="45"/>
      <c r="DJ17" s="45"/>
      <c r="DK17" s="45"/>
      <c r="DL17" s="45"/>
    </row>
    <row r="18" spans="2:116" ht="291.5" x14ac:dyDescent="0.35">
      <c r="B18" s="44"/>
      <c r="C18" s="62" t="s">
        <v>111</v>
      </c>
      <c r="D18" s="113" t="s">
        <v>253</v>
      </c>
      <c r="E18" s="113" t="s">
        <v>254</v>
      </c>
      <c r="F18" s="113" t="s">
        <v>53</v>
      </c>
      <c r="G18" s="114" t="s">
        <v>255</v>
      </c>
      <c r="H18" s="114"/>
      <c r="I18" s="108"/>
      <c r="J18" s="215" t="s">
        <v>600</v>
      </c>
      <c r="K18" s="44"/>
      <c r="L18" s="44"/>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c r="AL18" s="45"/>
      <c r="AM18" s="45"/>
      <c r="AN18" s="45"/>
      <c r="AO18" s="45"/>
      <c r="AP18" s="45"/>
      <c r="AQ18" s="45"/>
      <c r="AR18" s="45"/>
      <c r="AS18" s="45"/>
      <c r="AT18" s="45"/>
      <c r="AU18" s="45"/>
      <c r="AV18" s="45"/>
      <c r="AW18" s="45"/>
      <c r="AX18" s="45"/>
      <c r="AY18" s="45"/>
      <c r="AZ18" s="45"/>
      <c r="BA18" s="45"/>
      <c r="BB18" s="45"/>
      <c r="BC18" s="45"/>
      <c r="BD18" s="45"/>
      <c r="BE18" s="45"/>
      <c r="BF18" s="45"/>
      <c r="BG18" s="45"/>
      <c r="BH18" s="45"/>
      <c r="BI18" s="45"/>
      <c r="BJ18" s="45"/>
      <c r="BK18" s="45"/>
      <c r="BL18" s="45"/>
      <c r="BM18" s="45"/>
      <c r="BN18" s="45"/>
      <c r="BO18" s="45"/>
      <c r="BP18" s="45"/>
      <c r="BQ18" s="45"/>
      <c r="BR18" s="45"/>
      <c r="BS18" s="45"/>
      <c r="BT18" s="45"/>
      <c r="BU18" s="45"/>
      <c r="BV18" s="45"/>
      <c r="BW18" s="45"/>
      <c r="BX18" s="45"/>
      <c r="BY18" s="45"/>
      <c r="BZ18" s="45"/>
      <c r="CA18" s="45"/>
      <c r="CB18" s="45"/>
      <c r="CC18" s="45"/>
      <c r="CD18" s="45"/>
      <c r="CE18" s="45"/>
      <c r="CF18" s="45"/>
      <c r="CG18" s="45"/>
      <c r="CH18" s="45"/>
      <c r="CI18" s="45"/>
      <c r="CJ18" s="45"/>
      <c r="CK18" s="45"/>
      <c r="CL18" s="45"/>
      <c r="CM18" s="45"/>
      <c r="CN18" s="45"/>
      <c r="CO18" s="45"/>
      <c r="CP18" s="45"/>
      <c r="CQ18" s="45"/>
      <c r="CR18" s="45"/>
      <c r="CS18" s="45"/>
      <c r="CT18" s="45"/>
      <c r="CU18" s="45"/>
      <c r="CV18" s="45"/>
      <c r="CW18" s="45"/>
      <c r="CX18" s="45"/>
      <c r="CY18" s="45"/>
      <c r="CZ18" s="45"/>
      <c r="DA18" s="45"/>
      <c r="DB18" s="45"/>
      <c r="DC18" s="45"/>
      <c r="DD18" s="45"/>
      <c r="DE18" s="45"/>
      <c r="DF18" s="45"/>
      <c r="DG18" s="45"/>
      <c r="DH18" s="45"/>
      <c r="DI18" s="45"/>
      <c r="DJ18" s="45"/>
      <c r="DK18" s="45"/>
      <c r="DL18" s="45"/>
    </row>
    <row r="19" spans="2:116" ht="225" x14ac:dyDescent="0.35">
      <c r="B19" s="44"/>
      <c r="C19" s="62" t="s">
        <v>66</v>
      </c>
      <c r="D19" s="113" t="s">
        <v>191</v>
      </c>
      <c r="E19" s="113" t="s">
        <v>256</v>
      </c>
      <c r="F19" s="113" t="s">
        <v>53</v>
      </c>
      <c r="G19" s="114" t="s">
        <v>257</v>
      </c>
      <c r="H19" s="114"/>
      <c r="I19" s="108"/>
      <c r="J19" s="214" t="s">
        <v>601</v>
      </c>
      <c r="K19" s="44"/>
      <c r="L19" s="44"/>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c r="AL19" s="45"/>
      <c r="AM19" s="45"/>
      <c r="AN19" s="45"/>
      <c r="AO19" s="45"/>
      <c r="AP19" s="45"/>
      <c r="AQ19" s="45"/>
      <c r="AR19" s="45"/>
      <c r="AS19" s="45"/>
      <c r="AT19" s="45"/>
      <c r="AU19" s="45"/>
      <c r="AV19" s="45"/>
      <c r="AW19" s="45"/>
      <c r="AX19" s="45"/>
      <c r="AY19" s="45"/>
      <c r="AZ19" s="45"/>
      <c r="BA19" s="45"/>
      <c r="BB19" s="45"/>
      <c r="BC19" s="45"/>
      <c r="BD19" s="45"/>
      <c r="BE19" s="45"/>
      <c r="BF19" s="45"/>
      <c r="BG19" s="45"/>
      <c r="BH19" s="45"/>
      <c r="BI19" s="45"/>
      <c r="BJ19" s="45"/>
      <c r="BK19" s="45"/>
      <c r="BL19" s="45"/>
      <c r="BM19" s="45"/>
      <c r="BN19" s="45"/>
      <c r="BO19" s="45"/>
      <c r="BP19" s="45"/>
      <c r="BQ19" s="45"/>
      <c r="BR19" s="45"/>
      <c r="BS19" s="45"/>
      <c r="BT19" s="45"/>
      <c r="BU19" s="45"/>
      <c r="BV19" s="45"/>
      <c r="BW19" s="45"/>
      <c r="BX19" s="45"/>
      <c r="BY19" s="45"/>
      <c r="BZ19" s="45"/>
      <c r="CA19" s="45"/>
      <c r="CB19" s="45"/>
      <c r="CC19" s="45"/>
      <c r="CD19" s="45"/>
      <c r="CE19" s="45"/>
      <c r="CF19" s="45"/>
      <c r="CG19" s="45"/>
      <c r="CH19" s="45"/>
      <c r="CI19" s="45"/>
      <c r="CJ19" s="45"/>
      <c r="CK19" s="45"/>
      <c r="CL19" s="45"/>
      <c r="CM19" s="45"/>
      <c r="CN19" s="45"/>
      <c r="CO19" s="45"/>
      <c r="CP19" s="45"/>
      <c r="CQ19" s="45"/>
      <c r="CR19" s="45"/>
      <c r="CS19" s="45"/>
      <c r="CT19" s="45"/>
      <c r="CU19" s="45"/>
      <c r="CV19" s="45"/>
      <c r="CW19" s="45"/>
      <c r="CX19" s="45"/>
      <c r="CY19" s="45"/>
      <c r="CZ19" s="45"/>
      <c r="DA19" s="45"/>
      <c r="DB19" s="45"/>
      <c r="DC19" s="45"/>
      <c r="DD19" s="45"/>
      <c r="DE19" s="45"/>
      <c r="DF19" s="45"/>
      <c r="DG19" s="45"/>
      <c r="DH19" s="45"/>
      <c r="DI19" s="45"/>
      <c r="DJ19" s="45"/>
      <c r="DK19" s="45"/>
      <c r="DL19" s="45"/>
    </row>
    <row r="20" spans="2:116" ht="187.5" x14ac:dyDescent="0.35">
      <c r="B20" s="44"/>
      <c r="C20" s="62" t="s">
        <v>66</v>
      </c>
      <c r="D20" s="113" t="s">
        <v>191</v>
      </c>
      <c r="E20" s="113" t="s">
        <v>258</v>
      </c>
      <c r="F20" s="113" t="s">
        <v>70</v>
      </c>
      <c r="G20" s="114" t="s">
        <v>259</v>
      </c>
      <c r="H20" s="114"/>
      <c r="I20" s="108"/>
      <c r="J20" s="216" t="s">
        <v>602</v>
      </c>
      <c r="K20" s="44"/>
      <c r="L20" s="44"/>
      <c r="M20" s="45"/>
      <c r="N20" s="45"/>
      <c r="O20" s="45"/>
      <c r="P20" s="45"/>
      <c r="Q20" s="45"/>
      <c r="R20" s="45"/>
      <c r="S20" s="45"/>
      <c r="T20" s="45"/>
      <c r="U20" s="45"/>
      <c r="V20" s="45"/>
      <c r="W20" s="45"/>
      <c r="X20" s="45"/>
      <c r="Y20" s="45"/>
      <c r="Z20" s="45"/>
      <c r="AA20" s="45"/>
      <c r="AB20" s="45"/>
      <c r="AC20" s="45"/>
      <c r="AD20" s="45"/>
      <c r="AE20" s="45"/>
      <c r="AF20" s="45"/>
      <c r="AG20" s="45"/>
      <c r="AH20" s="45"/>
      <c r="AI20" s="45"/>
      <c r="AJ20" s="45"/>
      <c r="AK20" s="45"/>
      <c r="AL20" s="45"/>
      <c r="AM20" s="45"/>
      <c r="AN20" s="45"/>
      <c r="AO20" s="45"/>
      <c r="AP20" s="45"/>
      <c r="AQ20" s="45"/>
      <c r="AR20" s="45"/>
      <c r="AS20" s="45"/>
      <c r="AT20" s="45"/>
      <c r="AU20" s="45"/>
      <c r="AV20" s="45"/>
      <c r="AW20" s="45"/>
      <c r="AX20" s="45"/>
      <c r="AY20" s="45"/>
      <c r="AZ20" s="45"/>
      <c r="BA20" s="45"/>
      <c r="BB20" s="45"/>
      <c r="BC20" s="45"/>
      <c r="BD20" s="45"/>
      <c r="BE20" s="45"/>
      <c r="BF20" s="45"/>
      <c r="BG20" s="45"/>
      <c r="BH20" s="45"/>
      <c r="BI20" s="45"/>
      <c r="BJ20" s="45"/>
      <c r="BK20" s="45"/>
      <c r="BL20" s="45"/>
      <c r="BM20" s="45"/>
      <c r="BN20" s="45"/>
      <c r="BO20" s="45"/>
      <c r="BP20" s="45"/>
      <c r="BQ20" s="45"/>
      <c r="BR20" s="45"/>
      <c r="BS20" s="45"/>
      <c r="BT20" s="45"/>
      <c r="BU20" s="45"/>
      <c r="BV20" s="45"/>
      <c r="BW20" s="45"/>
      <c r="BX20" s="45"/>
      <c r="BY20" s="45"/>
      <c r="BZ20" s="45"/>
      <c r="CA20" s="45"/>
      <c r="CB20" s="45"/>
      <c r="CC20" s="45"/>
      <c r="CD20" s="45"/>
      <c r="CE20" s="45"/>
      <c r="CF20" s="45"/>
      <c r="CG20" s="45"/>
      <c r="CH20" s="45"/>
      <c r="CI20" s="45"/>
      <c r="CJ20" s="45"/>
      <c r="CK20" s="45"/>
      <c r="CL20" s="45"/>
      <c r="CM20" s="45"/>
      <c r="CN20" s="45"/>
      <c r="CO20" s="45"/>
      <c r="CP20" s="45"/>
      <c r="CQ20" s="45"/>
      <c r="CR20" s="45"/>
      <c r="CS20" s="45"/>
      <c r="CT20" s="45"/>
      <c r="CU20" s="45"/>
      <c r="CV20" s="45"/>
      <c r="CW20" s="45"/>
      <c r="CX20" s="45"/>
      <c r="CY20" s="45"/>
      <c r="CZ20" s="45"/>
      <c r="DA20" s="45"/>
      <c r="DB20" s="45"/>
      <c r="DC20" s="45"/>
      <c r="DD20" s="45"/>
      <c r="DE20" s="45"/>
      <c r="DF20" s="45"/>
      <c r="DG20" s="45"/>
      <c r="DH20" s="45"/>
      <c r="DI20" s="45"/>
      <c r="DJ20" s="45"/>
      <c r="DK20" s="45"/>
      <c r="DL20" s="45"/>
    </row>
    <row r="21" spans="2:116" ht="62.5" x14ac:dyDescent="0.35">
      <c r="B21" s="44"/>
      <c r="C21" s="62" t="s">
        <v>66</v>
      </c>
      <c r="D21" s="113" t="s">
        <v>241</v>
      </c>
      <c r="E21" s="114" t="s">
        <v>124</v>
      </c>
      <c r="F21" s="118" t="s">
        <v>58</v>
      </c>
      <c r="G21" s="119" t="s">
        <v>125</v>
      </c>
      <c r="H21" s="114"/>
      <c r="I21" s="108"/>
      <c r="J21" s="214" t="s">
        <v>608</v>
      </c>
      <c r="K21" s="44"/>
      <c r="L21" s="44"/>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c r="AL21" s="45"/>
      <c r="AM21" s="45"/>
      <c r="AN21" s="45"/>
      <c r="AO21" s="45"/>
      <c r="AP21" s="45"/>
      <c r="AQ21" s="45"/>
      <c r="AR21" s="45"/>
      <c r="AS21" s="45"/>
      <c r="AT21" s="45"/>
      <c r="AU21" s="45"/>
      <c r="AV21" s="45"/>
      <c r="AW21" s="45"/>
      <c r="AX21" s="45"/>
      <c r="AY21" s="45"/>
      <c r="AZ21" s="45"/>
      <c r="BA21" s="45"/>
      <c r="BB21" s="45"/>
      <c r="BC21" s="45"/>
      <c r="BD21" s="45"/>
      <c r="BE21" s="45"/>
      <c r="BF21" s="45"/>
      <c r="BG21" s="45"/>
      <c r="BH21" s="45"/>
      <c r="BI21" s="45"/>
      <c r="BJ21" s="45"/>
      <c r="BK21" s="45"/>
      <c r="BL21" s="45"/>
      <c r="BM21" s="45"/>
      <c r="BN21" s="45"/>
      <c r="BO21" s="45"/>
      <c r="BP21" s="45"/>
      <c r="BQ21" s="45"/>
      <c r="BR21" s="45"/>
      <c r="BS21" s="45"/>
      <c r="BT21" s="45"/>
      <c r="BU21" s="45"/>
      <c r="BV21" s="45"/>
      <c r="BW21" s="45"/>
      <c r="BX21" s="45"/>
      <c r="BY21" s="45"/>
      <c r="BZ21" s="45"/>
      <c r="CA21" s="45"/>
      <c r="CB21" s="45"/>
      <c r="CC21" s="45"/>
      <c r="CD21" s="45"/>
      <c r="CE21" s="45"/>
      <c r="CF21" s="45"/>
      <c r="CG21" s="45"/>
      <c r="CH21" s="45"/>
      <c r="CI21" s="45"/>
      <c r="CJ21" s="45"/>
      <c r="CK21" s="45"/>
      <c r="CL21" s="45"/>
      <c r="CM21" s="45"/>
      <c r="CN21" s="45"/>
      <c r="CO21" s="45"/>
      <c r="CP21" s="45"/>
      <c r="CQ21" s="45"/>
      <c r="CR21" s="45"/>
      <c r="CS21" s="45"/>
      <c r="CT21" s="45"/>
      <c r="CU21" s="45"/>
      <c r="CV21" s="45"/>
      <c r="CW21" s="45"/>
      <c r="CX21" s="45"/>
      <c r="CY21" s="45"/>
      <c r="CZ21" s="45"/>
      <c r="DA21" s="45"/>
      <c r="DB21" s="45"/>
      <c r="DC21" s="45"/>
      <c r="DD21" s="45"/>
      <c r="DE21" s="45"/>
      <c r="DF21" s="45"/>
      <c r="DG21" s="45"/>
      <c r="DH21" s="45"/>
      <c r="DI21" s="45"/>
      <c r="DJ21" s="45"/>
      <c r="DK21" s="45"/>
      <c r="DL21" s="45"/>
    </row>
    <row r="22" spans="2:116" ht="337.5" x14ac:dyDescent="0.35">
      <c r="B22" s="44"/>
      <c r="C22" s="62" t="s">
        <v>66</v>
      </c>
      <c r="D22" s="113" t="s">
        <v>186</v>
      </c>
      <c r="E22" s="113" t="s">
        <v>82</v>
      </c>
      <c r="F22" s="113" t="s">
        <v>53</v>
      </c>
      <c r="G22" s="114" t="s">
        <v>128</v>
      </c>
      <c r="H22" s="114"/>
      <c r="I22" s="108"/>
      <c r="J22" s="215" t="s">
        <v>603</v>
      </c>
      <c r="K22" s="44"/>
      <c r="L22" s="44"/>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c r="AL22" s="45"/>
      <c r="AM22" s="45"/>
      <c r="AN22" s="45"/>
      <c r="AO22" s="45"/>
      <c r="AP22" s="45"/>
      <c r="AQ22" s="45"/>
      <c r="AR22" s="45"/>
      <c r="AS22" s="45"/>
      <c r="AT22" s="45"/>
      <c r="AU22" s="45"/>
      <c r="AV22" s="45"/>
      <c r="AW22" s="45"/>
      <c r="AX22" s="45"/>
      <c r="AY22" s="45"/>
      <c r="AZ22" s="45"/>
      <c r="BA22" s="45"/>
      <c r="BB22" s="45"/>
      <c r="BC22" s="45"/>
      <c r="BD22" s="45"/>
      <c r="BE22" s="45"/>
      <c r="BF22" s="45"/>
      <c r="BG22" s="45"/>
      <c r="BH22" s="45"/>
      <c r="BI22" s="45"/>
      <c r="BJ22" s="45"/>
      <c r="BK22" s="45"/>
      <c r="BL22" s="45"/>
      <c r="BM22" s="45"/>
      <c r="BN22" s="45"/>
      <c r="BO22" s="45"/>
      <c r="BP22" s="45"/>
      <c r="BQ22" s="45"/>
      <c r="BR22" s="45"/>
      <c r="BS22" s="45"/>
      <c r="BT22" s="45"/>
      <c r="BU22" s="45"/>
      <c r="BV22" s="45"/>
      <c r="BW22" s="45"/>
      <c r="BX22" s="45"/>
      <c r="BY22" s="45"/>
      <c r="BZ22" s="45"/>
      <c r="CA22" s="45"/>
      <c r="CB22" s="45"/>
      <c r="CC22" s="45"/>
      <c r="CD22" s="45"/>
      <c r="CE22" s="45"/>
      <c r="CF22" s="45"/>
      <c r="CG22" s="45"/>
      <c r="CH22" s="45"/>
      <c r="CI22" s="45"/>
      <c r="CJ22" s="45"/>
      <c r="CK22" s="45"/>
      <c r="CL22" s="45"/>
      <c r="CM22" s="45"/>
      <c r="CN22" s="45"/>
      <c r="CO22" s="45"/>
      <c r="CP22" s="45"/>
      <c r="CQ22" s="45"/>
      <c r="CR22" s="45"/>
      <c r="CS22" s="45"/>
      <c r="CT22" s="45"/>
      <c r="CU22" s="45"/>
      <c r="CV22" s="45"/>
      <c r="CW22" s="45"/>
      <c r="CX22" s="45"/>
      <c r="CY22" s="45"/>
      <c r="CZ22" s="45"/>
      <c r="DA22" s="45"/>
      <c r="DB22" s="45"/>
      <c r="DC22" s="45"/>
      <c r="DD22" s="45"/>
      <c r="DE22" s="45"/>
      <c r="DF22" s="45"/>
      <c r="DG22" s="45"/>
      <c r="DH22" s="45"/>
      <c r="DI22" s="45"/>
      <c r="DJ22" s="45"/>
      <c r="DK22" s="45"/>
      <c r="DL22" s="45"/>
    </row>
    <row r="23" spans="2:116" ht="100" x14ac:dyDescent="0.35">
      <c r="B23" s="44"/>
      <c r="C23" s="62" t="s">
        <v>111</v>
      </c>
      <c r="D23" s="113" t="s">
        <v>186</v>
      </c>
      <c r="E23" s="113" t="s">
        <v>129</v>
      </c>
      <c r="F23" s="113" t="s">
        <v>53</v>
      </c>
      <c r="G23" s="114" t="s">
        <v>130</v>
      </c>
      <c r="H23" s="114"/>
      <c r="I23" s="108"/>
      <c r="J23" s="215" t="s">
        <v>604</v>
      </c>
      <c r="K23" s="44"/>
      <c r="L23" s="44"/>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45"/>
      <c r="AN23" s="45"/>
      <c r="AO23" s="45"/>
      <c r="AP23" s="45"/>
      <c r="AQ23" s="45"/>
      <c r="AR23" s="45"/>
      <c r="AS23" s="45"/>
      <c r="AT23" s="45"/>
      <c r="AU23" s="45"/>
      <c r="AV23" s="45"/>
      <c r="AW23" s="45"/>
      <c r="AX23" s="45"/>
      <c r="AY23" s="45"/>
      <c r="AZ23" s="45"/>
      <c r="BA23" s="45"/>
      <c r="BB23" s="45"/>
      <c r="BC23" s="45"/>
      <c r="BD23" s="45"/>
      <c r="BE23" s="45"/>
      <c r="BF23" s="45"/>
      <c r="BG23" s="45"/>
      <c r="BH23" s="45"/>
      <c r="BI23" s="45"/>
      <c r="BJ23" s="45"/>
      <c r="BK23" s="45"/>
      <c r="BL23" s="45"/>
      <c r="BM23" s="45"/>
      <c r="BN23" s="45"/>
      <c r="BO23" s="45"/>
      <c r="BP23" s="45"/>
      <c r="BQ23" s="45"/>
      <c r="BR23" s="45"/>
      <c r="BS23" s="45"/>
      <c r="BT23" s="45"/>
      <c r="BU23" s="45"/>
      <c r="BV23" s="45"/>
      <c r="BW23" s="45"/>
      <c r="BX23" s="45"/>
      <c r="BY23" s="45"/>
      <c r="BZ23" s="45"/>
      <c r="CA23" s="45"/>
      <c r="CB23" s="45"/>
      <c r="CC23" s="45"/>
      <c r="CD23" s="45"/>
      <c r="CE23" s="45"/>
      <c r="CF23" s="45"/>
      <c r="CG23" s="45"/>
      <c r="CH23" s="45"/>
      <c r="CI23" s="45"/>
      <c r="CJ23" s="45"/>
      <c r="CK23" s="45"/>
      <c r="CL23" s="45"/>
      <c r="CM23" s="45"/>
      <c r="CN23" s="45"/>
      <c r="CO23" s="45"/>
      <c r="CP23" s="45"/>
      <c r="CQ23" s="45"/>
      <c r="CR23" s="45"/>
      <c r="CS23" s="45"/>
      <c r="CT23" s="45"/>
      <c r="CU23" s="45"/>
      <c r="CV23" s="45"/>
      <c r="CW23" s="45"/>
      <c r="CX23" s="45"/>
      <c r="CY23" s="45"/>
      <c r="CZ23" s="45"/>
      <c r="DA23" s="45"/>
      <c r="DB23" s="45"/>
      <c r="DC23" s="45"/>
      <c r="DD23" s="45"/>
      <c r="DE23" s="45"/>
      <c r="DF23" s="45"/>
      <c r="DG23" s="45"/>
      <c r="DH23" s="45"/>
      <c r="DI23" s="45"/>
      <c r="DJ23" s="45"/>
      <c r="DK23" s="45"/>
      <c r="DL23" s="45"/>
    </row>
    <row r="24" spans="2:116" ht="188.5" x14ac:dyDescent="0.35">
      <c r="B24" s="44"/>
      <c r="C24" s="62" t="s">
        <v>95</v>
      </c>
      <c r="D24" s="113" t="s">
        <v>260</v>
      </c>
      <c r="E24" s="113" t="s">
        <v>261</v>
      </c>
      <c r="F24" s="113" t="s">
        <v>70</v>
      </c>
      <c r="G24" s="114" t="s">
        <v>262</v>
      </c>
      <c r="H24" s="114"/>
      <c r="I24" s="108"/>
      <c r="J24" s="214" t="s">
        <v>605</v>
      </c>
      <c r="K24" s="44"/>
      <c r="L24" s="44"/>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c r="AX24" s="45"/>
      <c r="AY24" s="45"/>
      <c r="AZ24" s="45"/>
      <c r="BA24" s="45"/>
      <c r="BB24" s="45"/>
      <c r="BC24" s="45"/>
      <c r="BD24" s="45"/>
      <c r="BE24" s="45"/>
      <c r="BF24" s="45"/>
      <c r="BG24" s="45"/>
      <c r="BH24" s="45"/>
      <c r="BI24" s="45"/>
      <c r="BJ24" s="45"/>
      <c r="BK24" s="45"/>
      <c r="BL24" s="45"/>
      <c r="BM24" s="45"/>
      <c r="BN24" s="45"/>
      <c r="BO24" s="45"/>
      <c r="BP24" s="45"/>
      <c r="BQ24" s="45"/>
      <c r="BR24" s="45"/>
      <c r="BS24" s="45"/>
      <c r="BT24" s="45"/>
      <c r="BU24" s="45"/>
      <c r="BV24" s="45"/>
      <c r="BW24" s="45"/>
      <c r="BX24" s="45"/>
      <c r="BY24" s="45"/>
      <c r="BZ24" s="45"/>
      <c r="CA24" s="45"/>
      <c r="CB24" s="45"/>
      <c r="CC24" s="45"/>
      <c r="CD24" s="45"/>
      <c r="CE24" s="45"/>
      <c r="CF24" s="45"/>
      <c r="CG24" s="45"/>
      <c r="CH24" s="45"/>
      <c r="CI24" s="45"/>
      <c r="CJ24" s="45"/>
      <c r="CK24" s="45"/>
      <c r="CL24" s="45"/>
      <c r="CM24" s="45"/>
      <c r="CN24" s="45"/>
      <c r="CO24" s="45"/>
      <c r="CP24" s="45"/>
      <c r="CQ24" s="45"/>
      <c r="CR24" s="45"/>
      <c r="CS24" s="45"/>
      <c r="CT24" s="45"/>
      <c r="CU24" s="45"/>
      <c r="CV24" s="45"/>
      <c r="CW24" s="45"/>
      <c r="CX24" s="45"/>
      <c r="CY24" s="45"/>
      <c r="CZ24" s="45"/>
      <c r="DA24" s="45"/>
      <c r="DB24" s="45"/>
      <c r="DC24" s="45"/>
      <c r="DD24" s="45"/>
      <c r="DE24" s="45"/>
      <c r="DF24" s="45"/>
      <c r="DG24" s="45"/>
      <c r="DH24" s="45"/>
      <c r="DI24" s="45"/>
      <c r="DJ24" s="45"/>
      <c r="DK24" s="45"/>
      <c r="DL24" s="45"/>
    </row>
    <row r="25" spans="2:116" ht="112.5" x14ac:dyDescent="0.35">
      <c r="B25" s="44"/>
      <c r="C25" s="62" t="s">
        <v>66</v>
      </c>
      <c r="D25" s="113" t="s">
        <v>186</v>
      </c>
      <c r="E25" s="113" t="s">
        <v>189</v>
      </c>
      <c r="F25" s="113" t="s">
        <v>53</v>
      </c>
      <c r="G25" s="114" t="s">
        <v>190</v>
      </c>
      <c r="H25" s="114"/>
      <c r="I25" s="108"/>
      <c r="J25" s="215" t="s">
        <v>606</v>
      </c>
      <c r="K25" s="44"/>
      <c r="L25" s="44"/>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45"/>
      <c r="AU25" s="45"/>
      <c r="AV25" s="45"/>
      <c r="AW25" s="45"/>
      <c r="AX25" s="45"/>
      <c r="AY25" s="45"/>
      <c r="AZ25" s="45"/>
      <c r="BA25" s="45"/>
      <c r="BB25" s="45"/>
      <c r="BC25" s="45"/>
      <c r="BD25" s="45"/>
      <c r="BE25" s="45"/>
      <c r="BF25" s="45"/>
      <c r="BG25" s="45"/>
      <c r="BH25" s="45"/>
      <c r="BI25" s="45"/>
      <c r="BJ25" s="45"/>
      <c r="BK25" s="45"/>
      <c r="BL25" s="45"/>
      <c r="BM25" s="45"/>
      <c r="BN25" s="45"/>
      <c r="BO25" s="45"/>
      <c r="BP25" s="45"/>
      <c r="BQ25" s="45"/>
      <c r="BR25" s="45"/>
      <c r="BS25" s="45"/>
      <c r="BT25" s="45"/>
      <c r="BU25" s="45"/>
      <c r="BV25" s="45"/>
      <c r="BW25" s="45"/>
      <c r="BX25" s="45"/>
      <c r="BY25" s="45"/>
      <c r="BZ25" s="45"/>
      <c r="CA25" s="45"/>
      <c r="CB25" s="45"/>
      <c r="CC25" s="45"/>
      <c r="CD25" s="45"/>
      <c r="CE25" s="45"/>
      <c r="CF25" s="45"/>
      <c r="CG25" s="45"/>
      <c r="CH25" s="45"/>
      <c r="CI25" s="45"/>
      <c r="CJ25" s="45"/>
      <c r="CK25" s="45"/>
      <c r="CL25" s="45"/>
      <c r="CM25" s="45"/>
      <c r="CN25" s="45"/>
      <c r="CO25" s="45"/>
      <c r="CP25" s="45"/>
      <c r="CQ25" s="45"/>
      <c r="CR25" s="45"/>
      <c r="CS25" s="45"/>
      <c r="CT25" s="45"/>
      <c r="CU25" s="45"/>
      <c r="CV25" s="45"/>
      <c r="CW25" s="45"/>
      <c r="CX25" s="45"/>
      <c r="CY25" s="45"/>
      <c r="CZ25" s="45"/>
      <c r="DA25" s="45"/>
      <c r="DB25" s="45"/>
      <c r="DC25" s="45"/>
      <c r="DD25" s="45"/>
      <c r="DE25" s="45"/>
      <c r="DF25" s="45"/>
      <c r="DG25" s="45"/>
      <c r="DH25" s="45"/>
      <c r="DI25" s="45"/>
      <c r="DJ25" s="45"/>
      <c r="DK25" s="45"/>
      <c r="DL25" s="45"/>
    </row>
    <row r="26" spans="2:116" ht="187.5" x14ac:dyDescent="0.35">
      <c r="B26" s="44"/>
      <c r="C26" s="62" t="s">
        <v>111</v>
      </c>
      <c r="D26" s="113" t="s">
        <v>186</v>
      </c>
      <c r="E26" s="113" t="s">
        <v>263</v>
      </c>
      <c r="F26" s="113" t="s">
        <v>58</v>
      </c>
      <c r="G26" s="114" t="s">
        <v>264</v>
      </c>
      <c r="H26" s="114"/>
      <c r="I26" s="108"/>
      <c r="J26" s="214" t="s">
        <v>607</v>
      </c>
      <c r="K26" s="44"/>
      <c r="L26" s="44"/>
      <c r="M26" s="45"/>
      <c r="N26" s="45"/>
      <c r="O26" s="45"/>
      <c r="P26" s="45"/>
      <c r="Q26" s="45"/>
      <c r="R26" s="45"/>
      <c r="S26" s="45"/>
      <c r="T26" s="45"/>
      <c r="U26" s="45"/>
      <c r="V26" s="45"/>
      <c r="W26" s="45"/>
      <c r="X26" s="45"/>
      <c r="Y26" s="45"/>
      <c r="Z26" s="45"/>
      <c r="AA26" s="45"/>
      <c r="AB26" s="45"/>
      <c r="AC26" s="45"/>
      <c r="AD26" s="45"/>
      <c r="AE26" s="45"/>
      <c r="AF26" s="45"/>
      <c r="AG26" s="45"/>
      <c r="AH26" s="45"/>
      <c r="AI26" s="45"/>
      <c r="AJ26" s="45"/>
      <c r="AK26" s="45"/>
      <c r="AL26" s="45"/>
      <c r="AM26" s="45"/>
      <c r="AN26" s="45"/>
      <c r="AO26" s="45"/>
      <c r="AP26" s="45"/>
      <c r="AQ26" s="45"/>
      <c r="AR26" s="45"/>
      <c r="AS26" s="45"/>
      <c r="AT26" s="45"/>
      <c r="AU26" s="45"/>
      <c r="AV26" s="45"/>
      <c r="AW26" s="45"/>
      <c r="AX26" s="45"/>
      <c r="AY26" s="45"/>
      <c r="AZ26" s="45"/>
      <c r="BA26" s="45"/>
      <c r="BB26" s="45"/>
      <c r="BC26" s="45"/>
      <c r="BD26" s="45"/>
      <c r="BE26" s="45"/>
      <c r="BF26" s="45"/>
      <c r="BG26" s="45"/>
      <c r="BH26" s="45"/>
      <c r="BI26" s="45"/>
      <c r="BJ26" s="45"/>
      <c r="BK26" s="45"/>
      <c r="BL26" s="45"/>
      <c r="BM26" s="45"/>
      <c r="BN26" s="45"/>
      <c r="BO26" s="45"/>
      <c r="BP26" s="45"/>
      <c r="BQ26" s="45"/>
      <c r="BR26" s="45"/>
      <c r="BS26" s="45"/>
      <c r="BT26" s="45"/>
      <c r="BU26" s="45"/>
      <c r="BV26" s="45"/>
      <c r="BW26" s="45"/>
      <c r="BX26" s="45"/>
      <c r="BY26" s="45"/>
      <c r="BZ26" s="45"/>
      <c r="CA26" s="45"/>
      <c r="CB26" s="45"/>
      <c r="CC26" s="45"/>
      <c r="CD26" s="45"/>
      <c r="CE26" s="45"/>
      <c r="CF26" s="45"/>
      <c r="CG26" s="45"/>
      <c r="CH26" s="45"/>
      <c r="CI26" s="45"/>
      <c r="CJ26" s="45"/>
      <c r="CK26" s="45"/>
      <c r="CL26" s="45"/>
      <c r="CM26" s="45"/>
      <c r="CN26" s="45"/>
      <c r="CO26" s="45"/>
      <c r="CP26" s="45"/>
      <c r="CQ26" s="45"/>
      <c r="CR26" s="45"/>
      <c r="CS26" s="45"/>
      <c r="CT26" s="45"/>
      <c r="CU26" s="45"/>
      <c r="CV26" s="45"/>
      <c r="CW26" s="45"/>
      <c r="CX26" s="45"/>
      <c r="CY26" s="45"/>
      <c r="CZ26" s="45"/>
      <c r="DA26" s="45"/>
      <c r="DB26" s="45"/>
      <c r="DC26" s="45"/>
      <c r="DD26" s="45"/>
      <c r="DE26" s="45"/>
      <c r="DF26" s="45"/>
      <c r="DG26" s="45"/>
      <c r="DH26" s="45"/>
      <c r="DI26" s="45"/>
      <c r="DJ26" s="45"/>
      <c r="DK26" s="45"/>
      <c r="DL26" s="45"/>
    </row>
    <row r="27" spans="2:116" x14ac:dyDescent="0.35">
      <c r="B27" s="44"/>
      <c r="C27" s="44"/>
      <c r="D27" s="28"/>
      <c r="E27" s="28"/>
      <c r="F27" s="28"/>
      <c r="G27" s="28"/>
      <c r="H27" s="28"/>
      <c r="I27" s="28"/>
      <c r="J27" s="28"/>
      <c r="K27" s="28"/>
      <c r="L27" s="44"/>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c r="AY27" s="45"/>
      <c r="AZ27" s="45"/>
      <c r="BA27" s="45"/>
      <c r="BB27" s="45"/>
      <c r="BC27" s="45"/>
      <c r="BD27" s="45"/>
      <c r="BE27" s="45"/>
      <c r="BF27" s="45"/>
      <c r="BG27" s="45"/>
      <c r="BH27" s="45"/>
      <c r="BI27" s="45"/>
      <c r="BJ27" s="45"/>
      <c r="BK27" s="45"/>
      <c r="BL27" s="45"/>
      <c r="BM27" s="45"/>
      <c r="BN27" s="45"/>
      <c r="BO27" s="45"/>
      <c r="BP27" s="45"/>
      <c r="BQ27" s="45"/>
      <c r="BR27" s="45"/>
      <c r="BS27" s="45"/>
      <c r="BT27" s="45"/>
      <c r="BU27" s="45"/>
      <c r="BV27" s="45"/>
      <c r="BW27" s="45"/>
      <c r="BX27" s="45"/>
      <c r="BY27" s="45"/>
      <c r="BZ27" s="45"/>
      <c r="CA27" s="45"/>
      <c r="CB27" s="45"/>
      <c r="CC27" s="45"/>
      <c r="CD27" s="45"/>
      <c r="CE27" s="45"/>
      <c r="CF27" s="45"/>
      <c r="CG27" s="45"/>
      <c r="CH27" s="45"/>
      <c r="CI27" s="45"/>
      <c r="CJ27" s="45"/>
      <c r="CK27" s="45"/>
      <c r="CL27" s="45"/>
      <c r="CM27" s="45"/>
      <c r="CN27" s="45"/>
      <c r="CO27" s="45"/>
      <c r="CP27" s="45"/>
      <c r="CQ27" s="45"/>
      <c r="CR27" s="45"/>
      <c r="CS27" s="45"/>
      <c r="CT27" s="45"/>
      <c r="CU27" s="45"/>
      <c r="CV27" s="45"/>
      <c r="CW27" s="45"/>
      <c r="CX27" s="45"/>
      <c r="CY27" s="45"/>
      <c r="CZ27" s="45"/>
      <c r="DA27" s="45"/>
      <c r="DB27" s="45"/>
      <c r="DC27" s="45"/>
      <c r="DD27" s="45"/>
      <c r="DE27" s="45"/>
      <c r="DF27" s="45"/>
      <c r="DG27" s="45"/>
      <c r="DH27" s="45"/>
      <c r="DI27" s="45"/>
      <c r="DJ27" s="45"/>
      <c r="DK27" s="45"/>
      <c r="DL27" s="45"/>
    </row>
    <row r="28" spans="2:116" x14ac:dyDescent="0.35">
      <c r="B28" s="44"/>
      <c r="C28" s="44"/>
      <c r="D28" s="28"/>
      <c r="E28" s="28"/>
      <c r="F28" s="28"/>
      <c r="G28" s="28"/>
      <c r="H28" s="28"/>
      <c r="I28" s="28"/>
      <c r="J28" s="28"/>
      <c r="K28" s="28"/>
      <c r="L28" s="44"/>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45"/>
      <c r="AT28" s="45"/>
      <c r="AU28" s="45"/>
      <c r="AV28" s="45"/>
      <c r="AW28" s="45"/>
      <c r="AX28" s="45"/>
      <c r="AY28" s="45"/>
      <c r="AZ28" s="45"/>
      <c r="BA28" s="45"/>
      <c r="BB28" s="45"/>
      <c r="BC28" s="45"/>
      <c r="BD28" s="45"/>
      <c r="BE28" s="45"/>
      <c r="BF28" s="45"/>
      <c r="BG28" s="45"/>
      <c r="BH28" s="45"/>
      <c r="BI28" s="45"/>
      <c r="BJ28" s="45"/>
      <c r="BK28" s="45"/>
      <c r="BL28" s="45"/>
      <c r="BM28" s="45"/>
      <c r="BN28" s="45"/>
      <c r="BO28" s="45"/>
      <c r="BP28" s="45"/>
      <c r="BQ28" s="45"/>
      <c r="BR28" s="45"/>
      <c r="BS28" s="45"/>
      <c r="BT28" s="45"/>
      <c r="BU28" s="45"/>
      <c r="BV28" s="45"/>
      <c r="BW28" s="45"/>
      <c r="BX28" s="45"/>
      <c r="BY28" s="45"/>
      <c r="BZ28" s="45"/>
      <c r="CA28" s="45"/>
      <c r="CB28" s="45"/>
      <c r="CC28" s="45"/>
      <c r="CD28" s="45"/>
      <c r="CE28" s="45"/>
      <c r="CF28" s="45"/>
      <c r="CG28" s="45"/>
      <c r="CH28" s="45"/>
      <c r="CI28" s="45"/>
      <c r="CJ28" s="45"/>
      <c r="CK28" s="45"/>
      <c r="CL28" s="45"/>
      <c r="CM28" s="45"/>
      <c r="CN28" s="45"/>
      <c r="CO28" s="45"/>
      <c r="CP28" s="45"/>
      <c r="CQ28" s="45"/>
      <c r="CR28" s="45"/>
      <c r="CS28" s="45"/>
      <c r="CT28" s="45"/>
      <c r="CU28" s="45"/>
      <c r="CV28" s="45"/>
      <c r="CW28" s="45"/>
      <c r="CX28" s="45"/>
      <c r="CY28" s="45"/>
      <c r="CZ28" s="45"/>
      <c r="DA28" s="45"/>
      <c r="DB28" s="45"/>
      <c r="DC28" s="45"/>
      <c r="DD28" s="45"/>
      <c r="DE28" s="45"/>
      <c r="DF28" s="45"/>
      <c r="DG28" s="45"/>
      <c r="DH28" s="45"/>
      <c r="DI28" s="45"/>
      <c r="DJ28" s="45"/>
      <c r="DK28" s="45"/>
      <c r="DL28" s="45"/>
    </row>
    <row r="29" spans="2:116" ht="21.75" customHeight="1" x14ac:dyDescent="0.35">
      <c r="B29" s="44"/>
      <c r="C29" s="44"/>
      <c r="D29" s="239" t="s">
        <v>151</v>
      </c>
      <c r="E29" s="239"/>
      <c r="F29" s="239"/>
      <c r="G29" s="239"/>
      <c r="H29" s="239"/>
      <c r="I29" s="239"/>
      <c r="J29" s="239"/>
      <c r="K29" s="239"/>
      <c r="L29" s="44"/>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c r="AL29" s="45"/>
      <c r="AM29" s="45"/>
      <c r="AN29" s="45"/>
      <c r="AO29" s="45"/>
      <c r="AP29" s="45"/>
      <c r="AQ29" s="45"/>
      <c r="AR29" s="45"/>
      <c r="AS29" s="45"/>
      <c r="AT29" s="45"/>
      <c r="AU29" s="45"/>
      <c r="AV29" s="45"/>
      <c r="AW29" s="45"/>
      <c r="AX29" s="45"/>
      <c r="AY29" s="45"/>
      <c r="AZ29" s="45"/>
      <c r="BA29" s="45"/>
      <c r="BB29" s="45"/>
      <c r="BC29" s="45"/>
      <c r="BD29" s="45"/>
      <c r="BE29" s="45"/>
      <c r="BF29" s="45"/>
      <c r="BG29" s="45"/>
      <c r="BH29" s="45"/>
      <c r="BI29" s="45"/>
      <c r="BJ29" s="45"/>
      <c r="BK29" s="45"/>
      <c r="BL29" s="45"/>
      <c r="BM29" s="45"/>
      <c r="BN29" s="45"/>
      <c r="BO29" s="45"/>
      <c r="BP29" s="45"/>
      <c r="BQ29" s="45"/>
      <c r="BR29" s="45"/>
      <c r="BS29" s="45"/>
      <c r="BT29" s="45"/>
      <c r="BU29" s="45"/>
      <c r="BV29" s="45"/>
      <c r="BW29" s="45"/>
      <c r="BX29" s="45"/>
      <c r="BY29" s="45"/>
      <c r="BZ29" s="45"/>
      <c r="CA29" s="45"/>
      <c r="CB29" s="45"/>
      <c r="CC29" s="45"/>
      <c r="CD29" s="45"/>
      <c r="CE29" s="45"/>
      <c r="CF29" s="45"/>
      <c r="CG29" s="45"/>
      <c r="CH29" s="45"/>
      <c r="CI29" s="45"/>
      <c r="CJ29" s="45"/>
      <c r="CK29" s="45"/>
      <c r="CL29" s="45"/>
      <c r="CM29" s="45"/>
      <c r="CN29" s="45"/>
      <c r="CO29" s="45"/>
      <c r="CP29" s="45"/>
      <c r="CQ29" s="45"/>
      <c r="CR29" s="45"/>
      <c r="CS29" s="45"/>
      <c r="CT29" s="45"/>
      <c r="CU29" s="45"/>
      <c r="CV29" s="45"/>
      <c r="CW29" s="45"/>
      <c r="CX29" s="45"/>
      <c r="CY29" s="45"/>
      <c r="CZ29" s="45"/>
      <c r="DA29" s="45"/>
      <c r="DB29" s="45"/>
      <c r="DC29" s="45"/>
      <c r="DD29" s="45"/>
      <c r="DE29" s="45"/>
      <c r="DF29" s="45"/>
      <c r="DG29" s="45"/>
      <c r="DH29" s="45"/>
      <c r="DI29" s="45"/>
      <c r="DJ29" s="45"/>
      <c r="DK29" s="45"/>
      <c r="DL29" s="45"/>
    </row>
    <row r="30" spans="2:116" ht="172.5" customHeight="1" x14ac:dyDescent="0.35">
      <c r="B30" s="44"/>
      <c r="C30" s="44"/>
      <c r="D30" s="245" t="s">
        <v>609</v>
      </c>
      <c r="E30" s="246"/>
      <c r="F30" s="246"/>
      <c r="G30" s="246"/>
      <c r="H30" s="246"/>
      <c r="I30" s="246"/>
      <c r="J30" s="246"/>
      <c r="K30" s="247"/>
      <c r="L30" s="44"/>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c r="AL30" s="45"/>
      <c r="AM30" s="45"/>
      <c r="AN30" s="45"/>
      <c r="AO30" s="45"/>
      <c r="AP30" s="45"/>
      <c r="AQ30" s="45"/>
      <c r="AR30" s="45"/>
      <c r="AS30" s="45"/>
      <c r="AT30" s="45"/>
      <c r="AU30" s="45"/>
      <c r="AV30" s="45"/>
      <c r="AW30" s="45"/>
      <c r="AX30" s="45"/>
      <c r="AY30" s="45"/>
      <c r="AZ30" s="45"/>
      <c r="BA30" s="45"/>
      <c r="BB30" s="45"/>
      <c r="BC30" s="45"/>
      <c r="BD30" s="45"/>
      <c r="BE30" s="45"/>
      <c r="BF30" s="45"/>
      <c r="BG30" s="45"/>
      <c r="BH30" s="45"/>
      <c r="BI30" s="45"/>
      <c r="BJ30" s="45"/>
      <c r="BK30" s="45"/>
      <c r="BL30" s="45"/>
      <c r="BM30" s="45"/>
      <c r="BN30" s="45"/>
      <c r="BO30" s="45"/>
      <c r="BP30" s="45"/>
      <c r="BQ30" s="45"/>
      <c r="BR30" s="45"/>
      <c r="BS30" s="45"/>
      <c r="BT30" s="45"/>
      <c r="BU30" s="45"/>
      <c r="BV30" s="45"/>
      <c r="BW30" s="45"/>
      <c r="BX30" s="45"/>
      <c r="BY30" s="45"/>
      <c r="BZ30" s="45"/>
      <c r="CA30" s="45"/>
      <c r="CB30" s="45"/>
      <c r="CC30" s="45"/>
      <c r="CD30" s="45"/>
      <c r="CE30" s="45"/>
      <c r="CF30" s="45"/>
      <c r="CG30" s="45"/>
      <c r="CH30" s="45"/>
      <c r="CI30" s="45"/>
      <c r="CJ30" s="45"/>
      <c r="CK30" s="45"/>
      <c r="CL30" s="45"/>
      <c r="CM30" s="45"/>
      <c r="CN30" s="45"/>
      <c r="CO30" s="45"/>
      <c r="CP30" s="45"/>
      <c r="CQ30" s="45"/>
      <c r="CR30" s="45"/>
      <c r="CS30" s="45"/>
      <c r="CT30" s="45"/>
      <c r="CU30" s="45"/>
      <c r="CV30" s="45"/>
      <c r="CW30" s="45"/>
      <c r="CX30" s="45"/>
      <c r="CY30" s="45"/>
      <c r="CZ30" s="45"/>
      <c r="DA30" s="45"/>
      <c r="DB30" s="45"/>
      <c r="DC30" s="45"/>
      <c r="DD30" s="45"/>
      <c r="DE30" s="45"/>
      <c r="DF30" s="45"/>
      <c r="DG30" s="45"/>
      <c r="DH30" s="45"/>
      <c r="DI30" s="45"/>
      <c r="DJ30" s="45"/>
      <c r="DK30" s="45"/>
      <c r="DL30" s="45"/>
    </row>
    <row r="31" spans="2:116" x14ac:dyDescent="0.35">
      <c r="B31" s="44"/>
      <c r="C31" s="44"/>
      <c r="D31" s="16"/>
      <c r="E31" s="16"/>
      <c r="F31" s="16"/>
      <c r="G31" s="16"/>
      <c r="H31" s="16"/>
      <c r="I31" s="18"/>
      <c r="J31" s="18"/>
      <c r="K31" s="17"/>
      <c r="L31" s="44"/>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5"/>
      <c r="AU31" s="45"/>
      <c r="AV31" s="45"/>
      <c r="AW31" s="45"/>
      <c r="AX31" s="45"/>
      <c r="AY31" s="45"/>
      <c r="AZ31" s="45"/>
      <c r="BA31" s="45"/>
      <c r="BB31" s="45"/>
      <c r="BC31" s="45"/>
      <c r="BD31" s="45"/>
      <c r="BE31" s="45"/>
      <c r="BF31" s="45"/>
      <c r="BG31" s="45"/>
      <c r="BH31" s="45"/>
      <c r="BI31" s="45"/>
      <c r="BJ31" s="45"/>
      <c r="BK31" s="45"/>
      <c r="BL31" s="45"/>
      <c r="BM31" s="45"/>
      <c r="BN31" s="45"/>
      <c r="BO31" s="45"/>
      <c r="BP31" s="45"/>
      <c r="BQ31" s="45"/>
      <c r="BR31" s="45"/>
      <c r="BS31" s="45"/>
      <c r="BT31" s="45"/>
      <c r="BU31" s="45"/>
      <c r="BV31" s="45"/>
      <c r="BW31" s="45"/>
      <c r="BX31" s="45"/>
      <c r="BY31" s="45"/>
      <c r="BZ31" s="45"/>
      <c r="CA31" s="45"/>
      <c r="CB31" s="45"/>
      <c r="CC31" s="45"/>
      <c r="CD31" s="45"/>
      <c r="CE31" s="45"/>
      <c r="CF31" s="45"/>
      <c r="CG31" s="45"/>
      <c r="CH31" s="45"/>
      <c r="CI31" s="45"/>
      <c r="CJ31" s="45"/>
      <c r="CK31" s="45"/>
      <c r="CL31" s="45"/>
      <c r="CM31" s="45"/>
      <c r="CN31" s="45"/>
      <c r="CO31" s="45"/>
      <c r="CP31" s="45"/>
      <c r="CQ31" s="45"/>
      <c r="CR31" s="45"/>
      <c r="CS31" s="45"/>
      <c r="CT31" s="45"/>
      <c r="CU31" s="45"/>
      <c r="CV31" s="45"/>
      <c r="CW31" s="45"/>
      <c r="CX31" s="45"/>
      <c r="CY31" s="45"/>
      <c r="CZ31" s="45"/>
      <c r="DA31" s="45"/>
      <c r="DB31" s="45"/>
      <c r="DC31" s="45"/>
      <c r="DD31" s="45"/>
      <c r="DE31" s="45"/>
      <c r="DF31" s="45"/>
      <c r="DG31" s="45"/>
      <c r="DH31" s="45"/>
      <c r="DI31" s="45"/>
      <c r="DJ31" s="45"/>
      <c r="DK31" s="45"/>
      <c r="DL31" s="45"/>
    </row>
    <row r="32" spans="2:116" x14ac:dyDescent="0.35">
      <c r="B32" s="44"/>
      <c r="C32" s="44"/>
      <c r="D32" s="239" t="s">
        <v>152</v>
      </c>
      <c r="E32" s="239"/>
      <c r="F32" s="239"/>
      <c r="G32" s="239"/>
      <c r="H32" s="239"/>
      <c r="I32" s="239"/>
      <c r="J32" s="239"/>
      <c r="K32" s="239"/>
      <c r="L32" s="44"/>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c r="BC32" s="45"/>
      <c r="BD32" s="45"/>
      <c r="BE32" s="45"/>
      <c r="BF32" s="45"/>
      <c r="BG32" s="45"/>
      <c r="BH32" s="45"/>
      <c r="BI32" s="45"/>
      <c r="BJ32" s="45"/>
      <c r="BK32" s="45"/>
      <c r="BL32" s="45"/>
      <c r="BM32" s="45"/>
      <c r="BN32" s="45"/>
      <c r="BO32" s="45"/>
      <c r="BP32" s="45"/>
      <c r="BQ32" s="45"/>
      <c r="BR32" s="45"/>
      <c r="BS32" s="45"/>
      <c r="BT32" s="45"/>
      <c r="BU32" s="45"/>
      <c r="BV32" s="45"/>
      <c r="BW32" s="45"/>
      <c r="BX32" s="45"/>
      <c r="BY32" s="45"/>
      <c r="BZ32" s="45"/>
      <c r="CA32" s="45"/>
      <c r="CB32" s="45"/>
      <c r="CC32" s="45"/>
      <c r="CD32" s="45"/>
      <c r="CE32" s="45"/>
      <c r="CF32" s="45"/>
      <c r="CG32" s="45"/>
      <c r="CH32" s="45"/>
      <c r="CI32" s="45"/>
      <c r="CJ32" s="45"/>
      <c r="CK32" s="45"/>
      <c r="CL32" s="45"/>
      <c r="CM32" s="45"/>
      <c r="CN32" s="45"/>
      <c r="CO32" s="45"/>
      <c r="CP32" s="45"/>
      <c r="CQ32" s="45"/>
      <c r="CR32" s="45"/>
      <c r="CS32" s="45"/>
      <c r="CT32" s="45"/>
      <c r="CU32" s="45"/>
      <c r="CV32" s="45"/>
      <c r="CW32" s="45"/>
      <c r="CX32" s="45"/>
      <c r="CY32" s="45"/>
      <c r="CZ32" s="45"/>
      <c r="DA32" s="45"/>
      <c r="DB32" s="45"/>
      <c r="DC32" s="45"/>
      <c r="DD32" s="45"/>
      <c r="DE32" s="45"/>
      <c r="DF32" s="45"/>
      <c r="DG32" s="45"/>
      <c r="DH32" s="45"/>
      <c r="DI32" s="45"/>
      <c r="DJ32" s="45"/>
      <c r="DK32" s="45"/>
      <c r="DL32" s="45"/>
    </row>
    <row r="33" spans="2:116" ht="132" customHeight="1" x14ac:dyDescent="0.35">
      <c r="B33" s="44"/>
      <c r="C33" s="44"/>
      <c r="D33" s="245" t="s">
        <v>654</v>
      </c>
      <c r="E33" s="246"/>
      <c r="F33" s="246"/>
      <c r="G33" s="246"/>
      <c r="H33" s="246"/>
      <c r="I33" s="246"/>
      <c r="J33" s="246"/>
      <c r="K33" s="247"/>
      <c r="L33" s="44"/>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c r="AL33" s="45"/>
      <c r="AM33" s="45"/>
      <c r="AN33" s="45"/>
      <c r="AO33" s="45"/>
      <c r="AP33" s="45"/>
      <c r="AQ33" s="45"/>
      <c r="AR33" s="45"/>
      <c r="AS33" s="45"/>
      <c r="AT33" s="45"/>
      <c r="AU33" s="45"/>
      <c r="AV33" s="45"/>
      <c r="AW33" s="45"/>
      <c r="AX33" s="45"/>
      <c r="AY33" s="45"/>
      <c r="AZ33" s="45"/>
      <c r="BA33" s="45"/>
      <c r="BB33" s="45"/>
      <c r="BC33" s="45"/>
      <c r="BD33" s="45"/>
      <c r="BE33" s="45"/>
      <c r="BF33" s="45"/>
      <c r="BG33" s="45"/>
      <c r="BH33" s="45"/>
      <c r="BI33" s="45"/>
      <c r="BJ33" s="45"/>
      <c r="BK33" s="45"/>
      <c r="BL33" s="45"/>
      <c r="BM33" s="45"/>
      <c r="BN33" s="45"/>
      <c r="BO33" s="45"/>
      <c r="BP33" s="45"/>
      <c r="BQ33" s="45"/>
      <c r="BR33" s="45"/>
      <c r="BS33" s="45"/>
      <c r="BT33" s="45"/>
      <c r="BU33" s="45"/>
      <c r="BV33" s="45"/>
      <c r="BW33" s="45"/>
      <c r="BX33" s="45"/>
      <c r="BY33" s="45"/>
      <c r="BZ33" s="45"/>
      <c r="CA33" s="45"/>
      <c r="CB33" s="45"/>
      <c r="CC33" s="45"/>
      <c r="CD33" s="45"/>
      <c r="CE33" s="45"/>
      <c r="CF33" s="45"/>
      <c r="CG33" s="45"/>
      <c r="CH33" s="45"/>
      <c r="CI33" s="45"/>
      <c r="CJ33" s="45"/>
      <c r="CK33" s="45"/>
      <c r="CL33" s="45"/>
      <c r="CM33" s="45"/>
      <c r="CN33" s="45"/>
      <c r="CO33" s="45"/>
      <c r="CP33" s="45"/>
      <c r="CQ33" s="45"/>
      <c r="CR33" s="45"/>
      <c r="CS33" s="45"/>
      <c r="CT33" s="45"/>
      <c r="CU33" s="45"/>
      <c r="CV33" s="45"/>
      <c r="CW33" s="45"/>
      <c r="CX33" s="45"/>
      <c r="CY33" s="45"/>
      <c r="CZ33" s="45"/>
      <c r="DA33" s="45"/>
      <c r="DB33" s="45"/>
      <c r="DC33" s="45"/>
      <c r="DD33" s="45"/>
      <c r="DE33" s="45"/>
      <c r="DF33" s="45"/>
      <c r="DG33" s="45"/>
      <c r="DH33" s="45"/>
      <c r="DI33" s="45"/>
      <c r="DJ33" s="45"/>
      <c r="DK33" s="45"/>
      <c r="DL33" s="45"/>
    </row>
    <row r="34" spans="2:116" ht="37.5" customHeight="1" x14ac:dyDescent="0.35">
      <c r="B34" s="44"/>
      <c r="C34" s="44"/>
      <c r="D34" s="44"/>
      <c r="E34" s="44"/>
      <c r="F34" s="44"/>
      <c r="G34" s="44"/>
      <c r="H34" s="44"/>
      <c r="I34" s="44"/>
      <c r="J34" s="44"/>
      <c r="K34" s="44"/>
      <c r="L34" s="44"/>
      <c r="M34" s="45"/>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c r="AN34" s="45"/>
      <c r="AO34" s="45"/>
      <c r="AP34" s="45"/>
      <c r="AQ34" s="45"/>
      <c r="AR34" s="45"/>
      <c r="AS34" s="45"/>
      <c r="AT34" s="45"/>
      <c r="AU34" s="45"/>
      <c r="AV34" s="45"/>
      <c r="AW34" s="45"/>
      <c r="AX34" s="45"/>
      <c r="AY34" s="45"/>
      <c r="AZ34" s="45"/>
      <c r="BA34" s="45"/>
      <c r="BB34" s="45"/>
      <c r="BC34" s="45"/>
      <c r="BD34" s="45"/>
      <c r="BE34" s="45"/>
      <c r="BF34" s="45"/>
      <c r="BG34" s="45"/>
      <c r="BH34" s="45"/>
      <c r="BI34" s="45"/>
      <c r="BJ34" s="45"/>
      <c r="BK34" s="45"/>
      <c r="BL34" s="45"/>
      <c r="BM34" s="45"/>
      <c r="BN34" s="45"/>
      <c r="BO34" s="45"/>
      <c r="BP34" s="45"/>
      <c r="BQ34" s="45"/>
      <c r="BR34" s="45"/>
      <c r="BS34" s="45"/>
      <c r="BT34" s="45"/>
      <c r="BU34" s="45"/>
      <c r="BV34" s="45"/>
      <c r="BW34" s="45"/>
      <c r="BX34" s="45"/>
      <c r="BY34" s="45"/>
      <c r="BZ34" s="45"/>
      <c r="CA34" s="45"/>
      <c r="CB34" s="45"/>
      <c r="CC34" s="45"/>
      <c r="CD34" s="45"/>
      <c r="CE34" s="45"/>
      <c r="CF34" s="45"/>
      <c r="CG34" s="45"/>
      <c r="CH34" s="45"/>
      <c r="CI34" s="45"/>
      <c r="CJ34" s="45"/>
      <c r="CK34" s="45"/>
      <c r="CL34" s="45"/>
      <c r="CM34" s="45"/>
      <c r="CN34" s="45"/>
      <c r="CO34" s="45"/>
      <c r="CP34" s="45"/>
      <c r="CQ34" s="45"/>
      <c r="CR34" s="45"/>
      <c r="CS34" s="45"/>
      <c r="CT34" s="45"/>
      <c r="CU34" s="45"/>
      <c r="CV34" s="45"/>
      <c r="CW34" s="45"/>
      <c r="CX34" s="45"/>
      <c r="CY34" s="45"/>
      <c r="CZ34" s="45"/>
      <c r="DA34" s="45"/>
      <c r="DB34" s="45"/>
      <c r="DC34" s="45"/>
      <c r="DD34" s="45"/>
      <c r="DE34" s="45"/>
      <c r="DF34" s="45"/>
      <c r="DG34" s="45"/>
      <c r="DH34" s="45"/>
      <c r="DI34" s="45"/>
      <c r="DJ34" s="45"/>
      <c r="DK34" s="45"/>
      <c r="DL34" s="45"/>
    </row>
    <row r="35" spans="2:116" s="45" customFormat="1" x14ac:dyDescent="0.35"/>
    <row r="36" spans="2:116" s="45" customFormat="1" x14ac:dyDescent="0.35">
      <c r="C36" s="145"/>
      <c r="D36" s="145"/>
      <c r="E36" s="145"/>
      <c r="F36" s="145"/>
      <c r="G36" s="145"/>
      <c r="H36" s="145"/>
      <c r="I36" s="145"/>
      <c r="J36" s="145"/>
    </row>
    <row r="37" spans="2:116" s="45" customFormat="1" x14ac:dyDescent="0.35">
      <c r="C37" s="145"/>
      <c r="D37" s="145"/>
      <c r="E37" s="145"/>
      <c r="F37" s="145"/>
      <c r="G37" s="145"/>
      <c r="H37" s="145"/>
      <c r="I37" s="145"/>
      <c r="J37" s="145"/>
    </row>
    <row r="38" spans="2:116" s="45" customFormat="1" x14ac:dyDescent="0.35">
      <c r="C38" s="145"/>
      <c r="D38" s="145"/>
      <c r="E38" s="145"/>
      <c r="F38" s="145"/>
      <c r="G38" s="145"/>
      <c r="H38" s="145"/>
      <c r="I38" s="145"/>
      <c r="J38" s="145"/>
    </row>
    <row r="39" spans="2:116" s="45" customFormat="1" x14ac:dyDescent="0.35"/>
    <row r="40" spans="2:116" s="45" customFormat="1" x14ac:dyDescent="0.35"/>
    <row r="41" spans="2:116" s="45" customFormat="1" x14ac:dyDescent="0.35"/>
    <row r="42" spans="2:116" s="45" customFormat="1" x14ac:dyDescent="0.35"/>
    <row r="43" spans="2:116" s="45" customFormat="1" x14ac:dyDescent="0.35"/>
    <row r="44" spans="2:116" s="45" customFormat="1" x14ac:dyDescent="0.35"/>
    <row r="45" spans="2:116" s="45" customFormat="1" x14ac:dyDescent="0.35"/>
    <row r="46" spans="2:116" s="45" customFormat="1" x14ac:dyDescent="0.35"/>
    <row r="47" spans="2:116" s="45" customFormat="1" x14ac:dyDescent="0.35"/>
    <row r="48" spans="2:116" s="45" customFormat="1" x14ac:dyDescent="0.35"/>
    <row r="49" s="45" customFormat="1" x14ac:dyDescent="0.35"/>
    <row r="50" s="45" customFormat="1" x14ac:dyDescent="0.35"/>
    <row r="51" s="45" customFormat="1" x14ac:dyDescent="0.35"/>
    <row r="52" s="45" customFormat="1" x14ac:dyDescent="0.35"/>
    <row r="53" s="45" customFormat="1" x14ac:dyDescent="0.35"/>
    <row r="54" s="45" customFormat="1" x14ac:dyDescent="0.35"/>
    <row r="55" s="45" customFormat="1" x14ac:dyDescent="0.35"/>
    <row r="56" s="45" customFormat="1" x14ac:dyDescent="0.35"/>
    <row r="57" s="45" customFormat="1" x14ac:dyDescent="0.35"/>
    <row r="58" s="45" customFormat="1" x14ac:dyDescent="0.35"/>
    <row r="59" s="45" customFormat="1" x14ac:dyDescent="0.35"/>
    <row r="60" s="45" customFormat="1" x14ac:dyDescent="0.35"/>
    <row r="61" s="45" customFormat="1" x14ac:dyDescent="0.35"/>
    <row r="62" s="45" customFormat="1" x14ac:dyDescent="0.35"/>
    <row r="63" s="45" customFormat="1" x14ac:dyDescent="0.35"/>
    <row r="64" s="45" customFormat="1" x14ac:dyDescent="0.35"/>
    <row r="65" s="45" customFormat="1" x14ac:dyDescent="0.35"/>
    <row r="66" s="45" customFormat="1" x14ac:dyDescent="0.35"/>
    <row r="67" s="45" customFormat="1" x14ac:dyDescent="0.35"/>
    <row r="68" s="45" customFormat="1" x14ac:dyDescent="0.35"/>
    <row r="69" s="45" customFormat="1" x14ac:dyDescent="0.35"/>
    <row r="70" s="45" customFormat="1" x14ac:dyDescent="0.35"/>
    <row r="71" s="45" customFormat="1" x14ac:dyDescent="0.35"/>
    <row r="72" s="45" customFormat="1" x14ac:dyDescent="0.35"/>
    <row r="73" s="45" customFormat="1" x14ac:dyDescent="0.35"/>
    <row r="74" s="45" customFormat="1" x14ac:dyDescent="0.35"/>
    <row r="75" s="45" customFormat="1" x14ac:dyDescent="0.35"/>
    <row r="76" s="45" customFormat="1" x14ac:dyDescent="0.35"/>
    <row r="77" s="45" customFormat="1" x14ac:dyDescent="0.35"/>
    <row r="78" s="45" customFormat="1" x14ac:dyDescent="0.35"/>
    <row r="79" s="45" customFormat="1" x14ac:dyDescent="0.35"/>
    <row r="80" s="45" customFormat="1" x14ac:dyDescent="0.35"/>
    <row r="81" s="45" customFormat="1" x14ac:dyDescent="0.35"/>
    <row r="82" s="45" customFormat="1" x14ac:dyDescent="0.35"/>
    <row r="83" s="45" customFormat="1" x14ac:dyDescent="0.35"/>
    <row r="84" s="45" customFormat="1" x14ac:dyDescent="0.35"/>
    <row r="85" s="45" customFormat="1" x14ac:dyDescent="0.35"/>
    <row r="86" s="45" customFormat="1" x14ac:dyDescent="0.35"/>
    <row r="87" s="45" customFormat="1" x14ac:dyDescent="0.35"/>
    <row r="88" s="45" customFormat="1" x14ac:dyDescent="0.35"/>
    <row r="89" s="45" customFormat="1" x14ac:dyDescent="0.35"/>
    <row r="90" s="45" customFormat="1" x14ac:dyDescent="0.35"/>
    <row r="91" s="45" customFormat="1" x14ac:dyDescent="0.35"/>
    <row r="92" s="45" customFormat="1" x14ac:dyDescent="0.35"/>
    <row r="93" s="45" customFormat="1" x14ac:dyDescent="0.35"/>
    <row r="94" s="45" customFormat="1" x14ac:dyDescent="0.35"/>
    <row r="95" s="45" customFormat="1" x14ac:dyDescent="0.35"/>
    <row r="96" s="45" customFormat="1" x14ac:dyDescent="0.35"/>
    <row r="97" s="45" customFormat="1" x14ac:dyDescent="0.35"/>
    <row r="98" s="45" customFormat="1" x14ac:dyDescent="0.35"/>
    <row r="99" s="45" customFormat="1" x14ac:dyDescent="0.35"/>
    <row r="100" s="45" customFormat="1" x14ac:dyDescent="0.35"/>
    <row r="101" s="45" customFormat="1" x14ac:dyDescent="0.35"/>
    <row r="102" s="45" customFormat="1" x14ac:dyDescent="0.35"/>
    <row r="103" s="45" customFormat="1" x14ac:dyDescent="0.35"/>
    <row r="104" s="45" customFormat="1" x14ac:dyDescent="0.35"/>
    <row r="105" s="45" customFormat="1" x14ac:dyDescent="0.35"/>
    <row r="106" s="45" customFormat="1" x14ac:dyDescent="0.35"/>
    <row r="107" s="45" customFormat="1" x14ac:dyDescent="0.35"/>
    <row r="108" s="45" customFormat="1" x14ac:dyDescent="0.35"/>
    <row r="109" s="45" customFormat="1" x14ac:dyDescent="0.35"/>
    <row r="110" s="45" customFormat="1" x14ac:dyDescent="0.35"/>
    <row r="111" s="45" customFormat="1" x14ac:dyDescent="0.35"/>
    <row r="112" s="45" customFormat="1" x14ac:dyDescent="0.35"/>
    <row r="113" s="45" customFormat="1" x14ac:dyDescent="0.35"/>
    <row r="114" s="45" customFormat="1" x14ac:dyDescent="0.35"/>
    <row r="115" s="45" customFormat="1" x14ac:dyDescent="0.35"/>
    <row r="116" s="45" customFormat="1" x14ac:dyDescent="0.35"/>
    <row r="117" s="45" customFormat="1" x14ac:dyDescent="0.35"/>
    <row r="118" s="45" customFormat="1" x14ac:dyDescent="0.35"/>
    <row r="119" s="45" customFormat="1" x14ac:dyDescent="0.35"/>
    <row r="120" s="45" customFormat="1" x14ac:dyDescent="0.35"/>
    <row r="121" s="45" customFormat="1" x14ac:dyDescent="0.35"/>
    <row r="122" s="45" customFormat="1" x14ac:dyDescent="0.35"/>
    <row r="123" s="45" customFormat="1" x14ac:dyDescent="0.35"/>
    <row r="124" s="45" customFormat="1" x14ac:dyDescent="0.35"/>
    <row r="125" s="45" customFormat="1" x14ac:dyDescent="0.35"/>
    <row r="126" s="45" customFormat="1" x14ac:dyDescent="0.35"/>
    <row r="127" s="45" customFormat="1" x14ac:dyDescent="0.35"/>
    <row r="128" s="45" customFormat="1" x14ac:dyDescent="0.35"/>
    <row r="129" s="45" customFormat="1" x14ac:dyDescent="0.35"/>
    <row r="130" s="45" customFormat="1" x14ac:dyDescent="0.35"/>
    <row r="131" s="45" customFormat="1" x14ac:dyDescent="0.35"/>
    <row r="132" s="45" customFormat="1" x14ac:dyDescent="0.35"/>
    <row r="133" s="45" customFormat="1" x14ac:dyDescent="0.35"/>
    <row r="134" s="45" customFormat="1" x14ac:dyDescent="0.35"/>
    <row r="135" s="45" customFormat="1" x14ac:dyDescent="0.35"/>
    <row r="136" s="45" customFormat="1" x14ac:dyDescent="0.35"/>
    <row r="137" s="45" customFormat="1" x14ac:dyDescent="0.35"/>
    <row r="138" s="45" customFormat="1" x14ac:dyDescent="0.35"/>
    <row r="139" s="45" customFormat="1" x14ac:dyDescent="0.35"/>
    <row r="140" s="45" customFormat="1" x14ac:dyDescent="0.35"/>
    <row r="141" s="45" customFormat="1" x14ac:dyDescent="0.35"/>
    <row r="142" s="45" customFormat="1" x14ac:dyDescent="0.35"/>
    <row r="143" s="45" customFormat="1" x14ac:dyDescent="0.35"/>
    <row r="144" s="45" customFormat="1" x14ac:dyDescent="0.35"/>
    <row r="145" s="45" customFormat="1" x14ac:dyDescent="0.35"/>
    <row r="146" s="45" customFormat="1" x14ac:dyDescent="0.35"/>
    <row r="147" s="45" customFormat="1" x14ac:dyDescent="0.35"/>
    <row r="148" s="45" customFormat="1" x14ac:dyDescent="0.35"/>
    <row r="149" s="45" customFormat="1" x14ac:dyDescent="0.35"/>
    <row r="150" s="45" customFormat="1" x14ac:dyDescent="0.35"/>
    <row r="151" s="45" customFormat="1" x14ac:dyDescent="0.35"/>
    <row r="152" s="45" customFormat="1" x14ac:dyDescent="0.35"/>
    <row r="153" s="45" customFormat="1" x14ac:dyDescent="0.35"/>
    <row r="154" s="45" customFormat="1" x14ac:dyDescent="0.35"/>
    <row r="155" s="45" customFormat="1" x14ac:dyDescent="0.35"/>
    <row r="156" s="45" customFormat="1" x14ac:dyDescent="0.35"/>
    <row r="157" s="45" customFormat="1" x14ac:dyDescent="0.35"/>
    <row r="158" s="45" customFormat="1" x14ac:dyDescent="0.35"/>
    <row r="159" s="45" customFormat="1" x14ac:dyDescent="0.35"/>
    <row r="160" s="45" customFormat="1" x14ac:dyDescent="0.35"/>
    <row r="161" s="45" customFormat="1" x14ac:dyDescent="0.35"/>
    <row r="162" s="45" customFormat="1" x14ac:dyDescent="0.35"/>
    <row r="163" s="45" customFormat="1" x14ac:dyDescent="0.35"/>
    <row r="164" s="45" customFormat="1" x14ac:dyDescent="0.35"/>
    <row r="165" s="45" customFormat="1" x14ac:dyDescent="0.35"/>
    <row r="166" s="45" customFormat="1" x14ac:dyDescent="0.35"/>
    <row r="167" s="45" customFormat="1" x14ac:dyDescent="0.35"/>
    <row r="168" s="45" customFormat="1" x14ac:dyDescent="0.35"/>
    <row r="169" s="45" customFormat="1" x14ac:dyDescent="0.35"/>
    <row r="170" s="45" customFormat="1" x14ac:dyDescent="0.35"/>
    <row r="171" s="45" customFormat="1" x14ac:dyDescent="0.35"/>
    <row r="172" s="45" customFormat="1" x14ac:dyDescent="0.35"/>
    <row r="173" s="45" customFormat="1" x14ac:dyDescent="0.35"/>
    <row r="174" s="45" customFormat="1" x14ac:dyDescent="0.35"/>
    <row r="175" s="45" customFormat="1" x14ac:dyDescent="0.35"/>
    <row r="176" s="45" customFormat="1" x14ac:dyDescent="0.35"/>
    <row r="177" s="45" customFormat="1" x14ac:dyDescent="0.35"/>
    <row r="178" s="45" customFormat="1" x14ac:dyDescent="0.35"/>
    <row r="179" s="45" customFormat="1" x14ac:dyDescent="0.35"/>
    <row r="180" s="45" customFormat="1" x14ac:dyDescent="0.35"/>
    <row r="181" s="45" customFormat="1" x14ac:dyDescent="0.35"/>
    <row r="182" s="45" customFormat="1" x14ac:dyDescent="0.35"/>
    <row r="183" s="45" customFormat="1" x14ac:dyDescent="0.35"/>
    <row r="184" s="45" customFormat="1" x14ac:dyDescent="0.35"/>
    <row r="185" s="45" customFormat="1" x14ac:dyDescent="0.35"/>
    <row r="186" s="45" customFormat="1" x14ac:dyDescent="0.35"/>
    <row r="187" s="45" customFormat="1" x14ac:dyDescent="0.35"/>
    <row r="188" s="45" customFormat="1" x14ac:dyDescent="0.35"/>
    <row r="189" s="45" customFormat="1" x14ac:dyDescent="0.35"/>
    <row r="190" s="45" customFormat="1" x14ac:dyDescent="0.35"/>
    <row r="191" s="45" customFormat="1" x14ac:dyDescent="0.35"/>
    <row r="192" s="45" customFormat="1" x14ac:dyDescent="0.35"/>
    <row r="193" s="45" customFormat="1" x14ac:dyDescent="0.35"/>
    <row r="194" s="45" customFormat="1" x14ac:dyDescent="0.35"/>
    <row r="195" s="45" customFormat="1" x14ac:dyDescent="0.35"/>
    <row r="196" s="45" customFormat="1" x14ac:dyDescent="0.35"/>
    <row r="197" s="45" customFormat="1" x14ac:dyDescent="0.35"/>
    <row r="198" s="45" customFormat="1" x14ac:dyDescent="0.35"/>
    <row r="199" s="45" customFormat="1" x14ac:dyDescent="0.35"/>
    <row r="200" s="45" customFormat="1" x14ac:dyDescent="0.35"/>
    <row r="201" s="45" customFormat="1" x14ac:dyDescent="0.35"/>
    <row r="202" s="45" customFormat="1" x14ac:dyDescent="0.35"/>
    <row r="203" s="45" customFormat="1" x14ac:dyDescent="0.35"/>
    <row r="204" s="45" customFormat="1" x14ac:dyDescent="0.35"/>
    <row r="205" s="45" customFormat="1" x14ac:dyDescent="0.35"/>
    <row r="206" s="45" customFormat="1" x14ac:dyDescent="0.35"/>
    <row r="207" s="45" customFormat="1" x14ac:dyDescent="0.35"/>
    <row r="208" s="45" customFormat="1" x14ac:dyDescent="0.35"/>
    <row r="209" s="45" customFormat="1" x14ac:dyDescent="0.35"/>
    <row r="210" s="45" customFormat="1" x14ac:dyDescent="0.35"/>
    <row r="211" s="45" customFormat="1" x14ac:dyDescent="0.35"/>
    <row r="212" s="45" customFormat="1" x14ac:dyDescent="0.35"/>
    <row r="213" s="45" customFormat="1" x14ac:dyDescent="0.35"/>
    <row r="214" s="45" customFormat="1" x14ac:dyDescent="0.35"/>
    <row r="215" s="45" customFormat="1" x14ac:dyDescent="0.35"/>
    <row r="216" s="45" customFormat="1" x14ac:dyDescent="0.35"/>
    <row r="217" s="45" customFormat="1" x14ac:dyDescent="0.35"/>
    <row r="218" s="45" customFormat="1" x14ac:dyDescent="0.35"/>
    <row r="219" s="45" customFormat="1" x14ac:dyDescent="0.35"/>
    <row r="220" s="45" customFormat="1" x14ac:dyDescent="0.35"/>
    <row r="221" s="45" customFormat="1" x14ac:dyDescent="0.35"/>
    <row r="222" s="45" customFormat="1" x14ac:dyDescent="0.35"/>
    <row r="223" s="45" customFormat="1" x14ac:dyDescent="0.35"/>
    <row r="224" s="45" customFormat="1" x14ac:dyDescent="0.35"/>
    <row r="225" s="45" customFormat="1" x14ac:dyDescent="0.35"/>
    <row r="226" s="45" customFormat="1" x14ac:dyDescent="0.35"/>
    <row r="227" s="45" customFormat="1" x14ac:dyDescent="0.35"/>
    <row r="228" s="45" customFormat="1" x14ac:dyDescent="0.35"/>
    <row r="229" s="45" customFormat="1" x14ac:dyDescent="0.35"/>
    <row r="230" s="45" customFormat="1" x14ac:dyDescent="0.35"/>
    <row r="231" s="45" customFormat="1" x14ac:dyDescent="0.35"/>
    <row r="232" s="45" customFormat="1" x14ac:dyDescent="0.35"/>
    <row r="233" s="45" customFormat="1" x14ac:dyDescent="0.35"/>
    <row r="234" s="45" customFormat="1" x14ac:dyDescent="0.35"/>
    <row r="235" s="45" customFormat="1" x14ac:dyDescent="0.35"/>
    <row r="236" s="45" customFormat="1" x14ac:dyDescent="0.35"/>
    <row r="237" s="45" customFormat="1" x14ac:dyDescent="0.35"/>
    <row r="238" s="45" customFormat="1" x14ac:dyDescent="0.35"/>
    <row r="239" s="45" customFormat="1" x14ac:dyDescent="0.35"/>
    <row r="240" s="45" customFormat="1" x14ac:dyDescent="0.35"/>
    <row r="241" s="45" customFormat="1" x14ac:dyDescent="0.35"/>
    <row r="242" s="45" customFormat="1" x14ac:dyDescent="0.35"/>
    <row r="243" s="45" customFormat="1" x14ac:dyDescent="0.35"/>
    <row r="244" s="45" customFormat="1" x14ac:dyDescent="0.35"/>
    <row r="245" s="45" customFormat="1" x14ac:dyDescent="0.35"/>
    <row r="246" s="45" customFormat="1" x14ac:dyDescent="0.35"/>
    <row r="247" s="45" customFormat="1" x14ac:dyDescent="0.35"/>
    <row r="248" s="45" customFormat="1" x14ac:dyDescent="0.35"/>
    <row r="249" s="45" customFormat="1" x14ac:dyDescent="0.35"/>
    <row r="250" s="45" customFormat="1" x14ac:dyDescent="0.35"/>
    <row r="251" s="45" customFormat="1" x14ac:dyDescent="0.35"/>
    <row r="252" s="45" customFormat="1" x14ac:dyDescent="0.35"/>
    <row r="253" s="45" customFormat="1" x14ac:dyDescent="0.35"/>
    <row r="254" s="45" customFormat="1" x14ac:dyDescent="0.35"/>
    <row r="255" s="45" customFormat="1" x14ac:dyDescent="0.35"/>
    <row r="256" s="45" customFormat="1" x14ac:dyDescent="0.35"/>
    <row r="257" s="45" customFormat="1" x14ac:dyDescent="0.35"/>
    <row r="258" s="45" customFormat="1" x14ac:dyDescent="0.35"/>
    <row r="259" s="45" customFormat="1" x14ac:dyDescent="0.35"/>
    <row r="260" s="45" customFormat="1" x14ac:dyDescent="0.35"/>
    <row r="261" s="45" customFormat="1" x14ac:dyDescent="0.35"/>
    <row r="262" s="45" customFormat="1" x14ac:dyDescent="0.35"/>
    <row r="263" s="45" customFormat="1" x14ac:dyDescent="0.35"/>
    <row r="264" s="45" customFormat="1" x14ac:dyDescent="0.35"/>
    <row r="265" s="45" customFormat="1" x14ac:dyDescent="0.35"/>
    <row r="266" s="45" customFormat="1" x14ac:dyDescent="0.35"/>
    <row r="267" s="45" customFormat="1" x14ac:dyDescent="0.35"/>
    <row r="268" s="45" customFormat="1" x14ac:dyDescent="0.35"/>
    <row r="269" s="45" customFormat="1" x14ac:dyDescent="0.35"/>
    <row r="270" s="45" customFormat="1" x14ac:dyDescent="0.35"/>
    <row r="271" s="45" customFormat="1" x14ac:dyDescent="0.35"/>
    <row r="272" s="45" customFormat="1" x14ac:dyDescent="0.35"/>
    <row r="273" s="45" customFormat="1" x14ac:dyDescent="0.35"/>
    <row r="274" s="45" customFormat="1" x14ac:dyDescent="0.35"/>
    <row r="275" s="45" customFormat="1" x14ac:dyDescent="0.35"/>
    <row r="276" s="45" customFormat="1" x14ac:dyDescent="0.35"/>
    <row r="277" s="45" customFormat="1" x14ac:dyDescent="0.35"/>
    <row r="278" s="45" customFormat="1" x14ac:dyDescent="0.35"/>
    <row r="279" s="45" customFormat="1" x14ac:dyDescent="0.35"/>
    <row r="280" s="45" customFormat="1" x14ac:dyDescent="0.35"/>
    <row r="281" s="45" customFormat="1" x14ac:dyDescent="0.35"/>
    <row r="282" s="45" customFormat="1" x14ac:dyDescent="0.35"/>
    <row r="283" s="45" customFormat="1" x14ac:dyDescent="0.35"/>
    <row r="284" s="45" customFormat="1" x14ac:dyDescent="0.35"/>
    <row r="285" s="45" customFormat="1" x14ac:dyDescent="0.35"/>
    <row r="286" s="45" customFormat="1" x14ac:dyDescent="0.35"/>
    <row r="287" s="45" customFormat="1" x14ac:dyDescent="0.35"/>
    <row r="288" s="45" customFormat="1" x14ac:dyDescent="0.35"/>
    <row r="289" s="45" customFormat="1" x14ac:dyDescent="0.35"/>
    <row r="290" s="45" customFormat="1" x14ac:dyDescent="0.35"/>
    <row r="291" s="45" customFormat="1" x14ac:dyDescent="0.35"/>
    <row r="292" s="45" customFormat="1" x14ac:dyDescent="0.35"/>
    <row r="293" s="45" customFormat="1" x14ac:dyDescent="0.35"/>
    <row r="294" s="45" customFormat="1" x14ac:dyDescent="0.35"/>
    <row r="295" s="45" customFormat="1" x14ac:dyDescent="0.35"/>
    <row r="296" s="45" customFormat="1" x14ac:dyDescent="0.35"/>
    <row r="297" s="45" customFormat="1" x14ac:dyDescent="0.35"/>
    <row r="298" s="45" customFormat="1" x14ac:dyDescent="0.35"/>
    <row r="299" s="45" customFormat="1" x14ac:dyDescent="0.35"/>
    <row r="300" s="45" customFormat="1" x14ac:dyDescent="0.35"/>
    <row r="301" s="45" customFormat="1" x14ac:dyDescent="0.35"/>
    <row r="302" s="45" customFormat="1" x14ac:dyDescent="0.35"/>
    <row r="303" s="45" customFormat="1" x14ac:dyDescent="0.35"/>
    <row r="304" s="45" customFormat="1" x14ac:dyDescent="0.35"/>
    <row r="305" s="45" customFormat="1" x14ac:dyDescent="0.35"/>
    <row r="306" s="45" customFormat="1" x14ac:dyDescent="0.35"/>
    <row r="307" s="45" customFormat="1" x14ac:dyDescent="0.35"/>
    <row r="308" s="45" customFormat="1" x14ac:dyDescent="0.35"/>
    <row r="309" s="45" customFormat="1" x14ac:dyDescent="0.35"/>
    <row r="310" s="45" customFormat="1" x14ac:dyDescent="0.35"/>
    <row r="311" s="45" customFormat="1" x14ac:dyDescent="0.35"/>
    <row r="312" s="45" customFormat="1" x14ac:dyDescent="0.35"/>
    <row r="313" s="45" customFormat="1" x14ac:dyDescent="0.35"/>
    <row r="314" s="45" customFormat="1" x14ac:dyDescent="0.35"/>
    <row r="315" s="45" customFormat="1" x14ac:dyDescent="0.35"/>
    <row r="316" s="45" customFormat="1" x14ac:dyDescent="0.35"/>
    <row r="317" s="45" customFormat="1" x14ac:dyDescent="0.35"/>
    <row r="318" s="45" customFormat="1" x14ac:dyDescent="0.35"/>
    <row r="319" s="45" customFormat="1" x14ac:dyDescent="0.35"/>
    <row r="320" s="45" customFormat="1" x14ac:dyDescent="0.35"/>
    <row r="321" s="45" customFormat="1" x14ac:dyDescent="0.35"/>
    <row r="322" s="45" customFormat="1" x14ac:dyDescent="0.35"/>
    <row r="323" s="45" customFormat="1" x14ac:dyDescent="0.35"/>
    <row r="324" s="45" customFormat="1" x14ac:dyDescent="0.35"/>
    <row r="325" s="45" customFormat="1" x14ac:dyDescent="0.35"/>
    <row r="326" s="45" customFormat="1" x14ac:dyDescent="0.35"/>
    <row r="327" s="45" customFormat="1" x14ac:dyDescent="0.35"/>
    <row r="328" s="45" customFormat="1" x14ac:dyDescent="0.35"/>
    <row r="329" s="45" customFormat="1" x14ac:dyDescent="0.35"/>
    <row r="330" s="45" customFormat="1" x14ac:dyDescent="0.35"/>
    <row r="331" s="45" customFormat="1" x14ac:dyDescent="0.35"/>
    <row r="332" s="45" customFormat="1" x14ac:dyDescent="0.35"/>
    <row r="333" s="45" customFormat="1" x14ac:dyDescent="0.35"/>
    <row r="334" s="45" customFormat="1" x14ac:dyDescent="0.35"/>
    <row r="335" s="45" customFormat="1" x14ac:dyDescent="0.35"/>
    <row r="336" s="45" customFormat="1" x14ac:dyDescent="0.35"/>
    <row r="337" s="45" customFormat="1" x14ac:dyDescent="0.35"/>
    <row r="338" s="45" customFormat="1" x14ac:dyDescent="0.35"/>
    <row r="339" s="45" customFormat="1" x14ac:dyDescent="0.35"/>
    <row r="340" s="45" customFormat="1" x14ac:dyDescent="0.35"/>
    <row r="341" s="45" customFormat="1" x14ac:dyDescent="0.35"/>
    <row r="342" s="45" customFormat="1" x14ac:dyDescent="0.35"/>
    <row r="343" s="45" customFormat="1" x14ac:dyDescent="0.35"/>
    <row r="344" s="45" customFormat="1" x14ac:dyDescent="0.35"/>
    <row r="345" s="45" customFormat="1" x14ac:dyDescent="0.35"/>
    <row r="346" s="45" customFormat="1" x14ac:dyDescent="0.35"/>
    <row r="347" s="45" customFormat="1" x14ac:dyDescent="0.35"/>
    <row r="348" s="45" customFormat="1" x14ac:dyDescent="0.35"/>
    <row r="349" s="45" customFormat="1" x14ac:dyDescent="0.35"/>
    <row r="350" s="45" customFormat="1" x14ac:dyDescent="0.35"/>
    <row r="351" s="45" customFormat="1" x14ac:dyDescent="0.35"/>
    <row r="352" s="45" customFormat="1" x14ac:dyDescent="0.35"/>
    <row r="353" s="45" customFormat="1" x14ac:dyDescent="0.35"/>
    <row r="354" s="45" customFormat="1" x14ac:dyDescent="0.35"/>
    <row r="355" s="45" customFormat="1" x14ac:dyDescent="0.35"/>
    <row r="356" s="45" customFormat="1" x14ac:dyDescent="0.35"/>
    <row r="357" s="45" customFormat="1" x14ac:dyDescent="0.35"/>
    <row r="358" s="45" customFormat="1" x14ac:dyDescent="0.35"/>
    <row r="359" s="45" customFormat="1" x14ac:dyDescent="0.35"/>
    <row r="360" s="45" customFormat="1" x14ac:dyDescent="0.35"/>
    <row r="361" s="45" customFormat="1" x14ac:dyDescent="0.35"/>
    <row r="362" s="45" customFormat="1" x14ac:dyDescent="0.35"/>
    <row r="363" s="45" customFormat="1" x14ac:dyDescent="0.35"/>
    <row r="364" s="45" customFormat="1" x14ac:dyDescent="0.35"/>
    <row r="365" s="45" customFormat="1" x14ac:dyDescent="0.35"/>
    <row r="366" s="45" customFormat="1" x14ac:dyDescent="0.35"/>
    <row r="367" s="45" customFormat="1" x14ac:dyDescent="0.35"/>
    <row r="368" s="45" customFormat="1" x14ac:dyDescent="0.35"/>
    <row r="369" s="45" customFormat="1" x14ac:dyDescent="0.35"/>
    <row r="370" s="45" customFormat="1" x14ac:dyDescent="0.35"/>
    <row r="371" s="45" customFormat="1" x14ac:dyDescent="0.35"/>
    <row r="372" s="45" customFormat="1" x14ac:dyDescent="0.35"/>
    <row r="373" s="45" customFormat="1" x14ac:dyDescent="0.35"/>
    <row r="374" s="45" customFormat="1" x14ac:dyDescent="0.35"/>
    <row r="375" s="45" customFormat="1" x14ac:dyDescent="0.35"/>
    <row r="376" s="45" customFormat="1" x14ac:dyDescent="0.35"/>
    <row r="377" s="45" customFormat="1" x14ac:dyDescent="0.35"/>
    <row r="378" s="45" customFormat="1" x14ac:dyDescent="0.35"/>
    <row r="379" s="45" customFormat="1" x14ac:dyDescent="0.35"/>
    <row r="380" s="45" customFormat="1" x14ac:dyDescent="0.35"/>
    <row r="381" s="45" customFormat="1" x14ac:dyDescent="0.35"/>
    <row r="382" s="45" customFormat="1" x14ac:dyDescent="0.35"/>
    <row r="383" s="45" customFormat="1" x14ac:dyDescent="0.35"/>
    <row r="384" s="45" customFormat="1" x14ac:dyDescent="0.35"/>
    <row r="385" s="45" customFormat="1" x14ac:dyDescent="0.35"/>
    <row r="386" s="45" customFormat="1" x14ac:dyDescent="0.35"/>
    <row r="387" s="45" customFormat="1" x14ac:dyDescent="0.35"/>
    <row r="388" s="45" customFormat="1" x14ac:dyDescent="0.35"/>
    <row r="389" s="45" customFormat="1" x14ac:dyDescent="0.35"/>
    <row r="390" s="45" customFormat="1" x14ac:dyDescent="0.35"/>
    <row r="391" s="45" customFormat="1" x14ac:dyDescent="0.35"/>
    <row r="392" s="45" customFormat="1" x14ac:dyDescent="0.35"/>
    <row r="393" s="45" customFormat="1" x14ac:dyDescent="0.35"/>
    <row r="394" s="45" customFormat="1" x14ac:dyDescent="0.35"/>
    <row r="395" s="45" customFormat="1" x14ac:dyDescent="0.35"/>
    <row r="396" s="45" customFormat="1" x14ac:dyDescent="0.35"/>
    <row r="397" s="45" customFormat="1" x14ac:dyDescent="0.35"/>
    <row r="398" s="45" customFormat="1" x14ac:dyDescent="0.35"/>
    <row r="399" s="45" customFormat="1" x14ac:dyDescent="0.35"/>
    <row r="400" s="45" customFormat="1" x14ac:dyDescent="0.35"/>
    <row r="401" s="45" customFormat="1" x14ac:dyDescent="0.35"/>
    <row r="402" s="45" customFormat="1" x14ac:dyDescent="0.35"/>
    <row r="403" s="45" customFormat="1" x14ac:dyDescent="0.35"/>
    <row r="404" s="45" customFormat="1" x14ac:dyDescent="0.35"/>
    <row r="405" s="45" customFormat="1" x14ac:dyDescent="0.35"/>
    <row r="406" s="45" customFormat="1" x14ac:dyDescent="0.35"/>
    <row r="407" s="45" customFormat="1" x14ac:dyDescent="0.35"/>
    <row r="408" s="45" customFormat="1" x14ac:dyDescent="0.35"/>
    <row r="409" s="45" customFormat="1" x14ac:dyDescent="0.35"/>
    <row r="410" s="45" customFormat="1" x14ac:dyDescent="0.35"/>
    <row r="411" s="45" customFormat="1" x14ac:dyDescent="0.35"/>
    <row r="412" s="45" customFormat="1" x14ac:dyDescent="0.35"/>
    <row r="413" s="45" customFormat="1" x14ac:dyDescent="0.35"/>
    <row r="414" s="45" customFormat="1" x14ac:dyDescent="0.35"/>
    <row r="415" s="45" customFormat="1" x14ac:dyDescent="0.35"/>
    <row r="416" s="45" customFormat="1" x14ac:dyDescent="0.35"/>
    <row r="417" s="45" customFormat="1" x14ac:dyDescent="0.35"/>
    <row r="418" s="45" customFormat="1" x14ac:dyDescent="0.35"/>
    <row r="419" s="45" customFormat="1" x14ac:dyDescent="0.35"/>
    <row r="420" s="45" customFormat="1" x14ac:dyDescent="0.35"/>
    <row r="421" s="45" customFormat="1" x14ac:dyDescent="0.35"/>
    <row r="422" s="45" customFormat="1" x14ac:dyDescent="0.35"/>
    <row r="423" s="45" customFormat="1" x14ac:dyDescent="0.35"/>
    <row r="424" s="45" customFormat="1" x14ac:dyDescent="0.35"/>
    <row r="425" s="45" customFormat="1" x14ac:dyDescent="0.35"/>
    <row r="426" s="45" customFormat="1" x14ac:dyDescent="0.35"/>
    <row r="427" s="45" customFormat="1" x14ac:dyDescent="0.35"/>
    <row r="428" s="45" customFormat="1" x14ac:dyDescent="0.35"/>
    <row r="429" s="45" customFormat="1" x14ac:dyDescent="0.35"/>
    <row r="430" s="45" customFormat="1" x14ac:dyDescent="0.35"/>
    <row r="431" s="45" customFormat="1" x14ac:dyDescent="0.35"/>
    <row r="432" s="45" customFormat="1" x14ac:dyDescent="0.35"/>
    <row r="433" s="45" customFormat="1" x14ac:dyDescent="0.35"/>
    <row r="434" s="45" customFormat="1" x14ac:dyDescent="0.35"/>
    <row r="435" s="45" customFormat="1" x14ac:dyDescent="0.35"/>
    <row r="436" s="45" customFormat="1" x14ac:dyDescent="0.35"/>
    <row r="437" s="45" customFormat="1" x14ac:dyDescent="0.35"/>
    <row r="438" s="45" customFormat="1" x14ac:dyDescent="0.35"/>
    <row r="439" s="45" customFormat="1" x14ac:dyDescent="0.35"/>
    <row r="440" s="45" customFormat="1" x14ac:dyDescent="0.35"/>
    <row r="441" s="45" customFormat="1" x14ac:dyDescent="0.35"/>
    <row r="442" s="45" customFormat="1" x14ac:dyDescent="0.35"/>
    <row r="443" s="45" customFormat="1" x14ac:dyDescent="0.35"/>
    <row r="444" s="45" customFormat="1" x14ac:dyDescent="0.35"/>
    <row r="445" s="45" customFormat="1" x14ac:dyDescent="0.35"/>
    <row r="446" s="45" customFormat="1" x14ac:dyDescent="0.35"/>
    <row r="447" s="45" customFormat="1" x14ac:dyDescent="0.35"/>
    <row r="448" s="45" customFormat="1" x14ac:dyDescent="0.35"/>
    <row r="449" s="45" customFormat="1" x14ac:dyDescent="0.35"/>
    <row r="450" s="45" customFormat="1" x14ac:dyDescent="0.35"/>
    <row r="451" s="45" customFormat="1" x14ac:dyDescent="0.35"/>
    <row r="452" s="45" customFormat="1" x14ac:dyDescent="0.35"/>
    <row r="453" s="45" customFormat="1" x14ac:dyDescent="0.35"/>
    <row r="454" s="45" customFormat="1" x14ac:dyDescent="0.35"/>
    <row r="455" s="45" customFormat="1" x14ac:dyDescent="0.35"/>
    <row r="456" s="45" customFormat="1" x14ac:dyDescent="0.35"/>
    <row r="457" s="45" customFormat="1" x14ac:dyDescent="0.35"/>
    <row r="458" s="45" customFormat="1" x14ac:dyDescent="0.35"/>
    <row r="459" s="45" customFormat="1" x14ac:dyDescent="0.35"/>
    <row r="460" s="45" customFormat="1" x14ac:dyDescent="0.35"/>
    <row r="461" s="45" customFormat="1" x14ac:dyDescent="0.35"/>
    <row r="462" s="45" customFormat="1" x14ac:dyDescent="0.35"/>
    <row r="463" s="45" customFormat="1" x14ac:dyDescent="0.35"/>
    <row r="464" s="45" customFormat="1" x14ac:dyDescent="0.35"/>
    <row r="465" s="45" customFormat="1" x14ac:dyDescent="0.35"/>
    <row r="466" s="45" customFormat="1" x14ac:dyDescent="0.35"/>
    <row r="467" s="45" customFormat="1" x14ac:dyDescent="0.35"/>
    <row r="468" s="45" customFormat="1" x14ac:dyDescent="0.35"/>
    <row r="469" s="45" customFormat="1" x14ac:dyDescent="0.35"/>
    <row r="470" s="45" customFormat="1" x14ac:dyDescent="0.35"/>
    <row r="471" s="45" customFormat="1" x14ac:dyDescent="0.35"/>
    <row r="472" s="45" customFormat="1" x14ac:dyDescent="0.35"/>
    <row r="473" s="45" customFormat="1" x14ac:dyDescent="0.35"/>
    <row r="474" s="45" customFormat="1" x14ac:dyDescent="0.35"/>
    <row r="475" s="45" customFormat="1" x14ac:dyDescent="0.35"/>
    <row r="476" s="45" customFormat="1" x14ac:dyDescent="0.35"/>
    <row r="477" s="45" customFormat="1" x14ac:dyDescent="0.35"/>
    <row r="478" s="45" customFormat="1" x14ac:dyDescent="0.35"/>
    <row r="479" s="45" customFormat="1" x14ac:dyDescent="0.35"/>
    <row r="480" s="45" customFormat="1" x14ac:dyDescent="0.35"/>
    <row r="481" s="45" customFormat="1" x14ac:dyDescent="0.35"/>
    <row r="482" s="45" customFormat="1" x14ac:dyDescent="0.35"/>
    <row r="483" s="45" customFormat="1" x14ac:dyDescent="0.35"/>
    <row r="484" s="45" customFormat="1" x14ac:dyDescent="0.35"/>
    <row r="485" s="45" customFormat="1" x14ac:dyDescent="0.35"/>
    <row r="486" s="45" customFormat="1" x14ac:dyDescent="0.35"/>
    <row r="487" s="45" customFormat="1" x14ac:dyDescent="0.35"/>
    <row r="488" s="45" customFormat="1" x14ac:dyDescent="0.35"/>
    <row r="489" s="45" customFormat="1" x14ac:dyDescent="0.35"/>
    <row r="490" s="45" customFormat="1" x14ac:dyDescent="0.35"/>
    <row r="491" s="45" customFormat="1" x14ac:dyDescent="0.35"/>
    <row r="492" s="45" customFormat="1" x14ac:dyDescent="0.35"/>
    <row r="493" s="45" customFormat="1" x14ac:dyDescent="0.35"/>
    <row r="494" s="45" customFormat="1" x14ac:dyDescent="0.35"/>
    <row r="495" s="45" customFormat="1" x14ac:dyDescent="0.35"/>
    <row r="496" s="45" customFormat="1" x14ac:dyDescent="0.35"/>
    <row r="497" s="45" customFormat="1" x14ac:dyDescent="0.35"/>
    <row r="498" s="45" customFormat="1" x14ac:dyDescent="0.35"/>
    <row r="499" s="45" customFormat="1" x14ac:dyDescent="0.35"/>
    <row r="500" s="45" customFormat="1" x14ac:dyDescent="0.35"/>
    <row r="501" s="45" customFormat="1" x14ac:dyDescent="0.35"/>
    <row r="502" s="45" customFormat="1" x14ac:dyDescent="0.35"/>
    <row r="503" s="45" customFormat="1" x14ac:dyDescent="0.35"/>
    <row r="504" s="45" customFormat="1" x14ac:dyDescent="0.35"/>
    <row r="505" s="45" customFormat="1" x14ac:dyDescent="0.35"/>
    <row r="506" s="45" customFormat="1" x14ac:dyDescent="0.35"/>
    <row r="507" s="45" customFormat="1" x14ac:dyDescent="0.35"/>
    <row r="508" s="45" customFormat="1" x14ac:dyDescent="0.35"/>
    <row r="509" s="45" customFormat="1" x14ac:dyDescent="0.35"/>
    <row r="510" s="45" customFormat="1" x14ac:dyDescent="0.35"/>
    <row r="511" s="45" customFormat="1" x14ac:dyDescent="0.35"/>
    <row r="512" s="45" customFormat="1" x14ac:dyDescent="0.35"/>
    <row r="513" s="45" customFormat="1" x14ac:dyDescent="0.35"/>
    <row r="514" s="45" customFormat="1" x14ac:dyDescent="0.35"/>
    <row r="515" s="45" customFormat="1" x14ac:dyDescent="0.35"/>
    <row r="516" s="45" customFormat="1" x14ac:dyDescent="0.35"/>
    <row r="517" s="45" customFormat="1" x14ac:dyDescent="0.35"/>
    <row r="518" s="45" customFormat="1" x14ac:dyDescent="0.35"/>
    <row r="519" s="45" customFormat="1" x14ac:dyDescent="0.35"/>
    <row r="520" s="45" customFormat="1" x14ac:dyDescent="0.35"/>
    <row r="521" s="45" customFormat="1" x14ac:dyDescent="0.35"/>
    <row r="522" s="45" customFormat="1" x14ac:dyDescent="0.35"/>
    <row r="523" s="45" customFormat="1" x14ac:dyDescent="0.35"/>
    <row r="524" s="45" customFormat="1" x14ac:dyDescent="0.35"/>
    <row r="525" s="45" customFormat="1" x14ac:dyDescent="0.35"/>
    <row r="526" s="45" customFormat="1" x14ac:dyDescent="0.35"/>
    <row r="527" s="45" customFormat="1" x14ac:dyDescent="0.35"/>
    <row r="528" s="45" customFormat="1" x14ac:dyDescent="0.35"/>
    <row r="529" s="45" customFormat="1" x14ac:dyDescent="0.35"/>
    <row r="530" s="45" customFormat="1" x14ac:dyDescent="0.35"/>
    <row r="531" s="45" customFormat="1" x14ac:dyDescent="0.35"/>
    <row r="532" s="45" customFormat="1" x14ac:dyDescent="0.35"/>
    <row r="533" s="45" customFormat="1" x14ac:dyDescent="0.35"/>
    <row r="534" s="45" customFormat="1" x14ac:dyDescent="0.35"/>
    <row r="535" s="45" customFormat="1" x14ac:dyDescent="0.35"/>
    <row r="536" s="45" customFormat="1" x14ac:dyDescent="0.35"/>
    <row r="537" s="45" customFormat="1" x14ac:dyDescent="0.35"/>
    <row r="538" s="45" customFormat="1" x14ac:dyDescent="0.35"/>
    <row r="539" s="45" customFormat="1" x14ac:dyDescent="0.35"/>
    <row r="540" s="45" customFormat="1" x14ac:dyDescent="0.35"/>
    <row r="541" s="45" customFormat="1" x14ac:dyDescent="0.35"/>
    <row r="542" s="45" customFormat="1" x14ac:dyDescent="0.35"/>
    <row r="543" s="45" customFormat="1" x14ac:dyDescent="0.35"/>
    <row r="544" s="45" customFormat="1" x14ac:dyDescent="0.35"/>
    <row r="545" s="45" customFormat="1" x14ac:dyDescent="0.35"/>
    <row r="546" s="45" customFormat="1" x14ac:dyDescent="0.35"/>
    <row r="547" s="45" customFormat="1" x14ac:dyDescent="0.35"/>
    <row r="548" s="45" customFormat="1" x14ac:dyDescent="0.35"/>
    <row r="549" s="45" customFormat="1" x14ac:dyDescent="0.35"/>
    <row r="550" s="45" customFormat="1" x14ac:dyDescent="0.35"/>
    <row r="551" s="45" customFormat="1" x14ac:dyDescent="0.35"/>
    <row r="552" s="45" customFormat="1" x14ac:dyDescent="0.35"/>
    <row r="553" s="45" customFormat="1" x14ac:dyDescent="0.35"/>
    <row r="554" s="45" customFormat="1" x14ac:dyDescent="0.35"/>
    <row r="555" s="45" customFormat="1" x14ac:dyDescent="0.35"/>
    <row r="556" s="45" customFormat="1" x14ac:dyDescent="0.35"/>
    <row r="557" s="45" customFormat="1" x14ac:dyDescent="0.35"/>
    <row r="558" s="45" customFormat="1" x14ac:dyDescent="0.35"/>
    <row r="559" s="45" customFormat="1" x14ac:dyDescent="0.35"/>
    <row r="560" s="45" customFormat="1" x14ac:dyDescent="0.35"/>
    <row r="561" s="45" customFormat="1" x14ac:dyDescent="0.35"/>
    <row r="562" s="45" customFormat="1" x14ac:dyDescent="0.35"/>
    <row r="563" s="45" customFormat="1" x14ac:dyDescent="0.35"/>
    <row r="564" s="45" customFormat="1" x14ac:dyDescent="0.35"/>
    <row r="565" s="45" customFormat="1" x14ac:dyDescent="0.35"/>
    <row r="566" s="45" customFormat="1" x14ac:dyDescent="0.35"/>
    <row r="567" s="45" customFormat="1" x14ac:dyDescent="0.35"/>
    <row r="568" s="45" customFormat="1" x14ac:dyDescent="0.35"/>
    <row r="569" s="45" customFormat="1" x14ac:dyDescent="0.35"/>
    <row r="570" s="45" customFormat="1" x14ac:dyDescent="0.35"/>
    <row r="571" s="45" customFormat="1" x14ac:dyDescent="0.35"/>
    <row r="572" s="45" customFormat="1" x14ac:dyDescent="0.35"/>
    <row r="573" s="45" customFormat="1" x14ac:dyDescent="0.35"/>
    <row r="574" s="45" customFormat="1" x14ac:dyDescent="0.35"/>
    <row r="575" s="45" customFormat="1" x14ac:dyDescent="0.35"/>
    <row r="576" s="45" customFormat="1" x14ac:dyDescent="0.35"/>
    <row r="577" s="45" customFormat="1" x14ac:dyDescent="0.35"/>
    <row r="578" s="45" customFormat="1" x14ac:dyDescent="0.35"/>
    <row r="579" s="45" customFormat="1" x14ac:dyDescent="0.35"/>
    <row r="580" s="45" customFormat="1" x14ac:dyDescent="0.35"/>
    <row r="581" s="45" customFormat="1" x14ac:dyDescent="0.35"/>
    <row r="582" s="45" customFormat="1" x14ac:dyDescent="0.35"/>
    <row r="583" s="45" customFormat="1" x14ac:dyDescent="0.35"/>
    <row r="584" s="45" customFormat="1" x14ac:dyDescent="0.35"/>
    <row r="585" s="45" customFormat="1" x14ac:dyDescent="0.35"/>
    <row r="586" s="45" customFormat="1" x14ac:dyDescent="0.35"/>
    <row r="587" s="45" customFormat="1" x14ac:dyDescent="0.35"/>
    <row r="588" s="45" customFormat="1" x14ac:dyDescent="0.35"/>
    <row r="589" s="45" customFormat="1" x14ac:dyDescent="0.35"/>
    <row r="590" s="45" customFormat="1" x14ac:dyDescent="0.35"/>
    <row r="591" s="45" customFormat="1" x14ac:dyDescent="0.35"/>
    <row r="592" s="45" customFormat="1" x14ac:dyDescent="0.35"/>
    <row r="593" s="45" customFormat="1" x14ac:dyDescent="0.35"/>
    <row r="594" s="45" customFormat="1" x14ac:dyDescent="0.35"/>
    <row r="595" s="45" customFormat="1" x14ac:dyDescent="0.35"/>
    <row r="596" s="45" customFormat="1" x14ac:dyDescent="0.35"/>
    <row r="597" s="45" customFormat="1" x14ac:dyDescent="0.35"/>
    <row r="598" s="45" customFormat="1" x14ac:dyDescent="0.35"/>
    <row r="599" s="45" customFormat="1" x14ac:dyDescent="0.35"/>
    <row r="600" s="45" customFormat="1" x14ac:dyDescent="0.35"/>
    <row r="601" s="45" customFormat="1" x14ac:dyDescent="0.35"/>
    <row r="602" s="45" customFormat="1" x14ac:dyDescent="0.35"/>
    <row r="603" s="45" customFormat="1" x14ac:dyDescent="0.35"/>
    <row r="604" s="45" customFormat="1" x14ac:dyDescent="0.35"/>
    <row r="605" s="45" customFormat="1" x14ac:dyDescent="0.35"/>
    <row r="606" s="45" customFormat="1" x14ac:dyDescent="0.35"/>
    <row r="607" s="45" customFormat="1" x14ac:dyDescent="0.35"/>
    <row r="608" s="45" customFormat="1" x14ac:dyDescent="0.35"/>
    <row r="609" s="45" customFormat="1" x14ac:dyDescent="0.35"/>
    <row r="610" s="45" customFormat="1" x14ac:dyDescent="0.35"/>
    <row r="611" s="45" customFormat="1" x14ac:dyDescent="0.35"/>
    <row r="612" s="45" customFormat="1" x14ac:dyDescent="0.35"/>
    <row r="613" s="45" customFormat="1" x14ac:dyDescent="0.35"/>
    <row r="614" s="45" customFormat="1" x14ac:dyDescent="0.35"/>
    <row r="615" s="45" customFormat="1" x14ac:dyDescent="0.35"/>
    <row r="616" s="45" customFormat="1" x14ac:dyDescent="0.35"/>
    <row r="617" s="45" customFormat="1" x14ac:dyDescent="0.35"/>
    <row r="618" s="45" customFormat="1" x14ac:dyDescent="0.35"/>
    <row r="619" s="45" customFormat="1" x14ac:dyDescent="0.35"/>
    <row r="620" s="45" customFormat="1" x14ac:dyDescent="0.35"/>
    <row r="621" s="45" customFormat="1" x14ac:dyDescent="0.35"/>
    <row r="622" s="45" customFormat="1" x14ac:dyDescent="0.35"/>
    <row r="623" s="45" customFormat="1" x14ac:dyDescent="0.35"/>
    <row r="624" s="45" customFormat="1" x14ac:dyDescent="0.35"/>
    <row r="625" s="45" customFormat="1" x14ac:dyDescent="0.35"/>
    <row r="626" s="45" customFormat="1" x14ac:dyDescent="0.35"/>
    <row r="627" s="45" customFormat="1" x14ac:dyDescent="0.35"/>
    <row r="628" s="45" customFormat="1" x14ac:dyDescent="0.35"/>
    <row r="629" s="45" customFormat="1" x14ac:dyDescent="0.35"/>
    <row r="630" s="45" customFormat="1" x14ac:dyDescent="0.35"/>
    <row r="631" s="45" customFormat="1" x14ac:dyDescent="0.35"/>
    <row r="632" s="45" customFormat="1" x14ac:dyDescent="0.35"/>
    <row r="633" s="45" customFormat="1" x14ac:dyDescent="0.35"/>
    <row r="634" s="45" customFormat="1" x14ac:dyDescent="0.35"/>
    <row r="635" s="45" customFormat="1" x14ac:dyDescent="0.35"/>
    <row r="636" s="45" customFormat="1" x14ac:dyDescent="0.35"/>
    <row r="637" s="45" customFormat="1" x14ac:dyDescent="0.35"/>
    <row r="638" s="45" customFormat="1" x14ac:dyDescent="0.35"/>
    <row r="639" s="45" customFormat="1" x14ac:dyDescent="0.35"/>
    <row r="640" s="45" customFormat="1" x14ac:dyDescent="0.35"/>
    <row r="641" s="45" customFormat="1" x14ac:dyDescent="0.35"/>
    <row r="642" s="45" customFormat="1" x14ac:dyDescent="0.35"/>
    <row r="643" s="45" customFormat="1" x14ac:dyDescent="0.35"/>
    <row r="644" s="45" customFormat="1" x14ac:dyDescent="0.35"/>
    <row r="645" s="45" customFormat="1" x14ac:dyDescent="0.35"/>
    <row r="646" s="45" customFormat="1" x14ac:dyDescent="0.35"/>
    <row r="647" s="45" customFormat="1" x14ac:dyDescent="0.35"/>
    <row r="648" s="45" customFormat="1" x14ac:dyDescent="0.35"/>
    <row r="649" s="45" customFormat="1" x14ac:dyDescent="0.35"/>
    <row r="650" s="45" customFormat="1" x14ac:dyDescent="0.35"/>
    <row r="651" s="45" customFormat="1" x14ac:dyDescent="0.35"/>
    <row r="652" s="45" customFormat="1" x14ac:dyDescent="0.35"/>
    <row r="653" s="45" customFormat="1" x14ac:dyDescent="0.35"/>
    <row r="654" s="45" customFormat="1" x14ac:dyDescent="0.35"/>
    <row r="655" s="45" customFormat="1" x14ac:dyDescent="0.35"/>
    <row r="656" s="45" customFormat="1" x14ac:dyDescent="0.35"/>
    <row r="657" s="45" customFormat="1" x14ac:dyDescent="0.35"/>
    <row r="658" s="45" customFormat="1" x14ac:dyDescent="0.35"/>
    <row r="659" s="45" customFormat="1" x14ac:dyDescent="0.35"/>
    <row r="660" s="45" customFormat="1" x14ac:dyDescent="0.35"/>
    <row r="661" s="45" customFormat="1" x14ac:dyDescent="0.35"/>
    <row r="662" s="45" customFormat="1" x14ac:dyDescent="0.35"/>
    <row r="663" s="45" customFormat="1" x14ac:dyDescent="0.35"/>
    <row r="664" s="45" customFormat="1" x14ac:dyDescent="0.35"/>
    <row r="665" s="45" customFormat="1" x14ac:dyDescent="0.35"/>
    <row r="666" s="45" customFormat="1" x14ac:dyDescent="0.35"/>
    <row r="667" s="45" customFormat="1" x14ac:dyDescent="0.35"/>
    <row r="668" s="45" customFormat="1" x14ac:dyDescent="0.35"/>
    <row r="669" s="45" customFormat="1" x14ac:dyDescent="0.35"/>
    <row r="670" s="45" customFormat="1" x14ac:dyDescent="0.35"/>
    <row r="671" s="45" customFormat="1" x14ac:dyDescent="0.35"/>
    <row r="672" s="45" customFormat="1" x14ac:dyDescent="0.35"/>
    <row r="673" s="45" customFormat="1" x14ac:dyDescent="0.35"/>
    <row r="674" s="45" customFormat="1" x14ac:dyDescent="0.35"/>
    <row r="675" s="45" customFormat="1" x14ac:dyDescent="0.35"/>
    <row r="676" s="45" customFormat="1" x14ac:dyDescent="0.35"/>
    <row r="677" s="45" customFormat="1" x14ac:dyDescent="0.35"/>
    <row r="678" s="45" customFormat="1" x14ac:dyDescent="0.35"/>
    <row r="679" s="45" customFormat="1" x14ac:dyDescent="0.35"/>
    <row r="680" s="45" customFormat="1" x14ac:dyDescent="0.35"/>
    <row r="681" s="45" customFormat="1" x14ac:dyDescent="0.35"/>
    <row r="682" s="45" customFormat="1" x14ac:dyDescent="0.35"/>
    <row r="683" s="45" customFormat="1" x14ac:dyDescent="0.35"/>
    <row r="684" s="45" customFormat="1" x14ac:dyDescent="0.35"/>
    <row r="685" s="45" customFormat="1" x14ac:dyDescent="0.35"/>
    <row r="686" s="45" customFormat="1" x14ac:dyDescent="0.35"/>
    <row r="687" s="45" customFormat="1" x14ac:dyDescent="0.35"/>
    <row r="688" s="45" customFormat="1" x14ac:dyDescent="0.35"/>
    <row r="689" s="45" customFormat="1" x14ac:dyDescent="0.35"/>
    <row r="690" s="45" customFormat="1" x14ac:dyDescent="0.35"/>
    <row r="691" s="45" customFormat="1" x14ac:dyDescent="0.35"/>
    <row r="692" s="45" customFormat="1" x14ac:dyDescent="0.35"/>
    <row r="693" s="45" customFormat="1" x14ac:dyDescent="0.35"/>
    <row r="694" s="45" customFormat="1" x14ac:dyDescent="0.35"/>
    <row r="695" s="45" customFormat="1" x14ac:dyDescent="0.35"/>
    <row r="696" s="45" customFormat="1" x14ac:dyDescent="0.35"/>
    <row r="697" s="45" customFormat="1" x14ac:dyDescent="0.35"/>
    <row r="698" s="45" customFormat="1" x14ac:dyDescent="0.35"/>
    <row r="699" s="45" customFormat="1" x14ac:dyDescent="0.35"/>
    <row r="700" s="45" customFormat="1" x14ac:dyDescent="0.35"/>
    <row r="701" s="45" customFormat="1" x14ac:dyDescent="0.35"/>
    <row r="702" s="45" customFormat="1" x14ac:dyDescent="0.35"/>
    <row r="703" s="45" customFormat="1" x14ac:dyDescent="0.35"/>
    <row r="704" s="45" customFormat="1" x14ac:dyDescent="0.35"/>
    <row r="705" s="45" customFormat="1" x14ac:dyDescent="0.35"/>
    <row r="706" s="45" customFormat="1" x14ac:dyDescent="0.35"/>
    <row r="707" s="45" customFormat="1" x14ac:dyDescent="0.35"/>
    <row r="708" s="45" customFormat="1" x14ac:dyDescent="0.35"/>
    <row r="709" s="45" customFormat="1" x14ac:dyDescent="0.35"/>
    <row r="710" s="45" customFormat="1" x14ac:dyDescent="0.35"/>
    <row r="711" s="45" customFormat="1" x14ac:dyDescent="0.35"/>
    <row r="712" s="45" customFormat="1" x14ac:dyDescent="0.35"/>
    <row r="713" s="45" customFormat="1" x14ac:dyDescent="0.35"/>
    <row r="714" s="45" customFormat="1" x14ac:dyDescent="0.35"/>
    <row r="715" s="45" customFormat="1" x14ac:dyDescent="0.35"/>
    <row r="716" s="45" customFormat="1" x14ac:dyDescent="0.35"/>
    <row r="717" s="45" customFormat="1" x14ac:dyDescent="0.35"/>
    <row r="718" s="45" customFormat="1" x14ac:dyDescent="0.35"/>
    <row r="719" s="45" customFormat="1" x14ac:dyDescent="0.35"/>
    <row r="720" s="45" customFormat="1" x14ac:dyDescent="0.35"/>
    <row r="721" s="45" customFormat="1" x14ac:dyDescent="0.35"/>
    <row r="722" s="45" customFormat="1" x14ac:dyDescent="0.35"/>
    <row r="723" s="45" customFormat="1" x14ac:dyDescent="0.35"/>
    <row r="724" s="45" customFormat="1" x14ac:dyDescent="0.35"/>
    <row r="725" s="45" customFormat="1" x14ac:dyDescent="0.35"/>
    <row r="726" s="45" customFormat="1" x14ac:dyDescent="0.35"/>
    <row r="727" s="45" customFormat="1" x14ac:dyDescent="0.35"/>
    <row r="728" s="45" customFormat="1" x14ac:dyDescent="0.35"/>
    <row r="729" s="45" customFormat="1" x14ac:dyDescent="0.35"/>
    <row r="730" s="45" customFormat="1" x14ac:dyDescent="0.35"/>
    <row r="731" s="45" customFormat="1" x14ac:dyDescent="0.35"/>
    <row r="732" s="45" customFormat="1" x14ac:dyDescent="0.35"/>
    <row r="733" s="45" customFormat="1" x14ac:dyDescent="0.35"/>
    <row r="734" s="45" customFormat="1" x14ac:dyDescent="0.35"/>
    <row r="735" s="45" customFormat="1" x14ac:dyDescent="0.35"/>
    <row r="736" s="45" customFormat="1" x14ac:dyDescent="0.35"/>
    <row r="737" s="45" customFormat="1" x14ac:dyDescent="0.35"/>
    <row r="738" s="45" customFormat="1" x14ac:dyDescent="0.35"/>
    <row r="739" s="45" customFormat="1" x14ac:dyDescent="0.35"/>
    <row r="740" s="45" customFormat="1" x14ac:dyDescent="0.35"/>
    <row r="741" s="45" customFormat="1" x14ac:dyDescent="0.35"/>
    <row r="742" s="45" customFormat="1" x14ac:dyDescent="0.35"/>
    <row r="743" s="45" customFormat="1" x14ac:dyDescent="0.35"/>
    <row r="744" s="45" customFormat="1" x14ac:dyDescent="0.35"/>
    <row r="745" s="45" customFormat="1" x14ac:dyDescent="0.35"/>
    <row r="746" s="45" customFormat="1" x14ac:dyDescent="0.35"/>
    <row r="747" s="45" customFormat="1" x14ac:dyDescent="0.35"/>
    <row r="748" s="45" customFormat="1" x14ac:dyDescent="0.35"/>
    <row r="749" s="45" customFormat="1" x14ac:dyDescent="0.35"/>
    <row r="750" s="45" customFormat="1" x14ac:dyDescent="0.35"/>
    <row r="751" s="45" customFormat="1" x14ac:dyDescent="0.35"/>
    <row r="752" s="45" customFormat="1" x14ac:dyDescent="0.35"/>
    <row r="753" s="45" customFormat="1" x14ac:dyDescent="0.35"/>
    <row r="754" s="45" customFormat="1" x14ac:dyDescent="0.35"/>
    <row r="755" s="45" customFormat="1" x14ac:dyDescent="0.35"/>
    <row r="756" s="45" customFormat="1" x14ac:dyDescent="0.35"/>
    <row r="757" s="45" customFormat="1" x14ac:dyDescent="0.35"/>
    <row r="758" s="45" customFormat="1" x14ac:dyDescent="0.35"/>
    <row r="759" s="45" customFormat="1" x14ac:dyDescent="0.35"/>
    <row r="760" s="45" customFormat="1" x14ac:dyDescent="0.35"/>
    <row r="761" s="45" customFormat="1" x14ac:dyDescent="0.35"/>
    <row r="762" s="45" customFormat="1" x14ac:dyDescent="0.35"/>
    <row r="763" s="45" customFormat="1" x14ac:dyDescent="0.35"/>
    <row r="764" s="45" customFormat="1" x14ac:dyDescent="0.35"/>
    <row r="765" s="45" customFormat="1" x14ac:dyDescent="0.35"/>
    <row r="766" s="45" customFormat="1" x14ac:dyDescent="0.35"/>
    <row r="767" s="45" customFormat="1" x14ac:dyDescent="0.35"/>
    <row r="768" s="45" customFormat="1" x14ac:dyDescent="0.35"/>
    <row r="769" s="45" customFormat="1" x14ac:dyDescent="0.35"/>
    <row r="770" s="45" customFormat="1" x14ac:dyDescent="0.35"/>
    <row r="771" s="45" customFormat="1" x14ac:dyDescent="0.35"/>
    <row r="772" s="45" customFormat="1" x14ac:dyDescent="0.35"/>
    <row r="773" s="45" customFormat="1" x14ac:dyDescent="0.35"/>
    <row r="774" s="45" customFormat="1" x14ac:dyDescent="0.35"/>
    <row r="775" s="45" customFormat="1" x14ac:dyDescent="0.35"/>
    <row r="776" s="45" customFormat="1" x14ac:dyDescent="0.35"/>
    <row r="777" s="45" customFormat="1" x14ac:dyDescent="0.35"/>
    <row r="778" s="45" customFormat="1" x14ac:dyDescent="0.35"/>
    <row r="779" s="45" customFormat="1" x14ac:dyDescent="0.35"/>
    <row r="780" s="45" customFormat="1" x14ac:dyDescent="0.35"/>
    <row r="781" s="45" customFormat="1" x14ac:dyDescent="0.35"/>
    <row r="782" s="45" customFormat="1" x14ac:dyDescent="0.35"/>
    <row r="783" s="45" customFormat="1" x14ac:dyDescent="0.35"/>
    <row r="784" s="45" customFormat="1" x14ac:dyDescent="0.35"/>
    <row r="785" s="45" customFormat="1" x14ac:dyDescent="0.35"/>
    <row r="786" s="45" customFormat="1" x14ac:dyDescent="0.35"/>
    <row r="787" s="45" customFormat="1" x14ac:dyDescent="0.35"/>
    <row r="788" s="45" customFormat="1" x14ac:dyDescent="0.35"/>
    <row r="789" s="45" customFormat="1" x14ac:dyDescent="0.35"/>
    <row r="790" s="45" customFormat="1" x14ac:dyDescent="0.35"/>
    <row r="791" s="45" customFormat="1" x14ac:dyDescent="0.35"/>
    <row r="792" s="45" customFormat="1" x14ac:dyDescent="0.35"/>
    <row r="793" s="45" customFormat="1" x14ac:dyDescent="0.35"/>
    <row r="794" s="45" customFormat="1" x14ac:dyDescent="0.35"/>
    <row r="795" s="45" customFormat="1" x14ac:dyDescent="0.35"/>
    <row r="796" s="45" customFormat="1" x14ac:dyDescent="0.35"/>
    <row r="797" s="45" customFormat="1" x14ac:dyDescent="0.35"/>
    <row r="798" s="45" customFormat="1" x14ac:dyDescent="0.35"/>
    <row r="799" s="45" customFormat="1" x14ac:dyDescent="0.35"/>
    <row r="800" s="45" customFormat="1" x14ac:dyDescent="0.35"/>
    <row r="801" s="45" customFormat="1" x14ac:dyDescent="0.35"/>
    <row r="802" s="45" customFormat="1" x14ac:dyDescent="0.35"/>
    <row r="803" s="45" customFormat="1" x14ac:dyDescent="0.35"/>
    <row r="804" s="45" customFormat="1" x14ac:dyDescent="0.35"/>
    <row r="805" s="45" customFormat="1" x14ac:dyDescent="0.35"/>
    <row r="806" s="45" customFormat="1" x14ac:dyDescent="0.35"/>
    <row r="807" s="45" customFormat="1" x14ac:dyDescent="0.35"/>
    <row r="808" s="45" customFormat="1" x14ac:dyDescent="0.35"/>
    <row r="809" s="45" customFormat="1" x14ac:dyDescent="0.35"/>
    <row r="810" s="45" customFormat="1" x14ac:dyDescent="0.35"/>
    <row r="811" s="45" customFormat="1" x14ac:dyDescent="0.35"/>
    <row r="812" s="45" customFormat="1" x14ac:dyDescent="0.35"/>
    <row r="813" s="45" customFormat="1" x14ac:dyDescent="0.35"/>
    <row r="814" s="45" customFormat="1" x14ac:dyDescent="0.35"/>
    <row r="815" s="45" customFormat="1" x14ac:dyDescent="0.35"/>
    <row r="816" s="45" customFormat="1" x14ac:dyDescent="0.35"/>
    <row r="817" s="45" customFormat="1" x14ac:dyDescent="0.35"/>
    <row r="818" s="45" customFormat="1" x14ac:dyDescent="0.35"/>
    <row r="819" s="45" customFormat="1" x14ac:dyDescent="0.35"/>
    <row r="820" s="45" customFormat="1" x14ac:dyDescent="0.35"/>
    <row r="821" s="45" customFormat="1" x14ac:dyDescent="0.35"/>
    <row r="822" s="45" customFormat="1" x14ac:dyDescent="0.35"/>
    <row r="823" s="45" customFormat="1" x14ac:dyDescent="0.35"/>
    <row r="824" s="45" customFormat="1" x14ac:dyDescent="0.35"/>
    <row r="825" s="45" customFormat="1" x14ac:dyDescent="0.35"/>
    <row r="826" s="45" customFormat="1" x14ac:dyDescent="0.35"/>
    <row r="827" s="45" customFormat="1" x14ac:dyDescent="0.35"/>
    <row r="828" s="45" customFormat="1" x14ac:dyDescent="0.35"/>
    <row r="829" s="45" customFormat="1" x14ac:dyDescent="0.35"/>
    <row r="830" s="45" customFormat="1" x14ac:dyDescent="0.35"/>
    <row r="831" s="45" customFormat="1" x14ac:dyDescent="0.35"/>
    <row r="832" s="45" customFormat="1" x14ac:dyDescent="0.35"/>
    <row r="833" s="45" customFormat="1" x14ac:dyDescent="0.35"/>
    <row r="834" s="45" customFormat="1" x14ac:dyDescent="0.35"/>
    <row r="835" s="45" customFormat="1" x14ac:dyDescent="0.35"/>
    <row r="836" s="45" customFormat="1" x14ac:dyDescent="0.35"/>
    <row r="837" s="45" customFormat="1" x14ac:dyDescent="0.35"/>
    <row r="838" s="45" customFormat="1" x14ac:dyDescent="0.35"/>
    <row r="839" s="45" customFormat="1" x14ac:dyDescent="0.35"/>
    <row r="840" s="45" customFormat="1" x14ac:dyDescent="0.35"/>
    <row r="841" s="45" customFormat="1" x14ac:dyDescent="0.35"/>
    <row r="842" s="45" customFormat="1" x14ac:dyDescent="0.35"/>
    <row r="843" s="45" customFormat="1" x14ac:dyDescent="0.35"/>
    <row r="844" s="45" customFormat="1" x14ac:dyDescent="0.35"/>
    <row r="845" s="45" customFormat="1" x14ac:dyDescent="0.35"/>
    <row r="846" s="45" customFormat="1" x14ac:dyDescent="0.35"/>
    <row r="847" s="45" customFormat="1" x14ac:dyDescent="0.35"/>
    <row r="848" s="45" customFormat="1" x14ac:dyDescent="0.35"/>
    <row r="849" s="45" customFormat="1" x14ac:dyDescent="0.35"/>
    <row r="850" s="45" customFormat="1" x14ac:dyDescent="0.35"/>
    <row r="851" s="45" customFormat="1" x14ac:dyDescent="0.35"/>
    <row r="852" s="45" customFormat="1" x14ac:dyDescent="0.35"/>
    <row r="853" s="45" customFormat="1" x14ac:dyDescent="0.35"/>
    <row r="854" s="45" customFormat="1" x14ac:dyDescent="0.35"/>
    <row r="855" s="45" customFormat="1" x14ac:dyDescent="0.35"/>
    <row r="856" s="45" customFormat="1" x14ac:dyDescent="0.35"/>
    <row r="857" s="45" customFormat="1" x14ac:dyDescent="0.35"/>
    <row r="858" s="45" customFormat="1" x14ac:dyDescent="0.35"/>
    <row r="859" s="45" customFormat="1" x14ac:dyDescent="0.35"/>
    <row r="860" s="45" customFormat="1" x14ac:dyDescent="0.35"/>
    <row r="861" s="45" customFormat="1" x14ac:dyDescent="0.35"/>
    <row r="862" s="45" customFormat="1" x14ac:dyDescent="0.35"/>
    <row r="863" s="45" customFormat="1" x14ac:dyDescent="0.35"/>
    <row r="864" s="45" customFormat="1" x14ac:dyDescent="0.35"/>
    <row r="865" s="45" customFormat="1" x14ac:dyDescent="0.35"/>
    <row r="866" s="45" customFormat="1" x14ac:dyDescent="0.35"/>
    <row r="867" s="45" customFormat="1" x14ac:dyDescent="0.35"/>
    <row r="868" s="45" customFormat="1" x14ac:dyDescent="0.35"/>
    <row r="869" s="45" customFormat="1" x14ac:dyDescent="0.35"/>
    <row r="870" s="45" customFormat="1" x14ac:dyDescent="0.35"/>
    <row r="871" s="45" customFormat="1" x14ac:dyDescent="0.35"/>
    <row r="872" s="45" customFormat="1" x14ac:dyDescent="0.35"/>
    <row r="873" s="45" customFormat="1" x14ac:dyDescent="0.35"/>
    <row r="874" s="45" customFormat="1" x14ac:dyDescent="0.35"/>
    <row r="875" s="45" customFormat="1" x14ac:dyDescent="0.35"/>
    <row r="876" s="45" customFormat="1" x14ac:dyDescent="0.35"/>
    <row r="877" s="45" customFormat="1" x14ac:dyDescent="0.35"/>
    <row r="878" s="45" customFormat="1" x14ac:dyDescent="0.35"/>
    <row r="879" s="45" customFormat="1" x14ac:dyDescent="0.35"/>
    <row r="880" s="45" customFormat="1" x14ac:dyDescent="0.35"/>
    <row r="881" s="45" customFormat="1" x14ac:dyDescent="0.35"/>
    <row r="882" s="45" customFormat="1" x14ac:dyDescent="0.35"/>
    <row r="883" s="45" customFormat="1" x14ac:dyDescent="0.35"/>
    <row r="884" s="45" customFormat="1" x14ac:dyDescent="0.35"/>
    <row r="885" s="45" customFormat="1" x14ac:dyDescent="0.35"/>
    <row r="886" s="45" customFormat="1" x14ac:dyDescent="0.35"/>
    <row r="887" s="45" customFormat="1" x14ac:dyDescent="0.35"/>
    <row r="888" s="45" customFormat="1" x14ac:dyDescent="0.35"/>
    <row r="889" s="45" customFormat="1" x14ac:dyDescent="0.35"/>
    <row r="890" s="45" customFormat="1" x14ac:dyDescent="0.35"/>
    <row r="891" s="45" customFormat="1" x14ac:dyDescent="0.35"/>
    <row r="892" s="45" customFormat="1" x14ac:dyDescent="0.35"/>
    <row r="893" s="45" customFormat="1" x14ac:dyDescent="0.35"/>
    <row r="894" s="45" customFormat="1" x14ac:dyDescent="0.35"/>
    <row r="895" s="45" customFormat="1" x14ac:dyDescent="0.35"/>
    <row r="896" s="45" customFormat="1" x14ac:dyDescent="0.35"/>
    <row r="897" s="45" customFormat="1" x14ac:dyDescent="0.35"/>
    <row r="898" s="45" customFormat="1" x14ac:dyDescent="0.35"/>
    <row r="899" s="45" customFormat="1" x14ac:dyDescent="0.35"/>
    <row r="900" s="45" customFormat="1" x14ac:dyDescent="0.35"/>
    <row r="901" s="45" customFormat="1" x14ac:dyDescent="0.35"/>
    <row r="902" s="45" customFormat="1" x14ac:dyDescent="0.35"/>
    <row r="903" s="45" customFormat="1" x14ac:dyDescent="0.35"/>
    <row r="904" s="45" customFormat="1" x14ac:dyDescent="0.35"/>
    <row r="905" s="45" customFormat="1" x14ac:dyDescent="0.35"/>
    <row r="906" s="45" customFormat="1" x14ac:dyDescent="0.35"/>
    <row r="907" s="45" customFormat="1" x14ac:dyDescent="0.35"/>
    <row r="908" s="45" customFormat="1" x14ac:dyDescent="0.35"/>
    <row r="909" s="45" customFormat="1" x14ac:dyDescent="0.35"/>
    <row r="910" s="45" customFormat="1" x14ac:dyDescent="0.35"/>
    <row r="911" s="45" customFormat="1" x14ac:dyDescent="0.35"/>
    <row r="912" s="45" customFormat="1" x14ac:dyDescent="0.35"/>
    <row r="913" s="45" customFormat="1" x14ac:dyDescent="0.35"/>
    <row r="914" s="45" customFormat="1" x14ac:dyDescent="0.35"/>
    <row r="915" s="45" customFormat="1" x14ac:dyDescent="0.35"/>
    <row r="916" s="45" customFormat="1" x14ac:dyDescent="0.35"/>
    <row r="917" s="45" customFormat="1" x14ac:dyDescent="0.35"/>
    <row r="918" s="45" customFormat="1" x14ac:dyDescent="0.35"/>
    <row r="919" s="45" customFormat="1" x14ac:dyDescent="0.35"/>
    <row r="920" s="45" customFormat="1" x14ac:dyDescent="0.35"/>
    <row r="921" s="45" customFormat="1" x14ac:dyDescent="0.35"/>
    <row r="922" s="45" customFormat="1" x14ac:dyDescent="0.35"/>
    <row r="923" s="45" customFormat="1" x14ac:dyDescent="0.35"/>
    <row r="924" s="45" customFormat="1" x14ac:dyDescent="0.35"/>
    <row r="925" s="45" customFormat="1" x14ac:dyDescent="0.35"/>
    <row r="926" s="45" customFormat="1" x14ac:dyDescent="0.35"/>
    <row r="927" s="45" customFormat="1" x14ac:dyDescent="0.35"/>
    <row r="928" s="45" customFormat="1" x14ac:dyDescent="0.35"/>
    <row r="929" s="45" customFormat="1" x14ac:dyDescent="0.35"/>
    <row r="930" s="45" customFormat="1" x14ac:dyDescent="0.35"/>
    <row r="931" s="45" customFormat="1" x14ac:dyDescent="0.35"/>
    <row r="932" s="45" customFormat="1" x14ac:dyDescent="0.35"/>
    <row r="933" s="45" customFormat="1" x14ac:dyDescent="0.35"/>
    <row r="934" s="45" customFormat="1" x14ac:dyDescent="0.35"/>
    <row r="935" s="45" customFormat="1" x14ac:dyDescent="0.35"/>
    <row r="936" s="45" customFormat="1" x14ac:dyDescent="0.35"/>
    <row r="937" s="45" customFormat="1" x14ac:dyDescent="0.35"/>
    <row r="938" s="45" customFormat="1" x14ac:dyDescent="0.35"/>
    <row r="939" s="45" customFormat="1" x14ac:dyDescent="0.35"/>
    <row r="940" s="45" customFormat="1" x14ac:dyDescent="0.35"/>
    <row r="941" s="45" customFormat="1" x14ac:dyDescent="0.35"/>
    <row r="942" s="45" customFormat="1" x14ac:dyDescent="0.35"/>
    <row r="943" s="45" customFormat="1" x14ac:dyDescent="0.35"/>
    <row r="944" s="45" customFormat="1" x14ac:dyDescent="0.35"/>
    <row r="945" s="45" customFormat="1" x14ac:dyDescent="0.35"/>
    <row r="946" s="45" customFormat="1" x14ac:dyDescent="0.35"/>
    <row r="947" s="45" customFormat="1" x14ac:dyDescent="0.35"/>
    <row r="948" s="45" customFormat="1" x14ac:dyDescent="0.35"/>
    <row r="949" s="45" customFormat="1" x14ac:dyDescent="0.35"/>
    <row r="950" s="45" customFormat="1" x14ac:dyDescent="0.35"/>
    <row r="951" s="45" customFormat="1" x14ac:dyDescent="0.35"/>
    <row r="952" s="45" customFormat="1" x14ac:dyDescent="0.35"/>
  </sheetData>
  <mergeCells count="17">
    <mergeCell ref="B2:L2"/>
    <mergeCell ref="B3:L3"/>
    <mergeCell ref="B4:L4"/>
    <mergeCell ref="B5:L5"/>
    <mergeCell ref="B6:L6"/>
    <mergeCell ref="C8:C9"/>
    <mergeCell ref="D8:D9"/>
    <mergeCell ref="E8:E9"/>
    <mergeCell ref="F8:F9"/>
    <mergeCell ref="G8:G9"/>
    <mergeCell ref="D30:K30"/>
    <mergeCell ref="D32:K32"/>
    <mergeCell ref="D33:K33"/>
    <mergeCell ref="I8:I9"/>
    <mergeCell ref="J8:J9"/>
    <mergeCell ref="D29:K29"/>
    <mergeCell ref="H8:H9"/>
  </mergeCells>
  <dataValidations count="7">
    <dataValidation type="list" allowBlank="1" showInputMessage="1" showErrorMessage="1" sqref="I21:I23" xr:uid="{4076E5B0-0F98-4C76-9784-A54F03AF6A77}">
      <formula1>$I$27:$I$28</formula1>
    </dataValidation>
    <dataValidation type="list" allowBlank="1" showInputMessage="1" showErrorMessage="1" sqref="I12:I13 I10" xr:uid="{E2858AAD-52E6-4586-8EE2-0D93C8825776}">
      <formula1>$I$44:$I$45</formula1>
    </dataValidation>
    <dataValidation type="list" allowBlank="1" showInputMessage="1" showErrorMessage="1" sqref="I16:I20" xr:uid="{100615ED-9A1E-4F71-9FD4-406CA5F7867E}">
      <formula1>$I$48:$I$49</formula1>
    </dataValidation>
    <dataValidation type="list" allowBlank="1" showInputMessage="1" showErrorMessage="1" sqref="I26 I24" xr:uid="{A65784A4-07CF-4CEA-B54B-CB71AFE4986E}">
      <formula1>$I$59:$I$60</formula1>
    </dataValidation>
    <dataValidation type="list" allowBlank="1" showInputMessage="1" showErrorMessage="1" sqref="I14:I15" xr:uid="{E592CD88-50AB-4889-9CA8-1D54036C3AEE}">
      <formula1>#REF!</formula1>
    </dataValidation>
    <dataValidation type="list" allowBlank="1" showInputMessage="1" showErrorMessage="1" sqref="I25" xr:uid="{B79056EE-B70C-46F5-B8F3-460EF33D111A}">
      <formula1>$I$42:$I$43</formula1>
    </dataValidation>
    <dataValidation type="list" allowBlank="1" showInputMessage="1" showErrorMessage="1" sqref="I11" xr:uid="{86E6CC9A-93D2-4F9E-97DF-D85E37B65EB1}">
      <formula1>$I$27:$I$27</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257B2-36D0-448E-88A5-DA5FF67EDB1F}">
  <dimension ref="A1:CJ353"/>
  <sheetViews>
    <sheetView topLeftCell="A25" zoomScale="70" workbookViewId="0">
      <selection activeCell="D28" sqref="D28:J28"/>
    </sheetView>
  </sheetViews>
  <sheetFormatPr defaultRowHeight="14.5" x14ac:dyDescent="0.35"/>
  <cols>
    <col min="1" max="1" width="9.1796875" style="45"/>
    <col min="2" max="2" width="8.54296875" customWidth="1"/>
    <col min="3" max="3" width="18.26953125" bestFit="1" customWidth="1"/>
    <col min="4" max="4" width="10.54296875" bestFit="1" customWidth="1"/>
    <col min="5" max="5" width="15.7265625" customWidth="1"/>
    <col min="6" max="6" width="10.54296875" bestFit="1" customWidth="1"/>
    <col min="7" max="7" width="63.7265625" customWidth="1"/>
    <col min="8" max="8" width="51.7265625" bestFit="1" customWidth="1"/>
    <col min="9" max="9" width="146.1796875" bestFit="1" customWidth="1"/>
    <col min="10" max="10" width="11.453125" customWidth="1"/>
    <col min="12" max="88" width="9.1796875" style="45"/>
  </cols>
  <sheetData>
    <row r="1" spans="2:11" s="45" customFormat="1" x14ac:dyDescent="0.35"/>
    <row r="2" spans="2:11" ht="20" x14ac:dyDescent="0.4">
      <c r="B2" s="241" t="s">
        <v>10</v>
      </c>
      <c r="C2" s="241"/>
      <c r="D2" s="241"/>
      <c r="E2" s="241"/>
      <c r="F2" s="241"/>
      <c r="G2" s="241"/>
      <c r="H2" s="241"/>
      <c r="I2" s="241"/>
      <c r="J2" s="241"/>
      <c r="K2" s="241"/>
    </row>
    <row r="3" spans="2:11" ht="18" x14ac:dyDescent="0.4">
      <c r="B3" s="242" t="s">
        <v>41</v>
      </c>
      <c r="C3" s="242"/>
      <c r="D3" s="242"/>
      <c r="E3" s="242"/>
      <c r="F3" s="242"/>
      <c r="G3" s="242"/>
      <c r="H3" s="242"/>
      <c r="I3" s="242"/>
      <c r="J3" s="242"/>
      <c r="K3" s="242"/>
    </row>
    <row r="4" spans="2:11" x14ac:dyDescent="0.35">
      <c r="B4" s="243" t="s">
        <v>354</v>
      </c>
      <c r="C4" s="243"/>
      <c r="D4" s="243"/>
      <c r="E4" s="243"/>
      <c r="F4" s="243"/>
      <c r="G4" s="243"/>
      <c r="H4" s="243"/>
      <c r="I4" s="243"/>
      <c r="J4" s="243"/>
      <c r="K4" s="243"/>
    </row>
    <row r="5" spans="2:11" x14ac:dyDescent="0.35">
      <c r="B5" s="244" t="s">
        <v>2</v>
      </c>
      <c r="C5" s="244"/>
      <c r="D5" s="244"/>
      <c r="E5" s="244"/>
      <c r="F5" s="244"/>
      <c r="G5" s="244"/>
      <c r="H5" s="244"/>
      <c r="I5" s="244"/>
      <c r="J5" s="244"/>
      <c r="K5" s="244"/>
    </row>
    <row r="6" spans="2:11" x14ac:dyDescent="0.35">
      <c r="B6" s="244" t="s">
        <v>12</v>
      </c>
      <c r="C6" s="244"/>
      <c r="D6" s="244"/>
      <c r="E6" s="244"/>
      <c r="F6" s="244"/>
      <c r="G6" s="244"/>
      <c r="H6" s="244"/>
      <c r="I6" s="244"/>
      <c r="J6" s="244"/>
      <c r="K6" s="244"/>
    </row>
    <row r="7" spans="2:11" x14ac:dyDescent="0.35">
      <c r="C7" s="44"/>
      <c r="D7" s="44"/>
      <c r="E7" s="44"/>
      <c r="F7" s="44"/>
      <c r="H7" s="44"/>
      <c r="I7" s="44"/>
      <c r="J7" s="44"/>
      <c r="K7" s="44"/>
    </row>
    <row r="8" spans="2:11" x14ac:dyDescent="0.35">
      <c r="B8" s="56"/>
      <c r="C8" s="240" t="s">
        <v>42</v>
      </c>
      <c r="D8" s="240" t="s">
        <v>43</v>
      </c>
      <c r="E8" s="240" t="s">
        <v>44</v>
      </c>
      <c r="F8" s="240" t="s">
        <v>45</v>
      </c>
      <c r="G8" s="240" t="s">
        <v>46</v>
      </c>
      <c r="H8" s="240" t="s">
        <v>48</v>
      </c>
      <c r="I8" s="240" t="s">
        <v>400</v>
      </c>
      <c r="J8" s="44"/>
      <c r="K8" s="44"/>
    </row>
    <row r="9" spans="2:11" x14ac:dyDescent="0.35">
      <c r="B9" s="44"/>
      <c r="C9" s="240"/>
      <c r="D9" s="240"/>
      <c r="E9" s="240"/>
      <c r="F9" s="240"/>
      <c r="G9" s="240"/>
      <c r="H9" s="240"/>
      <c r="I9" s="240"/>
      <c r="J9" s="44"/>
      <c r="K9" s="44"/>
    </row>
    <row r="10" spans="2:11" ht="350" x14ac:dyDescent="0.35">
      <c r="B10" s="44"/>
      <c r="C10" s="105" t="s">
        <v>219</v>
      </c>
      <c r="D10" s="106" t="s">
        <v>51</v>
      </c>
      <c r="E10" s="106" t="s">
        <v>52</v>
      </c>
      <c r="F10" s="106" t="s">
        <v>53</v>
      </c>
      <c r="G10" s="107" t="s">
        <v>265</v>
      </c>
      <c r="H10" s="108"/>
      <c r="I10" s="200" t="s">
        <v>565</v>
      </c>
      <c r="J10" s="44"/>
      <c r="K10" s="44"/>
    </row>
    <row r="11" spans="2:11" ht="112.5" x14ac:dyDescent="0.35">
      <c r="B11" s="44" t="s">
        <v>266</v>
      </c>
      <c r="C11" s="105" t="s">
        <v>219</v>
      </c>
      <c r="D11" s="106" t="s">
        <v>51</v>
      </c>
      <c r="E11" s="106" t="s">
        <v>57</v>
      </c>
      <c r="F11" s="106" t="s">
        <v>53</v>
      </c>
      <c r="G11" s="107" t="s">
        <v>267</v>
      </c>
      <c r="H11" s="108"/>
      <c r="I11" s="200" t="s">
        <v>566</v>
      </c>
      <c r="J11" s="44"/>
      <c r="K11" s="44"/>
    </row>
    <row r="12" spans="2:11" ht="225" x14ac:dyDescent="0.35">
      <c r="B12" s="44"/>
      <c r="C12" s="105" t="s">
        <v>219</v>
      </c>
      <c r="D12" s="106" t="s">
        <v>51</v>
      </c>
      <c r="E12" s="106" t="s">
        <v>64</v>
      </c>
      <c r="F12" s="106" t="s">
        <v>53</v>
      </c>
      <c r="G12" s="110" t="s">
        <v>65</v>
      </c>
      <c r="H12" s="108"/>
      <c r="I12" s="200" t="s">
        <v>568</v>
      </c>
      <c r="J12" s="44"/>
      <c r="K12" s="44"/>
    </row>
    <row r="13" spans="2:11" ht="150" x14ac:dyDescent="0.35">
      <c r="B13" s="44"/>
      <c r="C13" s="105" t="s">
        <v>219</v>
      </c>
      <c r="D13" s="106" t="s">
        <v>51</v>
      </c>
      <c r="E13" s="106" t="s">
        <v>67</v>
      </c>
      <c r="F13" s="106" t="s">
        <v>58</v>
      </c>
      <c r="G13" s="110" t="s">
        <v>268</v>
      </c>
      <c r="H13" s="108"/>
      <c r="I13" s="200" t="s">
        <v>569</v>
      </c>
      <c r="J13" s="44"/>
      <c r="K13" s="44"/>
    </row>
    <row r="14" spans="2:11" ht="25" x14ac:dyDescent="0.35">
      <c r="B14" s="44"/>
      <c r="C14" s="105" t="s">
        <v>219</v>
      </c>
      <c r="D14" s="106" t="s">
        <v>51</v>
      </c>
      <c r="E14" s="106" t="s">
        <v>269</v>
      </c>
      <c r="F14" s="106" t="s">
        <v>53</v>
      </c>
      <c r="G14" s="110" t="s">
        <v>270</v>
      </c>
      <c r="H14" s="108"/>
      <c r="I14" s="115" t="s">
        <v>610</v>
      </c>
      <c r="J14" s="44"/>
      <c r="K14" s="44"/>
    </row>
    <row r="15" spans="2:11" ht="213.5" x14ac:dyDescent="0.35">
      <c r="B15" s="44"/>
      <c r="C15" s="105" t="s">
        <v>219</v>
      </c>
      <c r="D15" s="106" t="s">
        <v>153</v>
      </c>
      <c r="E15" s="106" t="s">
        <v>89</v>
      </c>
      <c r="F15" s="106" t="s">
        <v>58</v>
      </c>
      <c r="G15" s="110" t="s">
        <v>90</v>
      </c>
      <c r="H15" s="108"/>
      <c r="I15" s="115" t="s">
        <v>538</v>
      </c>
      <c r="J15" s="44"/>
      <c r="K15" s="44"/>
    </row>
    <row r="16" spans="2:11" ht="112.5" x14ac:dyDescent="0.35">
      <c r="B16" s="44"/>
      <c r="C16" s="105" t="s">
        <v>219</v>
      </c>
      <c r="D16" s="106" t="s">
        <v>153</v>
      </c>
      <c r="E16" s="106" t="s">
        <v>91</v>
      </c>
      <c r="F16" s="106" t="s">
        <v>53</v>
      </c>
      <c r="G16" s="110" t="s">
        <v>271</v>
      </c>
      <c r="H16" s="108"/>
      <c r="I16" s="115" t="s">
        <v>539</v>
      </c>
      <c r="J16" s="44"/>
      <c r="K16" s="44"/>
    </row>
    <row r="17" spans="2:21" ht="25" x14ac:dyDescent="0.35">
      <c r="B17" s="44"/>
      <c r="C17" s="105" t="s">
        <v>219</v>
      </c>
      <c r="D17" s="106" t="s">
        <v>153</v>
      </c>
      <c r="E17" s="106" t="s">
        <v>154</v>
      </c>
      <c r="F17" s="106" t="s">
        <v>58</v>
      </c>
      <c r="G17" s="110" t="s">
        <v>155</v>
      </c>
      <c r="H17" s="108"/>
      <c r="I17" s="115" t="s">
        <v>540</v>
      </c>
      <c r="J17" s="44"/>
      <c r="K17" s="44"/>
    </row>
    <row r="18" spans="2:21" ht="188.5" x14ac:dyDescent="0.35">
      <c r="B18" s="44"/>
      <c r="C18" s="105" t="s">
        <v>219</v>
      </c>
      <c r="D18" s="106" t="s">
        <v>153</v>
      </c>
      <c r="E18" s="106" t="s">
        <v>93</v>
      </c>
      <c r="F18" s="106" t="s">
        <v>53</v>
      </c>
      <c r="G18" s="110" t="s">
        <v>94</v>
      </c>
      <c r="H18" s="108"/>
      <c r="I18" s="115" t="s">
        <v>541</v>
      </c>
      <c r="J18" s="44"/>
      <c r="K18" s="44"/>
    </row>
    <row r="19" spans="2:21" ht="50" x14ac:dyDescent="0.35">
      <c r="B19" s="44"/>
      <c r="C19" s="105" t="s">
        <v>219</v>
      </c>
      <c r="D19" s="106" t="s">
        <v>153</v>
      </c>
      <c r="E19" s="106" t="s">
        <v>157</v>
      </c>
      <c r="F19" s="106" t="s">
        <v>158</v>
      </c>
      <c r="G19" s="110" t="s">
        <v>159</v>
      </c>
      <c r="H19" s="108"/>
      <c r="I19" s="115" t="s">
        <v>542</v>
      </c>
      <c r="J19" s="44"/>
      <c r="K19" s="44"/>
    </row>
    <row r="20" spans="2:21" ht="50" x14ac:dyDescent="0.35">
      <c r="B20" s="44"/>
      <c r="C20" s="105" t="s">
        <v>219</v>
      </c>
      <c r="D20" s="106" t="s">
        <v>191</v>
      </c>
      <c r="E20" s="106" t="s">
        <v>124</v>
      </c>
      <c r="F20" s="106" t="s">
        <v>58</v>
      </c>
      <c r="G20" s="110" t="s">
        <v>125</v>
      </c>
      <c r="H20" s="108"/>
      <c r="I20" s="214" t="s">
        <v>608</v>
      </c>
      <c r="J20" s="44"/>
      <c r="K20" s="44"/>
    </row>
    <row r="21" spans="2:21" ht="225.5" x14ac:dyDescent="0.35">
      <c r="B21" s="44"/>
      <c r="C21" s="105" t="s">
        <v>219</v>
      </c>
      <c r="D21" s="106" t="s">
        <v>153</v>
      </c>
      <c r="E21" s="106" t="s">
        <v>165</v>
      </c>
      <c r="F21" s="106" t="s">
        <v>53</v>
      </c>
      <c r="G21" s="110" t="s">
        <v>272</v>
      </c>
      <c r="H21" s="108"/>
      <c r="I21" s="115" t="s">
        <v>543</v>
      </c>
      <c r="J21" s="44"/>
      <c r="K21" s="44"/>
    </row>
    <row r="22" spans="2:21" ht="201" x14ac:dyDescent="0.35">
      <c r="B22" s="44"/>
      <c r="C22" s="105" t="s">
        <v>219</v>
      </c>
      <c r="D22" s="106" t="s">
        <v>153</v>
      </c>
      <c r="E22" s="106" t="s">
        <v>273</v>
      </c>
      <c r="F22" s="106" t="s">
        <v>53</v>
      </c>
      <c r="G22" s="110" t="s">
        <v>274</v>
      </c>
      <c r="H22" s="108"/>
      <c r="I22" s="115" t="s">
        <v>544</v>
      </c>
      <c r="J22" s="44"/>
      <c r="K22" s="44"/>
    </row>
    <row r="23" spans="2:21" ht="25" x14ac:dyDescent="0.35">
      <c r="B23" s="44"/>
      <c r="C23" s="105" t="s">
        <v>219</v>
      </c>
      <c r="D23" s="106" t="s">
        <v>153</v>
      </c>
      <c r="E23" s="106" t="s">
        <v>154</v>
      </c>
      <c r="F23" s="106" t="s">
        <v>58</v>
      </c>
      <c r="G23" s="110" t="s">
        <v>171</v>
      </c>
      <c r="H23" s="108"/>
      <c r="I23" s="115" t="s">
        <v>545</v>
      </c>
      <c r="J23" s="44"/>
      <c r="K23" s="44"/>
    </row>
    <row r="24" spans="2:21" ht="25" x14ac:dyDescent="0.35">
      <c r="B24" s="44"/>
      <c r="C24" s="105" t="s">
        <v>219</v>
      </c>
      <c r="D24" s="106" t="s">
        <v>153</v>
      </c>
      <c r="E24" s="106" t="s">
        <v>172</v>
      </c>
      <c r="F24" s="106" t="s">
        <v>53</v>
      </c>
      <c r="G24" s="110" t="s">
        <v>236</v>
      </c>
      <c r="H24" s="108"/>
      <c r="I24" s="115" t="s">
        <v>546</v>
      </c>
      <c r="J24" s="44"/>
      <c r="K24" s="44"/>
    </row>
    <row r="25" spans="2:21" ht="188.5" x14ac:dyDescent="0.35">
      <c r="B25" s="44"/>
      <c r="C25" s="105" t="s">
        <v>219</v>
      </c>
      <c r="D25" s="106" t="s">
        <v>153</v>
      </c>
      <c r="E25" s="106" t="s">
        <v>93</v>
      </c>
      <c r="F25" s="106" t="s">
        <v>53</v>
      </c>
      <c r="G25" s="110" t="s">
        <v>175</v>
      </c>
      <c r="H25" s="108"/>
      <c r="I25" s="115" t="s">
        <v>547</v>
      </c>
      <c r="J25" s="44"/>
      <c r="K25" s="44"/>
    </row>
    <row r="26" spans="2:21" s="44" customFormat="1" x14ac:dyDescent="0.35">
      <c r="C26" s="146"/>
      <c r="D26" s="146"/>
      <c r="E26" s="146"/>
      <c r="F26" s="146"/>
      <c r="G26" s="146"/>
      <c r="H26" s="146"/>
      <c r="I26" s="146"/>
      <c r="J26" s="146"/>
      <c r="K26" s="146"/>
      <c r="L26" s="146"/>
      <c r="M26" s="146"/>
      <c r="N26" s="146"/>
      <c r="O26" s="146"/>
      <c r="P26" s="146"/>
      <c r="Q26" s="146"/>
      <c r="R26" s="146"/>
      <c r="S26" s="146"/>
      <c r="T26" s="146"/>
      <c r="U26" s="146"/>
    </row>
    <row r="27" spans="2:21" x14ac:dyDescent="0.35">
      <c r="B27" s="44"/>
      <c r="C27" s="44"/>
      <c r="D27" s="239" t="s">
        <v>151</v>
      </c>
      <c r="E27" s="239"/>
      <c r="F27" s="239"/>
      <c r="G27" s="239"/>
      <c r="H27" s="239"/>
      <c r="I27" s="239"/>
      <c r="J27" s="239"/>
    </row>
    <row r="28" spans="2:21" ht="136.5" customHeight="1" x14ac:dyDescent="0.35">
      <c r="B28" s="44"/>
      <c r="C28" s="44"/>
      <c r="D28" s="245" t="s">
        <v>655</v>
      </c>
      <c r="E28" s="246"/>
      <c r="F28" s="246"/>
      <c r="G28" s="246"/>
      <c r="H28" s="246"/>
      <c r="I28" s="246"/>
      <c r="J28" s="247"/>
      <c r="K28" s="44"/>
    </row>
    <row r="29" spans="2:21" x14ac:dyDescent="0.35">
      <c r="B29" s="44"/>
      <c r="C29" s="44"/>
      <c r="D29" s="16"/>
      <c r="E29" s="16"/>
      <c r="F29" s="16"/>
      <c r="G29" s="16"/>
      <c r="H29" s="18"/>
      <c r="I29" s="18"/>
      <c r="J29" s="17"/>
      <c r="K29" s="44"/>
    </row>
    <row r="30" spans="2:21" x14ac:dyDescent="0.35">
      <c r="B30" s="44"/>
      <c r="C30" s="44"/>
      <c r="D30" s="239" t="s">
        <v>152</v>
      </c>
      <c r="E30" s="239"/>
      <c r="F30" s="239"/>
      <c r="G30" s="239"/>
      <c r="H30" s="239"/>
      <c r="I30" s="239"/>
      <c r="J30" s="239"/>
      <c r="K30" s="44"/>
    </row>
    <row r="31" spans="2:21" ht="157.5" customHeight="1" x14ac:dyDescent="0.35">
      <c r="B31" s="44"/>
      <c r="C31" s="44"/>
      <c r="D31" s="245"/>
      <c r="E31" s="246"/>
      <c r="F31" s="246"/>
      <c r="G31" s="246"/>
      <c r="H31" s="246"/>
      <c r="I31" s="246"/>
      <c r="J31" s="247"/>
      <c r="K31" s="44"/>
    </row>
    <row r="32" spans="2:21" x14ac:dyDescent="0.35">
      <c r="B32" s="44"/>
      <c r="C32" s="44"/>
      <c r="D32" s="44"/>
      <c r="E32" s="44"/>
      <c r="F32" s="44"/>
      <c r="G32" s="44"/>
      <c r="H32" s="44"/>
      <c r="I32" s="44"/>
      <c r="J32" s="44"/>
      <c r="K32" s="44"/>
    </row>
    <row r="33" spans="2:11" x14ac:dyDescent="0.35">
      <c r="B33" s="45"/>
      <c r="C33" s="45"/>
      <c r="D33" s="45"/>
      <c r="E33" s="45"/>
      <c r="F33" s="45"/>
      <c r="G33" s="45"/>
      <c r="H33" s="45"/>
      <c r="I33" s="45"/>
      <c r="J33" s="45"/>
      <c r="K33" s="45"/>
    </row>
    <row r="34" spans="2:11" x14ac:dyDescent="0.35">
      <c r="B34" s="45"/>
      <c r="C34" s="45"/>
      <c r="D34" s="45"/>
      <c r="E34" s="45"/>
      <c r="F34" s="45"/>
      <c r="G34" s="45"/>
      <c r="H34" s="45"/>
      <c r="I34" s="45"/>
      <c r="J34" s="45"/>
      <c r="K34" s="45"/>
    </row>
    <row r="35" spans="2:11" x14ac:dyDescent="0.35">
      <c r="B35" s="45"/>
      <c r="C35" s="45"/>
      <c r="D35" s="45"/>
      <c r="E35" s="45"/>
      <c r="F35" s="45"/>
      <c r="G35" s="45"/>
      <c r="H35" s="45"/>
      <c r="I35" s="45"/>
      <c r="J35" s="45"/>
      <c r="K35" s="45"/>
    </row>
    <row r="36" spans="2:11" x14ac:dyDescent="0.35">
      <c r="B36" s="45"/>
      <c r="C36" s="45"/>
      <c r="D36" s="45"/>
      <c r="E36" s="45"/>
      <c r="F36" s="45"/>
      <c r="G36" s="45"/>
      <c r="H36" s="45"/>
      <c r="I36" s="45"/>
      <c r="J36" s="45"/>
      <c r="K36" s="45"/>
    </row>
    <row r="37" spans="2:11" x14ac:dyDescent="0.35">
      <c r="B37" s="45"/>
      <c r="C37" s="45"/>
      <c r="D37" s="45"/>
      <c r="E37" s="45"/>
      <c r="F37" s="45"/>
      <c r="G37" s="45"/>
      <c r="H37" s="45"/>
      <c r="I37" s="45"/>
      <c r="J37" s="45"/>
      <c r="K37" s="45"/>
    </row>
    <row r="38" spans="2:11" x14ac:dyDescent="0.35">
      <c r="B38" s="45"/>
      <c r="C38" s="45"/>
      <c r="D38" s="45"/>
      <c r="E38" s="45"/>
      <c r="F38" s="45"/>
      <c r="G38" s="45"/>
      <c r="H38" s="45"/>
      <c r="I38" s="45"/>
      <c r="J38" s="45"/>
      <c r="K38" s="45"/>
    </row>
    <row r="39" spans="2:11" x14ac:dyDescent="0.35">
      <c r="B39" s="45"/>
      <c r="C39" s="45"/>
      <c r="D39" s="45"/>
      <c r="E39" s="45"/>
      <c r="F39" s="45"/>
      <c r="G39" s="45"/>
      <c r="H39" s="45"/>
      <c r="I39" s="45"/>
      <c r="J39" s="45"/>
      <c r="K39" s="45"/>
    </row>
    <row r="40" spans="2:11" x14ac:dyDescent="0.35">
      <c r="B40" s="45"/>
      <c r="C40" s="45"/>
      <c r="D40" s="45"/>
      <c r="E40" s="45"/>
      <c r="F40" s="45"/>
      <c r="G40" s="45"/>
      <c r="H40" s="45"/>
      <c r="I40" s="45"/>
      <c r="J40" s="45"/>
      <c r="K40" s="45"/>
    </row>
    <row r="41" spans="2:11" x14ac:dyDescent="0.35">
      <c r="B41" s="45"/>
      <c r="C41" s="45"/>
      <c r="D41" s="45"/>
      <c r="E41" s="45"/>
      <c r="F41" s="45"/>
      <c r="G41" s="45"/>
      <c r="H41" s="45"/>
      <c r="I41" s="45"/>
      <c r="J41" s="45"/>
      <c r="K41" s="45"/>
    </row>
    <row r="42" spans="2:11" x14ac:dyDescent="0.35">
      <c r="B42" s="45"/>
      <c r="C42" s="45"/>
      <c r="D42" s="45"/>
      <c r="E42" s="45"/>
      <c r="F42" s="45"/>
      <c r="G42" s="45"/>
      <c r="H42" s="45"/>
      <c r="I42" s="45"/>
      <c r="J42" s="45"/>
      <c r="K42" s="45"/>
    </row>
    <row r="43" spans="2:11" x14ac:dyDescent="0.35">
      <c r="B43" s="45"/>
      <c r="C43" s="45"/>
      <c r="D43" s="45"/>
      <c r="E43" s="45"/>
      <c r="F43" s="45"/>
      <c r="G43" s="45"/>
      <c r="H43" s="45"/>
      <c r="I43" s="45"/>
      <c r="J43" s="45"/>
      <c r="K43" s="45"/>
    </row>
    <row r="44" spans="2:11" x14ac:dyDescent="0.35">
      <c r="B44" s="45"/>
      <c r="C44" s="45"/>
      <c r="D44" s="45"/>
      <c r="E44" s="45"/>
      <c r="F44" s="45"/>
      <c r="G44" s="45"/>
      <c r="H44" s="45"/>
      <c r="I44" s="45"/>
      <c r="J44" s="45"/>
      <c r="K44" s="45"/>
    </row>
    <row r="45" spans="2:11" x14ac:dyDescent="0.35">
      <c r="B45" s="45"/>
      <c r="C45" s="45"/>
      <c r="D45" s="45"/>
      <c r="E45" s="45"/>
      <c r="F45" s="45"/>
      <c r="G45" s="45"/>
      <c r="H45" s="45"/>
      <c r="I45" s="45"/>
      <c r="J45" s="45"/>
      <c r="K45" s="45"/>
    </row>
    <row r="46" spans="2:11" x14ac:dyDescent="0.35">
      <c r="B46" s="45"/>
      <c r="C46" s="45"/>
      <c r="D46" s="45"/>
      <c r="E46" s="45"/>
      <c r="F46" s="45"/>
      <c r="G46" s="45"/>
      <c r="H46" s="45"/>
      <c r="I46" s="45"/>
      <c r="J46" s="45"/>
      <c r="K46" s="45"/>
    </row>
    <row r="47" spans="2:11" x14ac:dyDescent="0.35">
      <c r="B47" s="45"/>
      <c r="C47" s="45"/>
      <c r="D47" s="45"/>
      <c r="E47" s="45"/>
      <c r="F47" s="45"/>
      <c r="G47" s="45"/>
      <c r="H47" s="45"/>
      <c r="I47" s="45"/>
      <c r="J47" s="45"/>
      <c r="K47" s="45"/>
    </row>
    <row r="48" spans="2:11" x14ac:dyDescent="0.35">
      <c r="B48" s="45"/>
      <c r="C48" s="45"/>
      <c r="D48" s="45"/>
      <c r="E48" s="45"/>
      <c r="F48" s="45"/>
      <c r="G48" s="45"/>
      <c r="H48" s="45"/>
      <c r="I48" s="45"/>
      <c r="J48" s="45"/>
      <c r="K48" s="45"/>
    </row>
    <row r="49" spans="2:11" x14ac:dyDescent="0.35">
      <c r="B49" s="45"/>
      <c r="C49" s="45"/>
      <c r="D49" s="45"/>
      <c r="E49" s="45"/>
      <c r="F49" s="45"/>
      <c r="G49" s="45"/>
      <c r="H49" s="45"/>
      <c r="I49" s="45"/>
      <c r="J49" s="45"/>
      <c r="K49" s="45"/>
    </row>
    <row r="50" spans="2:11" x14ac:dyDescent="0.35">
      <c r="B50" s="45"/>
      <c r="C50" s="45"/>
      <c r="D50" s="45"/>
      <c r="E50" s="45"/>
      <c r="F50" s="45"/>
      <c r="G50" s="45"/>
      <c r="H50" s="45"/>
      <c r="I50" s="45"/>
      <c r="J50" s="45"/>
      <c r="K50" s="45"/>
    </row>
    <row r="51" spans="2:11" x14ac:dyDescent="0.35">
      <c r="B51" s="45"/>
      <c r="C51" s="45"/>
      <c r="D51" s="45"/>
      <c r="E51" s="45"/>
      <c r="F51" s="45"/>
      <c r="G51" s="45"/>
      <c r="H51" s="45"/>
      <c r="I51" s="45"/>
      <c r="J51" s="45"/>
      <c r="K51" s="45"/>
    </row>
    <row r="52" spans="2:11" x14ac:dyDescent="0.35">
      <c r="B52" s="45"/>
      <c r="C52" s="45"/>
      <c r="D52" s="45"/>
      <c r="E52" s="45"/>
      <c r="F52" s="45"/>
      <c r="G52" s="45"/>
      <c r="H52" s="45"/>
      <c r="I52" s="45"/>
      <c r="J52" s="45"/>
      <c r="K52" s="45"/>
    </row>
    <row r="53" spans="2:11" x14ac:dyDescent="0.35">
      <c r="B53" s="45"/>
      <c r="C53" s="45"/>
      <c r="D53" s="45"/>
      <c r="E53" s="45"/>
      <c r="F53" s="45"/>
      <c r="G53" s="45"/>
      <c r="H53" s="45"/>
      <c r="I53" s="45"/>
      <c r="J53" s="45"/>
      <c r="K53" s="45"/>
    </row>
    <row r="54" spans="2:11" x14ac:dyDescent="0.35">
      <c r="B54" s="45"/>
      <c r="C54" s="45"/>
      <c r="D54" s="45"/>
      <c r="E54" s="45"/>
      <c r="F54" s="45"/>
      <c r="G54" s="45"/>
      <c r="H54" s="45"/>
      <c r="I54" s="45"/>
      <c r="J54" s="45"/>
      <c r="K54" s="45"/>
    </row>
    <row r="55" spans="2:11" x14ac:dyDescent="0.35">
      <c r="B55" s="45"/>
      <c r="C55" s="45"/>
      <c r="D55" s="45"/>
      <c r="E55" s="45"/>
      <c r="F55" s="45"/>
      <c r="G55" s="45"/>
      <c r="H55" s="45"/>
      <c r="I55" s="45"/>
      <c r="J55" s="45"/>
      <c r="K55" s="45"/>
    </row>
    <row r="56" spans="2:11" x14ac:dyDescent="0.35">
      <c r="B56" s="45"/>
      <c r="C56" s="45"/>
      <c r="D56" s="45"/>
      <c r="E56" s="45"/>
      <c r="F56" s="45"/>
      <c r="G56" s="45"/>
      <c r="H56" s="45"/>
      <c r="I56" s="45"/>
      <c r="J56" s="45"/>
      <c r="K56" s="45"/>
    </row>
    <row r="57" spans="2:11" x14ac:dyDescent="0.35">
      <c r="B57" s="45"/>
      <c r="C57" s="45"/>
      <c r="D57" s="45"/>
      <c r="E57" s="45"/>
      <c r="F57" s="45"/>
      <c r="G57" s="45"/>
      <c r="H57" s="45"/>
      <c r="I57" s="45"/>
      <c r="J57" s="45"/>
      <c r="K57" s="45"/>
    </row>
    <row r="58" spans="2:11" x14ac:dyDescent="0.35">
      <c r="B58" s="45"/>
      <c r="C58" s="45"/>
      <c r="D58" s="45"/>
      <c r="E58" s="45"/>
      <c r="F58" s="45"/>
      <c r="G58" s="45"/>
      <c r="H58" s="45"/>
      <c r="I58" s="45"/>
      <c r="J58" s="45"/>
      <c r="K58" s="45"/>
    </row>
    <row r="59" spans="2:11" x14ac:dyDescent="0.35">
      <c r="B59" s="45"/>
      <c r="C59" s="45"/>
      <c r="D59" s="45"/>
      <c r="E59" s="45"/>
      <c r="F59" s="45"/>
      <c r="G59" s="45"/>
      <c r="H59" s="45"/>
      <c r="I59" s="45"/>
      <c r="J59" s="45"/>
      <c r="K59" s="45"/>
    </row>
    <row r="60" spans="2:11" x14ac:dyDescent="0.35">
      <c r="B60" s="45"/>
      <c r="C60" s="45"/>
      <c r="D60" s="45"/>
      <c r="E60" s="45"/>
      <c r="F60" s="45"/>
      <c r="G60" s="45"/>
      <c r="H60" s="45"/>
      <c r="I60" s="45"/>
      <c r="J60" s="45"/>
      <c r="K60" s="45"/>
    </row>
    <row r="61" spans="2:11" x14ac:dyDescent="0.35">
      <c r="B61" s="45"/>
      <c r="C61" s="45"/>
      <c r="D61" s="45"/>
      <c r="E61" s="45"/>
      <c r="F61" s="45"/>
      <c r="G61" s="45"/>
      <c r="H61" s="45"/>
      <c r="I61" s="45"/>
      <c r="J61" s="45"/>
      <c r="K61" s="45"/>
    </row>
    <row r="62" spans="2:11" x14ac:dyDescent="0.35">
      <c r="B62" s="45"/>
      <c r="C62" s="45"/>
      <c r="D62" s="45"/>
      <c r="E62" s="45"/>
      <c r="F62" s="45"/>
      <c r="G62" s="45"/>
      <c r="H62" s="45"/>
      <c r="I62" s="45"/>
      <c r="J62" s="45"/>
      <c r="K62" s="45"/>
    </row>
    <row r="63" spans="2:11" x14ac:dyDescent="0.35">
      <c r="B63" s="45"/>
      <c r="C63" s="45"/>
      <c r="D63" s="45"/>
      <c r="E63" s="45"/>
      <c r="F63" s="45"/>
      <c r="G63" s="45"/>
      <c r="H63" s="45"/>
      <c r="I63" s="45"/>
      <c r="J63" s="45"/>
      <c r="K63" s="45"/>
    </row>
    <row r="64" spans="2:11" x14ac:dyDescent="0.35">
      <c r="B64" s="45"/>
      <c r="C64" s="45"/>
      <c r="D64" s="45"/>
      <c r="E64" s="45"/>
      <c r="F64" s="45"/>
      <c r="G64" s="45"/>
      <c r="H64" s="45"/>
      <c r="I64" s="45"/>
      <c r="J64" s="45"/>
      <c r="K64" s="45"/>
    </row>
    <row r="65" spans="2:11" x14ac:dyDescent="0.35">
      <c r="B65" s="45"/>
      <c r="C65" s="45"/>
      <c r="D65" s="45"/>
      <c r="E65" s="45"/>
      <c r="F65" s="45"/>
      <c r="G65" s="45"/>
      <c r="H65" s="45"/>
      <c r="I65" s="45"/>
      <c r="J65" s="45"/>
      <c r="K65" s="45"/>
    </row>
    <row r="66" spans="2:11" x14ac:dyDescent="0.35">
      <c r="B66" s="45"/>
      <c r="C66" s="45"/>
      <c r="D66" s="45"/>
      <c r="E66" s="45"/>
      <c r="F66" s="45"/>
      <c r="G66" s="45"/>
      <c r="H66" s="45"/>
      <c r="I66" s="45"/>
      <c r="J66" s="45"/>
      <c r="K66" s="45"/>
    </row>
    <row r="67" spans="2:11" x14ac:dyDescent="0.35">
      <c r="B67" s="45"/>
      <c r="C67" s="45"/>
      <c r="D67" s="45"/>
      <c r="E67" s="45"/>
      <c r="F67" s="45"/>
      <c r="G67" s="45"/>
      <c r="H67" s="45"/>
      <c r="I67" s="45"/>
      <c r="J67" s="45"/>
      <c r="K67" s="45"/>
    </row>
    <row r="68" spans="2:11" x14ac:dyDescent="0.35">
      <c r="B68" s="45"/>
      <c r="C68" s="45"/>
      <c r="D68" s="45"/>
      <c r="E68" s="45"/>
      <c r="F68" s="45"/>
      <c r="G68" s="45"/>
      <c r="H68" s="45"/>
      <c r="I68" s="45"/>
      <c r="J68" s="45"/>
      <c r="K68" s="45"/>
    </row>
    <row r="69" spans="2:11" x14ac:dyDescent="0.35">
      <c r="B69" s="45"/>
      <c r="C69" s="45"/>
      <c r="D69" s="45"/>
      <c r="E69" s="45"/>
      <c r="F69" s="45"/>
      <c r="G69" s="45"/>
      <c r="H69" s="45"/>
      <c r="I69" s="45"/>
      <c r="J69" s="45"/>
      <c r="K69" s="45"/>
    </row>
    <row r="70" spans="2:11" x14ac:dyDescent="0.35">
      <c r="B70" s="45"/>
      <c r="C70" s="45"/>
      <c r="D70" s="45"/>
      <c r="E70" s="45"/>
      <c r="F70" s="45"/>
      <c r="G70" s="45"/>
      <c r="H70" s="45"/>
      <c r="I70" s="45"/>
      <c r="J70" s="45"/>
      <c r="K70" s="45"/>
    </row>
    <row r="71" spans="2:11" x14ac:dyDescent="0.35">
      <c r="B71" s="45"/>
      <c r="C71" s="45"/>
      <c r="D71" s="45"/>
      <c r="E71" s="45"/>
      <c r="F71" s="45"/>
      <c r="G71" s="45"/>
      <c r="H71" s="45"/>
      <c r="I71" s="45"/>
      <c r="J71" s="45"/>
      <c r="K71" s="45"/>
    </row>
    <row r="72" spans="2:11" x14ac:dyDescent="0.35">
      <c r="B72" s="45"/>
      <c r="C72" s="45"/>
      <c r="D72" s="45"/>
      <c r="E72" s="45"/>
      <c r="F72" s="45"/>
      <c r="G72" s="45"/>
      <c r="H72" s="45"/>
      <c r="I72" s="45"/>
      <c r="J72" s="45"/>
      <c r="K72" s="45"/>
    </row>
    <row r="73" spans="2:11" x14ac:dyDescent="0.35">
      <c r="B73" s="45"/>
      <c r="C73" s="45"/>
      <c r="D73" s="45"/>
      <c r="E73" s="45"/>
      <c r="F73" s="45"/>
      <c r="G73" s="45"/>
      <c r="H73" s="45"/>
      <c r="I73" s="45"/>
      <c r="J73" s="45"/>
      <c r="K73" s="45"/>
    </row>
    <row r="74" spans="2:11" x14ac:dyDescent="0.35">
      <c r="B74" s="45"/>
      <c r="C74" s="45"/>
      <c r="D74" s="45"/>
      <c r="E74" s="45"/>
      <c r="F74" s="45"/>
      <c r="G74" s="45"/>
      <c r="H74" s="45"/>
      <c r="I74" s="45"/>
      <c r="J74" s="45"/>
      <c r="K74" s="45"/>
    </row>
    <row r="75" spans="2:11" x14ac:dyDescent="0.35">
      <c r="B75" s="45"/>
      <c r="C75" s="45"/>
      <c r="D75" s="45"/>
      <c r="E75" s="45"/>
      <c r="F75" s="45"/>
      <c r="G75" s="45"/>
      <c r="H75" s="45"/>
      <c r="I75" s="45"/>
      <c r="J75" s="45"/>
      <c r="K75" s="45"/>
    </row>
    <row r="76" spans="2:11" x14ac:dyDescent="0.35">
      <c r="B76" s="45"/>
      <c r="C76" s="45"/>
      <c r="D76" s="45"/>
      <c r="E76" s="45"/>
      <c r="F76" s="45"/>
      <c r="G76" s="45"/>
      <c r="H76" s="45"/>
      <c r="I76" s="45"/>
      <c r="J76" s="45"/>
      <c r="K76" s="45"/>
    </row>
    <row r="77" spans="2:11" x14ac:dyDescent="0.35">
      <c r="B77" s="45"/>
      <c r="C77" s="45"/>
      <c r="D77" s="45"/>
      <c r="E77" s="45"/>
      <c r="F77" s="45"/>
      <c r="G77" s="45"/>
      <c r="H77" s="45"/>
      <c r="I77" s="45"/>
      <c r="J77" s="45"/>
      <c r="K77" s="45"/>
    </row>
    <row r="78" spans="2:11" x14ac:dyDescent="0.35">
      <c r="B78" s="45"/>
      <c r="C78" s="45"/>
      <c r="D78" s="45"/>
      <c r="E78" s="45"/>
      <c r="F78" s="45"/>
      <c r="G78" s="45"/>
      <c r="H78" s="45"/>
      <c r="I78" s="45"/>
      <c r="J78" s="45"/>
      <c r="K78" s="45"/>
    </row>
    <row r="79" spans="2:11" x14ac:dyDescent="0.35">
      <c r="B79" s="45"/>
      <c r="C79" s="45"/>
      <c r="D79" s="45"/>
      <c r="E79" s="45"/>
      <c r="F79" s="45"/>
      <c r="G79" s="45"/>
      <c r="H79" s="45"/>
      <c r="I79" s="45"/>
      <c r="J79" s="45"/>
      <c r="K79" s="45"/>
    </row>
    <row r="80" spans="2:11" x14ac:dyDescent="0.35">
      <c r="B80" s="45"/>
      <c r="C80" s="45"/>
      <c r="D80" s="45"/>
      <c r="E80" s="45"/>
      <c r="F80" s="45"/>
      <c r="G80" s="45"/>
      <c r="H80" s="45"/>
      <c r="I80" s="45"/>
      <c r="J80" s="45"/>
      <c r="K80" s="45"/>
    </row>
    <row r="81" spans="2:11" x14ac:dyDescent="0.35">
      <c r="B81" s="45"/>
      <c r="C81" s="45"/>
      <c r="D81" s="45"/>
      <c r="E81" s="45"/>
      <c r="F81" s="45"/>
      <c r="G81" s="45"/>
      <c r="H81" s="45"/>
      <c r="I81" s="45"/>
      <c r="J81" s="45"/>
      <c r="K81" s="45"/>
    </row>
    <row r="82" spans="2:11" x14ac:dyDescent="0.35">
      <c r="B82" s="45"/>
      <c r="C82" s="45"/>
      <c r="D82" s="45"/>
      <c r="E82" s="45"/>
      <c r="F82" s="45"/>
      <c r="G82" s="45"/>
      <c r="H82" s="45"/>
      <c r="I82" s="45"/>
      <c r="J82" s="45"/>
      <c r="K82" s="45"/>
    </row>
    <row r="83" spans="2:11" x14ac:dyDescent="0.35">
      <c r="B83" s="45"/>
      <c r="C83" s="45"/>
      <c r="D83" s="45"/>
      <c r="E83" s="45"/>
      <c r="F83" s="45"/>
      <c r="G83" s="45"/>
      <c r="H83" s="45"/>
      <c r="I83" s="45"/>
      <c r="J83" s="45"/>
      <c r="K83" s="45"/>
    </row>
    <row r="84" spans="2:11" x14ac:dyDescent="0.35">
      <c r="B84" s="45"/>
      <c r="C84" s="45"/>
      <c r="D84" s="45"/>
      <c r="E84" s="45"/>
      <c r="F84" s="45"/>
      <c r="G84" s="45"/>
      <c r="H84" s="45"/>
      <c r="I84" s="45"/>
      <c r="J84" s="45"/>
      <c r="K84" s="45"/>
    </row>
    <row r="85" spans="2:11" x14ac:dyDescent="0.35">
      <c r="B85" s="45"/>
      <c r="C85" s="45"/>
      <c r="D85" s="45"/>
      <c r="E85" s="45"/>
      <c r="F85" s="45"/>
      <c r="G85" s="45"/>
      <c r="H85" s="45"/>
      <c r="I85" s="45"/>
      <c r="J85" s="45"/>
      <c r="K85" s="45"/>
    </row>
    <row r="86" spans="2:11" x14ac:dyDescent="0.35">
      <c r="B86" s="45"/>
      <c r="C86" s="45"/>
      <c r="D86" s="45"/>
      <c r="E86" s="45"/>
      <c r="F86" s="45"/>
      <c r="G86" s="45"/>
      <c r="H86" s="45"/>
      <c r="I86" s="45"/>
      <c r="J86" s="45"/>
      <c r="K86" s="45"/>
    </row>
    <row r="87" spans="2:11" x14ac:dyDescent="0.35">
      <c r="B87" s="45"/>
      <c r="C87" s="45"/>
      <c r="D87" s="45"/>
      <c r="E87" s="45"/>
      <c r="F87" s="45"/>
      <c r="G87" s="45"/>
      <c r="H87" s="45"/>
      <c r="I87" s="45"/>
      <c r="J87" s="45"/>
      <c r="K87" s="45"/>
    </row>
    <row r="88" spans="2:11" x14ac:dyDescent="0.35">
      <c r="B88" s="45"/>
      <c r="C88" s="45"/>
      <c r="D88" s="45"/>
      <c r="E88" s="45"/>
      <c r="F88" s="45"/>
      <c r="G88" s="45"/>
      <c r="H88" s="45"/>
      <c r="I88" s="45"/>
      <c r="J88" s="45"/>
      <c r="K88" s="45"/>
    </row>
    <row r="89" spans="2:11" x14ac:dyDescent="0.35">
      <c r="B89" s="45"/>
      <c r="C89" s="45"/>
      <c r="D89" s="45"/>
      <c r="E89" s="45"/>
      <c r="F89" s="45"/>
      <c r="G89" s="45"/>
      <c r="H89" s="45"/>
      <c r="I89" s="45"/>
      <c r="J89" s="45"/>
      <c r="K89" s="45"/>
    </row>
    <row r="90" spans="2:11" x14ac:dyDescent="0.35">
      <c r="B90" s="45"/>
      <c r="C90" s="45"/>
      <c r="D90" s="45"/>
      <c r="E90" s="45"/>
      <c r="F90" s="45"/>
      <c r="G90" s="45"/>
      <c r="H90" s="45"/>
      <c r="I90" s="45"/>
      <c r="J90" s="45"/>
      <c r="K90" s="45"/>
    </row>
    <row r="91" spans="2:11" x14ac:dyDescent="0.35">
      <c r="B91" s="45"/>
      <c r="C91" s="45"/>
      <c r="D91" s="45"/>
      <c r="E91" s="45"/>
      <c r="F91" s="45"/>
      <c r="G91" s="45"/>
      <c r="H91" s="45"/>
      <c r="I91" s="45"/>
      <c r="J91" s="45"/>
      <c r="K91" s="45"/>
    </row>
    <row r="92" spans="2:11" x14ac:dyDescent="0.35">
      <c r="B92" s="45"/>
      <c r="C92" s="45"/>
      <c r="D92" s="45"/>
      <c r="E92" s="45"/>
      <c r="F92" s="45"/>
      <c r="G92" s="45"/>
      <c r="H92" s="45"/>
      <c r="I92" s="45"/>
      <c r="J92" s="45"/>
      <c r="K92" s="45"/>
    </row>
    <row r="93" spans="2:11" x14ac:dyDescent="0.35">
      <c r="B93" s="45"/>
      <c r="C93" s="45"/>
      <c r="D93" s="45"/>
      <c r="E93" s="45"/>
      <c r="F93" s="45"/>
      <c r="G93" s="45"/>
      <c r="H93" s="45"/>
      <c r="I93" s="45"/>
      <c r="J93" s="45"/>
      <c r="K93" s="45"/>
    </row>
    <row r="94" spans="2:11" x14ac:dyDescent="0.35">
      <c r="B94" s="45"/>
      <c r="C94" s="45"/>
      <c r="D94" s="45"/>
      <c r="E94" s="45"/>
      <c r="F94" s="45"/>
      <c r="G94" s="45"/>
      <c r="H94" s="45"/>
      <c r="I94" s="45"/>
      <c r="J94" s="45"/>
      <c r="K94" s="45"/>
    </row>
    <row r="95" spans="2:11" x14ac:dyDescent="0.35">
      <c r="B95" s="45"/>
      <c r="C95" s="45"/>
      <c r="D95" s="45"/>
      <c r="E95" s="45"/>
      <c r="F95" s="45"/>
      <c r="G95" s="45"/>
      <c r="H95" s="45"/>
      <c r="I95" s="45"/>
      <c r="J95" s="45"/>
      <c r="K95" s="45"/>
    </row>
    <row r="96" spans="2:11" x14ac:dyDescent="0.35">
      <c r="B96" s="45"/>
      <c r="C96" s="45"/>
      <c r="D96" s="45"/>
      <c r="E96" s="45"/>
      <c r="F96" s="45"/>
      <c r="G96" s="45"/>
      <c r="H96" s="45"/>
      <c r="I96" s="45"/>
      <c r="J96" s="45"/>
      <c r="K96" s="45"/>
    </row>
    <row r="97" spans="2:11" x14ac:dyDescent="0.35">
      <c r="B97" s="45"/>
      <c r="C97" s="45"/>
      <c r="D97" s="45"/>
      <c r="E97" s="45"/>
      <c r="F97" s="45"/>
      <c r="G97" s="45"/>
      <c r="H97" s="45"/>
      <c r="I97" s="45"/>
      <c r="J97" s="45"/>
      <c r="K97" s="45"/>
    </row>
    <row r="98" spans="2:11" x14ac:dyDescent="0.35">
      <c r="B98" s="45"/>
      <c r="C98" s="45"/>
      <c r="D98" s="45"/>
      <c r="E98" s="45"/>
      <c r="F98" s="45"/>
      <c r="G98" s="45"/>
      <c r="H98" s="45"/>
      <c r="I98" s="45"/>
      <c r="J98" s="45"/>
      <c r="K98" s="45"/>
    </row>
    <row r="99" spans="2:11" x14ac:dyDescent="0.35">
      <c r="B99" s="45"/>
      <c r="C99" s="45"/>
      <c r="D99" s="45"/>
      <c r="E99" s="45"/>
      <c r="F99" s="45"/>
      <c r="G99" s="45"/>
      <c r="H99" s="45"/>
      <c r="I99" s="45"/>
      <c r="J99" s="45"/>
      <c r="K99" s="45"/>
    </row>
    <row r="100" spans="2:11" x14ac:dyDescent="0.35">
      <c r="B100" s="45"/>
      <c r="C100" s="45"/>
      <c r="D100" s="45"/>
      <c r="E100" s="45"/>
      <c r="F100" s="45"/>
      <c r="G100" s="45"/>
      <c r="H100" s="45"/>
      <c r="I100" s="45"/>
      <c r="J100" s="45"/>
      <c r="K100" s="45"/>
    </row>
    <row r="101" spans="2:11" x14ac:dyDescent="0.35">
      <c r="B101" s="45"/>
      <c r="C101" s="45"/>
      <c r="D101" s="45"/>
      <c r="E101" s="45"/>
      <c r="F101" s="45"/>
      <c r="G101" s="45"/>
      <c r="H101" s="45"/>
      <c r="I101" s="45"/>
      <c r="J101" s="45"/>
      <c r="K101" s="45"/>
    </row>
    <row r="102" spans="2:11" x14ac:dyDescent="0.35">
      <c r="B102" s="45"/>
      <c r="C102" s="45"/>
      <c r="D102" s="45"/>
      <c r="E102" s="45"/>
      <c r="F102" s="45"/>
      <c r="G102" s="45"/>
      <c r="H102" s="45"/>
      <c r="I102" s="45"/>
      <c r="J102" s="45"/>
      <c r="K102" s="45"/>
    </row>
    <row r="103" spans="2:11" x14ac:dyDescent="0.35">
      <c r="B103" s="45"/>
      <c r="C103" s="45"/>
      <c r="D103" s="45"/>
      <c r="E103" s="45"/>
      <c r="F103" s="45"/>
      <c r="G103" s="45"/>
      <c r="H103" s="45"/>
      <c r="I103" s="45"/>
      <c r="J103" s="45"/>
      <c r="K103" s="45"/>
    </row>
    <row r="104" spans="2:11" x14ac:dyDescent="0.35">
      <c r="B104" s="45"/>
      <c r="C104" s="45"/>
      <c r="D104" s="45"/>
      <c r="E104" s="45"/>
      <c r="F104" s="45"/>
      <c r="G104" s="45"/>
      <c r="H104" s="45"/>
      <c r="I104" s="45"/>
      <c r="J104" s="45"/>
      <c r="K104" s="45"/>
    </row>
    <row r="105" spans="2:11" x14ac:dyDescent="0.35">
      <c r="B105" s="45"/>
      <c r="C105" s="45"/>
      <c r="D105" s="45"/>
      <c r="E105" s="45"/>
      <c r="F105" s="45"/>
      <c r="G105" s="45"/>
      <c r="H105" s="45"/>
      <c r="I105" s="45"/>
      <c r="J105" s="45"/>
      <c r="K105" s="45"/>
    </row>
    <row r="106" spans="2:11" x14ac:dyDescent="0.35">
      <c r="B106" s="45"/>
      <c r="C106" s="45"/>
      <c r="D106" s="45"/>
      <c r="E106" s="45"/>
      <c r="F106" s="45"/>
      <c r="G106" s="45"/>
      <c r="H106" s="45"/>
      <c r="I106" s="45"/>
      <c r="J106" s="45"/>
      <c r="K106" s="45"/>
    </row>
    <row r="107" spans="2:11" x14ac:dyDescent="0.35">
      <c r="B107" s="45"/>
      <c r="C107" s="45"/>
      <c r="D107" s="45"/>
      <c r="E107" s="45"/>
      <c r="F107" s="45"/>
      <c r="G107" s="45"/>
      <c r="H107" s="45"/>
      <c r="I107" s="45"/>
      <c r="J107" s="45"/>
      <c r="K107" s="45"/>
    </row>
    <row r="108" spans="2:11" x14ac:dyDescent="0.35">
      <c r="B108" s="45"/>
      <c r="C108" s="45"/>
      <c r="D108" s="45"/>
      <c r="E108" s="45"/>
      <c r="F108" s="45"/>
      <c r="G108" s="45"/>
      <c r="H108" s="45"/>
      <c r="I108" s="45"/>
      <c r="J108" s="45"/>
      <c r="K108" s="45"/>
    </row>
    <row r="109" spans="2:11" x14ac:dyDescent="0.35">
      <c r="B109" s="45"/>
      <c r="C109" s="45"/>
      <c r="D109" s="45"/>
      <c r="E109" s="45"/>
      <c r="F109" s="45"/>
      <c r="G109" s="45"/>
      <c r="H109" s="45"/>
      <c r="I109" s="45"/>
      <c r="J109" s="45"/>
      <c r="K109" s="45"/>
    </row>
    <row r="110" spans="2:11" x14ac:dyDescent="0.35">
      <c r="B110" s="45"/>
      <c r="C110" s="45"/>
      <c r="D110" s="45"/>
      <c r="E110" s="45"/>
      <c r="F110" s="45"/>
      <c r="G110" s="45"/>
      <c r="H110" s="45"/>
      <c r="I110" s="45"/>
      <c r="J110" s="45"/>
      <c r="K110" s="45"/>
    </row>
    <row r="111" spans="2:11" x14ac:dyDescent="0.35">
      <c r="B111" s="45"/>
      <c r="C111" s="45"/>
      <c r="D111" s="45"/>
      <c r="E111" s="45"/>
      <c r="F111" s="45"/>
      <c r="G111" s="45"/>
      <c r="H111" s="45"/>
      <c r="I111" s="45"/>
      <c r="J111" s="45"/>
      <c r="K111" s="45"/>
    </row>
    <row r="112" spans="2:11" x14ac:dyDescent="0.35">
      <c r="B112" s="45"/>
      <c r="C112" s="45"/>
      <c r="D112" s="45"/>
      <c r="E112" s="45"/>
      <c r="F112" s="45"/>
      <c r="G112" s="45"/>
      <c r="H112" s="45"/>
      <c r="I112" s="45"/>
      <c r="J112" s="45"/>
      <c r="K112" s="45"/>
    </row>
    <row r="113" spans="2:11" x14ac:dyDescent="0.35">
      <c r="B113" s="45"/>
      <c r="C113" s="45"/>
      <c r="D113" s="45"/>
      <c r="E113" s="45"/>
      <c r="F113" s="45"/>
      <c r="G113" s="45"/>
      <c r="H113" s="45"/>
      <c r="I113" s="45"/>
      <c r="J113" s="45"/>
      <c r="K113" s="45"/>
    </row>
    <row r="114" spans="2:11" x14ac:dyDescent="0.35">
      <c r="B114" s="45"/>
      <c r="C114" s="45"/>
      <c r="D114" s="45"/>
      <c r="E114" s="45"/>
      <c r="F114" s="45"/>
      <c r="G114" s="45"/>
      <c r="H114" s="45"/>
      <c r="I114" s="45"/>
      <c r="J114" s="45"/>
      <c r="K114" s="45"/>
    </row>
    <row r="115" spans="2:11" x14ac:dyDescent="0.35">
      <c r="B115" s="45"/>
      <c r="C115" s="45"/>
      <c r="D115" s="45"/>
      <c r="E115" s="45"/>
      <c r="F115" s="45"/>
      <c r="G115" s="45"/>
      <c r="H115" s="45"/>
      <c r="I115" s="45"/>
      <c r="J115" s="45"/>
      <c r="K115" s="45"/>
    </row>
    <row r="116" spans="2:11" x14ac:dyDescent="0.35">
      <c r="B116" s="45"/>
      <c r="C116" s="45"/>
      <c r="D116" s="45"/>
      <c r="E116" s="45"/>
      <c r="F116" s="45"/>
      <c r="G116" s="45"/>
      <c r="H116" s="45"/>
      <c r="I116" s="45"/>
      <c r="J116" s="45"/>
      <c r="K116" s="45"/>
    </row>
    <row r="117" spans="2:11" x14ac:dyDescent="0.35">
      <c r="B117" s="45"/>
      <c r="C117" s="45"/>
      <c r="D117" s="45"/>
      <c r="E117" s="45"/>
      <c r="F117" s="45"/>
      <c r="G117" s="45"/>
      <c r="H117" s="45"/>
      <c r="I117" s="45"/>
      <c r="J117" s="45"/>
      <c r="K117" s="45"/>
    </row>
    <row r="118" spans="2:11" x14ac:dyDescent="0.35">
      <c r="B118" s="45"/>
      <c r="C118" s="45"/>
      <c r="D118" s="45"/>
      <c r="E118" s="45"/>
      <c r="F118" s="45"/>
      <c r="G118" s="45"/>
      <c r="H118" s="45"/>
      <c r="I118" s="45"/>
      <c r="J118" s="45"/>
      <c r="K118" s="45"/>
    </row>
    <row r="119" spans="2:11" x14ac:dyDescent="0.35">
      <c r="B119" s="45"/>
      <c r="C119" s="45"/>
      <c r="D119" s="45"/>
      <c r="E119" s="45"/>
      <c r="F119" s="45"/>
      <c r="G119" s="45"/>
      <c r="H119" s="45"/>
      <c r="I119" s="45"/>
      <c r="J119" s="45"/>
      <c r="K119" s="45"/>
    </row>
    <row r="120" spans="2:11" x14ac:dyDescent="0.35">
      <c r="B120" s="45"/>
      <c r="C120" s="45"/>
      <c r="D120" s="45"/>
      <c r="E120" s="45"/>
      <c r="F120" s="45"/>
      <c r="G120" s="45"/>
      <c r="H120" s="45"/>
      <c r="I120" s="45"/>
      <c r="J120" s="45"/>
      <c r="K120" s="45"/>
    </row>
    <row r="121" spans="2:11" x14ac:dyDescent="0.35">
      <c r="B121" s="45"/>
      <c r="C121" s="45"/>
      <c r="D121" s="45"/>
      <c r="E121" s="45"/>
      <c r="F121" s="45"/>
      <c r="G121" s="45"/>
      <c r="H121" s="45"/>
      <c r="I121" s="45"/>
      <c r="J121" s="45"/>
      <c r="K121" s="45"/>
    </row>
    <row r="122" spans="2:11" x14ac:dyDescent="0.35">
      <c r="B122" s="45"/>
      <c r="C122" s="45"/>
      <c r="D122" s="45"/>
      <c r="E122" s="45"/>
      <c r="F122" s="45"/>
      <c r="G122" s="45"/>
      <c r="H122" s="45"/>
      <c r="I122" s="45"/>
      <c r="J122" s="45"/>
      <c r="K122" s="45"/>
    </row>
    <row r="123" spans="2:11" x14ac:dyDescent="0.35">
      <c r="B123" s="45"/>
      <c r="C123" s="45"/>
      <c r="D123" s="45"/>
      <c r="E123" s="45"/>
      <c r="F123" s="45"/>
      <c r="G123" s="45"/>
      <c r="H123" s="45"/>
      <c r="I123" s="45"/>
      <c r="J123" s="45"/>
      <c r="K123" s="45"/>
    </row>
    <row r="124" spans="2:11" x14ac:dyDescent="0.35">
      <c r="B124" s="45"/>
      <c r="C124" s="45"/>
      <c r="D124" s="45"/>
      <c r="E124" s="45"/>
      <c r="F124" s="45"/>
      <c r="G124" s="45"/>
      <c r="H124" s="45"/>
      <c r="I124" s="45"/>
      <c r="J124" s="45"/>
      <c r="K124" s="45"/>
    </row>
    <row r="125" spans="2:11" x14ac:dyDescent="0.35">
      <c r="B125" s="45"/>
      <c r="C125" s="45"/>
      <c r="D125" s="45"/>
      <c r="E125" s="45"/>
      <c r="F125" s="45"/>
      <c r="G125" s="45"/>
      <c r="H125" s="45"/>
      <c r="I125" s="45"/>
      <c r="J125" s="45"/>
      <c r="K125" s="45"/>
    </row>
    <row r="126" spans="2:11" x14ac:dyDescent="0.35">
      <c r="B126" s="45"/>
      <c r="C126" s="45"/>
      <c r="D126" s="45"/>
      <c r="E126" s="45"/>
      <c r="F126" s="45"/>
      <c r="G126" s="45"/>
      <c r="H126" s="45"/>
      <c r="I126" s="45"/>
      <c r="J126" s="45"/>
      <c r="K126" s="45"/>
    </row>
    <row r="127" spans="2:11" x14ac:dyDescent="0.35">
      <c r="B127" s="45"/>
      <c r="C127" s="45"/>
      <c r="D127" s="45"/>
      <c r="E127" s="45"/>
      <c r="F127" s="45"/>
      <c r="G127" s="45"/>
      <c r="H127" s="45"/>
      <c r="I127" s="45"/>
      <c r="J127" s="45"/>
      <c r="K127" s="45"/>
    </row>
    <row r="128" spans="2:11" x14ac:dyDescent="0.35">
      <c r="B128" s="45"/>
      <c r="C128" s="45"/>
      <c r="D128" s="45"/>
      <c r="E128" s="45"/>
      <c r="F128" s="45"/>
      <c r="G128" s="45"/>
      <c r="H128" s="45"/>
      <c r="I128" s="45"/>
      <c r="J128" s="45"/>
      <c r="K128" s="45"/>
    </row>
    <row r="129" spans="2:11" x14ac:dyDescent="0.35">
      <c r="B129" s="45"/>
      <c r="C129" s="45"/>
      <c r="D129" s="45"/>
      <c r="E129" s="45"/>
      <c r="F129" s="45"/>
      <c r="G129" s="45"/>
      <c r="H129" s="45"/>
      <c r="I129" s="45"/>
      <c r="J129" s="45"/>
      <c r="K129" s="45"/>
    </row>
    <row r="130" spans="2:11" x14ac:dyDescent="0.35">
      <c r="B130" s="45"/>
      <c r="C130" s="45"/>
      <c r="D130" s="45"/>
      <c r="E130" s="45"/>
      <c r="F130" s="45"/>
      <c r="G130" s="45"/>
      <c r="H130" s="45"/>
      <c r="I130" s="45"/>
      <c r="J130" s="45"/>
      <c r="K130" s="45"/>
    </row>
    <row r="131" spans="2:11" x14ac:dyDescent="0.35">
      <c r="B131" s="45"/>
      <c r="C131" s="45"/>
      <c r="D131" s="45"/>
      <c r="E131" s="45"/>
      <c r="F131" s="45"/>
      <c r="G131" s="45"/>
      <c r="H131" s="45"/>
      <c r="I131" s="45"/>
      <c r="J131" s="45"/>
      <c r="K131" s="45"/>
    </row>
    <row r="132" spans="2:11" x14ac:dyDescent="0.35">
      <c r="B132" s="45"/>
      <c r="C132" s="45"/>
      <c r="D132" s="45"/>
      <c r="E132" s="45"/>
      <c r="F132" s="45"/>
      <c r="G132" s="45"/>
      <c r="H132" s="45"/>
      <c r="I132" s="45"/>
      <c r="J132" s="45"/>
      <c r="K132" s="45"/>
    </row>
    <row r="133" spans="2:11" x14ac:dyDescent="0.35">
      <c r="B133" s="45"/>
      <c r="C133" s="45"/>
      <c r="D133" s="45"/>
      <c r="E133" s="45"/>
      <c r="F133" s="45"/>
      <c r="G133" s="45"/>
      <c r="H133" s="45"/>
      <c r="I133" s="45"/>
      <c r="J133" s="45"/>
      <c r="K133" s="45"/>
    </row>
    <row r="134" spans="2:11" x14ac:dyDescent="0.35">
      <c r="B134" s="45"/>
      <c r="C134" s="45"/>
      <c r="D134" s="45"/>
      <c r="E134" s="45"/>
      <c r="F134" s="45"/>
      <c r="G134" s="45"/>
      <c r="H134" s="45"/>
      <c r="I134" s="45"/>
      <c r="J134" s="45"/>
      <c r="K134" s="45"/>
    </row>
    <row r="135" spans="2:11" x14ac:dyDescent="0.35">
      <c r="B135" s="45"/>
      <c r="C135" s="45"/>
      <c r="D135" s="45"/>
      <c r="E135" s="45"/>
      <c r="F135" s="45"/>
      <c r="G135" s="45"/>
      <c r="H135" s="45"/>
      <c r="I135" s="45"/>
      <c r="J135" s="45"/>
      <c r="K135" s="45"/>
    </row>
    <row r="136" spans="2:11" x14ac:dyDescent="0.35">
      <c r="B136" s="45"/>
      <c r="C136" s="45"/>
      <c r="D136" s="45"/>
      <c r="E136" s="45"/>
      <c r="F136" s="45"/>
      <c r="G136" s="45"/>
      <c r="H136" s="45"/>
      <c r="I136" s="45"/>
      <c r="J136" s="45"/>
      <c r="K136" s="45"/>
    </row>
    <row r="137" spans="2:11" x14ac:dyDescent="0.35">
      <c r="B137" s="45"/>
      <c r="C137" s="45"/>
      <c r="D137" s="45"/>
      <c r="E137" s="45"/>
      <c r="F137" s="45"/>
      <c r="G137" s="45"/>
      <c r="H137" s="45"/>
      <c r="I137" s="45"/>
      <c r="J137" s="45"/>
      <c r="K137" s="45"/>
    </row>
    <row r="138" spans="2:11" x14ac:dyDescent="0.35">
      <c r="B138" s="45"/>
      <c r="C138" s="45"/>
      <c r="D138" s="45"/>
      <c r="E138" s="45"/>
      <c r="F138" s="45"/>
      <c r="G138" s="45"/>
      <c r="H138" s="45"/>
      <c r="I138" s="45"/>
      <c r="J138" s="45"/>
      <c r="K138" s="45"/>
    </row>
    <row r="139" spans="2:11" x14ac:dyDescent="0.35">
      <c r="B139" s="45"/>
      <c r="C139" s="45"/>
      <c r="D139" s="45"/>
      <c r="E139" s="45"/>
      <c r="F139" s="45"/>
      <c r="G139" s="45"/>
      <c r="H139" s="45"/>
      <c r="I139" s="45"/>
      <c r="J139" s="45"/>
      <c r="K139" s="45"/>
    </row>
    <row r="140" spans="2:11" x14ac:dyDescent="0.35">
      <c r="B140" s="45"/>
      <c r="C140" s="45"/>
      <c r="D140" s="45"/>
      <c r="E140" s="45"/>
      <c r="F140" s="45"/>
      <c r="G140" s="45"/>
      <c r="H140" s="45"/>
      <c r="I140" s="45"/>
      <c r="J140" s="45"/>
      <c r="K140" s="45"/>
    </row>
    <row r="141" spans="2:11" x14ac:dyDescent="0.35">
      <c r="B141" s="45"/>
      <c r="C141" s="45"/>
      <c r="D141" s="45"/>
      <c r="E141" s="45"/>
      <c r="F141" s="45"/>
      <c r="G141" s="45"/>
      <c r="H141" s="45"/>
      <c r="I141" s="45"/>
      <c r="J141" s="45"/>
      <c r="K141" s="45"/>
    </row>
    <row r="142" spans="2:11" x14ac:dyDescent="0.35">
      <c r="B142" s="45"/>
      <c r="C142" s="45"/>
      <c r="D142" s="45"/>
      <c r="E142" s="45"/>
      <c r="F142" s="45"/>
      <c r="G142" s="45"/>
      <c r="H142" s="45"/>
      <c r="I142" s="45"/>
      <c r="J142" s="45"/>
      <c r="K142" s="45"/>
    </row>
    <row r="143" spans="2:11" x14ac:dyDescent="0.35">
      <c r="B143" s="45"/>
      <c r="C143" s="45"/>
      <c r="D143" s="45"/>
      <c r="E143" s="45"/>
      <c r="F143" s="45"/>
      <c r="G143" s="45"/>
      <c r="H143" s="45"/>
      <c r="I143" s="45"/>
      <c r="J143" s="45"/>
      <c r="K143" s="45"/>
    </row>
    <row r="144" spans="2:11" x14ac:dyDescent="0.35">
      <c r="B144" s="45"/>
      <c r="C144" s="45"/>
      <c r="D144" s="45"/>
      <c r="E144" s="45"/>
      <c r="F144" s="45"/>
      <c r="G144" s="45"/>
      <c r="H144" s="45"/>
      <c r="I144" s="45"/>
      <c r="J144" s="45"/>
      <c r="K144" s="45"/>
    </row>
    <row r="145" spans="2:11" x14ac:dyDescent="0.35">
      <c r="B145" s="45"/>
      <c r="C145" s="45"/>
      <c r="D145" s="45"/>
      <c r="E145" s="45"/>
      <c r="F145" s="45"/>
      <c r="G145" s="45"/>
      <c r="H145" s="45"/>
      <c r="I145" s="45"/>
      <c r="J145" s="45"/>
      <c r="K145" s="45"/>
    </row>
    <row r="146" spans="2:11" x14ac:dyDescent="0.35">
      <c r="B146" s="45"/>
      <c r="C146" s="45"/>
      <c r="D146" s="45"/>
      <c r="E146" s="45"/>
      <c r="F146" s="45"/>
      <c r="G146" s="45"/>
      <c r="H146" s="45"/>
      <c r="I146" s="45"/>
      <c r="J146" s="45"/>
      <c r="K146" s="45"/>
    </row>
    <row r="147" spans="2:11" x14ac:dyDescent="0.35">
      <c r="B147" s="45"/>
      <c r="C147" s="45"/>
      <c r="D147" s="45"/>
      <c r="E147" s="45"/>
      <c r="F147" s="45"/>
      <c r="G147" s="45"/>
      <c r="H147" s="45"/>
      <c r="I147" s="45"/>
      <c r="J147" s="45"/>
      <c r="K147" s="45"/>
    </row>
    <row r="148" spans="2:11" x14ac:dyDescent="0.35">
      <c r="B148" s="45"/>
      <c r="C148" s="45"/>
      <c r="D148" s="45"/>
      <c r="E148" s="45"/>
      <c r="F148" s="45"/>
      <c r="G148" s="45"/>
      <c r="H148" s="45"/>
      <c r="I148" s="45"/>
      <c r="J148" s="45"/>
      <c r="K148" s="45"/>
    </row>
    <row r="149" spans="2:11" x14ac:dyDescent="0.35">
      <c r="B149" s="45"/>
      <c r="C149" s="45"/>
      <c r="D149" s="45"/>
      <c r="E149" s="45"/>
      <c r="F149" s="45"/>
      <c r="G149" s="45"/>
      <c r="H149" s="45"/>
      <c r="I149" s="45"/>
      <c r="J149" s="45"/>
      <c r="K149" s="45"/>
    </row>
    <row r="150" spans="2:11" x14ac:dyDescent="0.35">
      <c r="B150" s="45"/>
      <c r="C150" s="45"/>
      <c r="D150" s="45"/>
      <c r="E150" s="45"/>
      <c r="F150" s="45"/>
      <c r="G150" s="45"/>
      <c r="H150" s="45"/>
      <c r="I150" s="45"/>
      <c r="J150" s="45"/>
      <c r="K150" s="45"/>
    </row>
    <row r="151" spans="2:11" x14ac:dyDescent="0.35">
      <c r="B151" s="45"/>
      <c r="C151" s="45"/>
      <c r="D151" s="45"/>
      <c r="E151" s="45"/>
      <c r="F151" s="45"/>
      <c r="G151" s="45"/>
      <c r="H151" s="45"/>
      <c r="I151" s="45"/>
      <c r="J151" s="45"/>
      <c r="K151" s="45"/>
    </row>
    <row r="152" spans="2:11" x14ac:dyDescent="0.35">
      <c r="B152" s="45"/>
      <c r="C152" s="45"/>
      <c r="D152" s="45"/>
      <c r="E152" s="45"/>
      <c r="F152" s="45"/>
      <c r="G152" s="45"/>
      <c r="H152" s="45"/>
      <c r="I152" s="45"/>
      <c r="J152" s="45"/>
      <c r="K152" s="45"/>
    </row>
    <row r="153" spans="2:11" x14ac:dyDescent="0.35">
      <c r="B153" s="45"/>
      <c r="C153" s="45"/>
      <c r="D153" s="45"/>
      <c r="E153" s="45"/>
      <c r="F153" s="45"/>
      <c r="G153" s="45"/>
      <c r="H153" s="45"/>
      <c r="I153" s="45"/>
      <c r="J153" s="45"/>
      <c r="K153" s="45"/>
    </row>
    <row r="154" spans="2:11" x14ac:dyDescent="0.35">
      <c r="B154" s="45"/>
      <c r="C154" s="45"/>
      <c r="D154" s="45"/>
      <c r="E154" s="45"/>
      <c r="F154" s="45"/>
      <c r="G154" s="45"/>
      <c r="H154" s="45"/>
      <c r="I154" s="45"/>
      <c r="J154" s="45"/>
      <c r="K154" s="45"/>
    </row>
    <row r="155" spans="2:11" x14ac:dyDescent="0.35">
      <c r="B155" s="45"/>
      <c r="C155" s="45"/>
      <c r="D155" s="45"/>
      <c r="E155" s="45"/>
      <c r="F155" s="45"/>
      <c r="G155" s="45"/>
      <c r="H155" s="45"/>
      <c r="I155" s="45"/>
      <c r="J155" s="45"/>
      <c r="K155" s="45"/>
    </row>
    <row r="156" spans="2:11" x14ac:dyDescent="0.35">
      <c r="B156" s="45"/>
      <c r="C156" s="45"/>
      <c r="D156" s="45"/>
      <c r="E156" s="45"/>
      <c r="F156" s="45"/>
      <c r="G156" s="45"/>
      <c r="H156" s="45"/>
      <c r="I156" s="45"/>
      <c r="J156" s="45"/>
      <c r="K156" s="45"/>
    </row>
    <row r="157" spans="2:11" x14ac:dyDescent="0.35">
      <c r="B157" s="45"/>
      <c r="C157" s="45"/>
      <c r="D157" s="45"/>
      <c r="E157" s="45"/>
      <c r="F157" s="45"/>
      <c r="G157" s="45"/>
      <c r="H157" s="45"/>
      <c r="I157" s="45"/>
      <c r="J157" s="45"/>
      <c r="K157" s="45"/>
    </row>
    <row r="158" spans="2:11" x14ac:dyDescent="0.35">
      <c r="B158" s="45"/>
      <c r="C158" s="45"/>
      <c r="D158" s="45"/>
      <c r="E158" s="45"/>
      <c r="F158" s="45"/>
      <c r="G158" s="45"/>
      <c r="H158" s="45"/>
      <c r="I158" s="45"/>
      <c r="J158" s="45"/>
      <c r="K158" s="45"/>
    </row>
    <row r="159" spans="2:11" x14ac:dyDescent="0.35">
      <c r="B159" s="45"/>
      <c r="C159" s="45"/>
      <c r="D159" s="45"/>
      <c r="E159" s="45"/>
      <c r="F159" s="45"/>
      <c r="G159" s="45"/>
      <c r="H159" s="45"/>
      <c r="I159" s="45"/>
      <c r="J159" s="45"/>
      <c r="K159" s="45"/>
    </row>
    <row r="160" spans="2:11" x14ac:dyDescent="0.35">
      <c r="B160" s="45"/>
      <c r="C160" s="45"/>
      <c r="D160" s="45"/>
      <c r="E160" s="45"/>
      <c r="F160" s="45"/>
      <c r="G160" s="45"/>
      <c r="H160" s="45"/>
      <c r="I160" s="45"/>
      <c r="J160" s="45"/>
      <c r="K160" s="45"/>
    </row>
    <row r="161" spans="2:11" x14ac:dyDescent="0.35">
      <c r="B161" s="45"/>
      <c r="C161" s="45"/>
      <c r="D161" s="45"/>
      <c r="E161" s="45"/>
      <c r="F161" s="45"/>
      <c r="G161" s="45"/>
      <c r="H161" s="45"/>
      <c r="I161" s="45"/>
      <c r="J161" s="45"/>
      <c r="K161" s="45"/>
    </row>
    <row r="162" spans="2:11" x14ac:dyDescent="0.35">
      <c r="B162" s="45"/>
      <c r="C162" s="45"/>
      <c r="D162" s="45"/>
      <c r="E162" s="45"/>
      <c r="F162" s="45"/>
      <c r="G162" s="45"/>
      <c r="H162" s="45"/>
      <c r="I162" s="45"/>
      <c r="J162" s="45"/>
      <c r="K162" s="45"/>
    </row>
    <row r="163" spans="2:11" x14ac:dyDescent="0.35">
      <c r="B163" s="45"/>
      <c r="C163" s="45"/>
      <c r="D163" s="45"/>
      <c r="E163" s="45"/>
      <c r="F163" s="45"/>
      <c r="G163" s="45"/>
      <c r="H163" s="45"/>
      <c r="I163" s="45"/>
      <c r="J163" s="45"/>
      <c r="K163" s="45"/>
    </row>
    <row r="164" spans="2:11" x14ac:dyDescent="0.35">
      <c r="B164" s="45"/>
      <c r="C164" s="45"/>
      <c r="D164" s="45"/>
      <c r="E164" s="45"/>
      <c r="F164" s="45"/>
      <c r="G164" s="45"/>
      <c r="H164" s="45"/>
      <c r="I164" s="45"/>
      <c r="J164" s="45"/>
      <c r="K164" s="45"/>
    </row>
    <row r="165" spans="2:11" x14ac:dyDescent="0.35">
      <c r="B165" s="45"/>
      <c r="C165" s="45"/>
      <c r="D165" s="45"/>
      <c r="E165" s="45"/>
      <c r="F165" s="45"/>
      <c r="G165" s="45"/>
      <c r="H165" s="45"/>
      <c r="I165" s="45"/>
      <c r="J165" s="45"/>
      <c r="K165" s="45"/>
    </row>
    <row r="166" spans="2:11" x14ac:dyDescent="0.35">
      <c r="B166" s="45"/>
      <c r="C166" s="45"/>
      <c r="D166" s="45"/>
      <c r="E166" s="45"/>
      <c r="F166" s="45"/>
      <c r="G166" s="45"/>
      <c r="H166" s="45"/>
      <c r="I166" s="45"/>
      <c r="J166" s="45"/>
      <c r="K166" s="45"/>
    </row>
    <row r="167" spans="2:11" x14ac:dyDescent="0.35">
      <c r="B167" s="45"/>
      <c r="C167" s="45"/>
      <c r="D167" s="45"/>
      <c r="E167" s="45"/>
      <c r="F167" s="45"/>
      <c r="G167" s="45"/>
      <c r="H167" s="45"/>
      <c r="I167" s="45"/>
      <c r="J167" s="45"/>
      <c r="K167" s="45"/>
    </row>
    <row r="168" spans="2:11" x14ac:dyDescent="0.35">
      <c r="B168" s="45"/>
      <c r="C168" s="45"/>
      <c r="D168" s="45"/>
      <c r="E168" s="45"/>
      <c r="F168" s="45"/>
      <c r="G168" s="45"/>
      <c r="H168" s="45"/>
      <c r="I168" s="45"/>
      <c r="J168" s="45"/>
      <c r="K168" s="45"/>
    </row>
    <row r="169" spans="2:11" x14ac:dyDescent="0.35">
      <c r="B169" s="45"/>
      <c r="C169" s="45"/>
      <c r="D169" s="45"/>
      <c r="E169" s="45"/>
      <c r="F169" s="45"/>
      <c r="G169" s="45"/>
      <c r="H169" s="45"/>
      <c r="I169" s="45"/>
      <c r="J169" s="45"/>
      <c r="K169" s="45"/>
    </row>
    <row r="170" spans="2:11" x14ac:dyDescent="0.35">
      <c r="B170" s="45"/>
      <c r="C170" s="45"/>
      <c r="D170" s="45"/>
      <c r="E170" s="45"/>
      <c r="F170" s="45"/>
      <c r="G170" s="45"/>
      <c r="H170" s="45"/>
      <c r="I170" s="45"/>
      <c r="J170" s="45"/>
      <c r="K170" s="45"/>
    </row>
    <row r="171" spans="2:11" x14ac:dyDescent="0.35">
      <c r="B171" s="45"/>
      <c r="C171" s="45"/>
      <c r="D171" s="45"/>
      <c r="E171" s="45"/>
      <c r="F171" s="45"/>
      <c r="G171" s="45"/>
      <c r="H171" s="45"/>
      <c r="I171" s="45"/>
      <c r="J171" s="45"/>
      <c r="K171" s="45"/>
    </row>
    <row r="172" spans="2:11" x14ac:dyDescent="0.35">
      <c r="B172" s="45"/>
      <c r="C172" s="45"/>
      <c r="D172" s="45"/>
      <c r="E172" s="45"/>
      <c r="F172" s="45"/>
      <c r="G172" s="45"/>
      <c r="H172" s="45"/>
      <c r="I172" s="45"/>
      <c r="J172" s="45"/>
      <c r="K172" s="45"/>
    </row>
    <row r="173" spans="2:11" x14ac:dyDescent="0.35">
      <c r="B173" s="45"/>
      <c r="C173" s="45"/>
      <c r="D173" s="45"/>
      <c r="E173" s="45"/>
      <c r="F173" s="45"/>
      <c r="G173" s="45"/>
      <c r="H173" s="45"/>
      <c r="I173" s="45"/>
      <c r="J173" s="45"/>
      <c r="K173" s="45"/>
    </row>
    <row r="174" spans="2:11" x14ac:dyDescent="0.35">
      <c r="B174" s="45"/>
      <c r="C174" s="45"/>
      <c r="D174" s="45"/>
      <c r="E174" s="45"/>
      <c r="F174" s="45"/>
      <c r="G174" s="45"/>
      <c r="H174" s="45"/>
      <c r="I174" s="45"/>
      <c r="J174" s="45"/>
      <c r="K174" s="45"/>
    </row>
    <row r="175" spans="2:11" x14ac:dyDescent="0.35">
      <c r="B175" s="45"/>
      <c r="C175" s="45"/>
      <c r="D175" s="45"/>
      <c r="E175" s="45"/>
      <c r="F175" s="45"/>
      <c r="G175" s="45"/>
      <c r="H175" s="45"/>
      <c r="I175" s="45"/>
      <c r="J175" s="45"/>
      <c r="K175" s="45"/>
    </row>
    <row r="176" spans="2:11" x14ac:dyDescent="0.35">
      <c r="B176" s="45"/>
      <c r="C176" s="45"/>
      <c r="D176" s="45"/>
      <c r="E176" s="45"/>
      <c r="F176" s="45"/>
      <c r="G176" s="45"/>
      <c r="H176" s="45"/>
      <c r="I176" s="45"/>
      <c r="J176" s="45"/>
      <c r="K176" s="45"/>
    </row>
    <row r="177" spans="2:11" x14ac:dyDescent="0.35">
      <c r="B177" s="45"/>
      <c r="C177" s="45"/>
      <c r="D177" s="45"/>
      <c r="E177" s="45"/>
      <c r="F177" s="45"/>
      <c r="G177" s="45"/>
      <c r="H177" s="45"/>
      <c r="I177" s="45"/>
      <c r="J177" s="45"/>
      <c r="K177" s="45"/>
    </row>
    <row r="178" spans="2:11" x14ac:dyDescent="0.35">
      <c r="B178" s="45"/>
      <c r="C178" s="45"/>
      <c r="D178" s="45"/>
      <c r="E178" s="45"/>
      <c r="F178" s="45"/>
      <c r="G178" s="45"/>
      <c r="H178" s="45"/>
      <c r="I178" s="45"/>
      <c r="J178" s="45"/>
      <c r="K178" s="45"/>
    </row>
    <row r="179" spans="2:11" x14ac:dyDescent="0.35">
      <c r="B179" s="45"/>
      <c r="C179" s="45"/>
      <c r="D179" s="45"/>
      <c r="E179" s="45"/>
      <c r="F179" s="45"/>
      <c r="G179" s="45"/>
      <c r="H179" s="45"/>
      <c r="I179" s="45"/>
      <c r="J179" s="45"/>
      <c r="K179" s="45"/>
    </row>
    <row r="180" spans="2:11" x14ac:dyDescent="0.35">
      <c r="B180" s="45"/>
      <c r="C180" s="45"/>
      <c r="D180" s="45"/>
      <c r="E180" s="45"/>
      <c r="F180" s="45"/>
      <c r="G180" s="45"/>
      <c r="H180" s="45"/>
      <c r="I180" s="45"/>
      <c r="J180" s="45"/>
      <c r="K180" s="45"/>
    </row>
    <row r="181" spans="2:11" x14ac:dyDescent="0.35">
      <c r="B181" s="45"/>
      <c r="C181" s="45"/>
      <c r="D181" s="45"/>
      <c r="E181" s="45"/>
      <c r="F181" s="45"/>
      <c r="G181" s="45"/>
      <c r="H181" s="45"/>
      <c r="I181" s="45"/>
      <c r="J181" s="45"/>
      <c r="K181" s="45"/>
    </row>
    <row r="182" spans="2:11" x14ac:dyDescent="0.35">
      <c r="B182" s="45"/>
      <c r="C182" s="45"/>
      <c r="D182" s="45"/>
      <c r="E182" s="45"/>
      <c r="F182" s="45"/>
      <c r="G182" s="45"/>
      <c r="H182" s="45"/>
      <c r="I182" s="45"/>
      <c r="J182" s="45"/>
      <c r="K182" s="45"/>
    </row>
    <row r="183" spans="2:11" x14ac:dyDescent="0.35">
      <c r="B183" s="45"/>
      <c r="C183" s="45"/>
      <c r="D183" s="45"/>
      <c r="E183" s="45"/>
      <c r="F183" s="45"/>
      <c r="G183" s="45"/>
      <c r="H183" s="45"/>
      <c r="I183" s="45"/>
      <c r="J183" s="45"/>
      <c r="K183" s="45"/>
    </row>
    <row r="184" spans="2:11" x14ac:dyDescent="0.35">
      <c r="B184" s="45"/>
      <c r="C184" s="45"/>
      <c r="D184" s="45"/>
      <c r="E184" s="45"/>
      <c r="F184" s="45"/>
      <c r="G184" s="45"/>
      <c r="H184" s="45"/>
      <c r="I184" s="45"/>
      <c r="J184" s="45"/>
      <c r="K184" s="45"/>
    </row>
    <row r="185" spans="2:11" x14ac:dyDescent="0.35">
      <c r="B185" s="45"/>
      <c r="C185" s="45"/>
      <c r="D185" s="45"/>
      <c r="E185" s="45"/>
      <c r="F185" s="45"/>
      <c r="G185" s="45"/>
      <c r="H185" s="45"/>
      <c r="I185" s="45"/>
      <c r="J185" s="45"/>
      <c r="K185" s="45"/>
    </row>
    <row r="186" spans="2:11" x14ac:dyDescent="0.35">
      <c r="B186" s="45"/>
      <c r="C186" s="45"/>
      <c r="D186" s="45"/>
      <c r="E186" s="45"/>
      <c r="F186" s="45"/>
      <c r="G186" s="45"/>
      <c r="H186" s="45"/>
      <c r="I186" s="45"/>
      <c r="J186" s="45"/>
      <c r="K186" s="45"/>
    </row>
    <row r="187" spans="2:11" x14ac:dyDescent="0.35">
      <c r="B187" s="45"/>
      <c r="C187" s="45"/>
      <c r="D187" s="45"/>
      <c r="E187" s="45"/>
      <c r="F187" s="45"/>
      <c r="G187" s="45"/>
      <c r="H187" s="45"/>
      <c r="I187" s="45"/>
      <c r="J187" s="45"/>
      <c r="K187" s="45"/>
    </row>
    <row r="188" spans="2:11" x14ac:dyDescent="0.35">
      <c r="B188" s="45"/>
      <c r="C188" s="45"/>
      <c r="D188" s="45"/>
      <c r="E188" s="45"/>
      <c r="F188" s="45"/>
      <c r="G188" s="45"/>
      <c r="H188" s="45"/>
      <c r="I188" s="45"/>
      <c r="J188" s="45"/>
      <c r="K188" s="45"/>
    </row>
    <row r="189" spans="2:11" x14ac:dyDescent="0.35">
      <c r="B189" s="45"/>
      <c r="C189" s="45"/>
      <c r="D189" s="45"/>
      <c r="E189" s="45"/>
      <c r="F189" s="45"/>
      <c r="G189" s="45"/>
      <c r="H189" s="45"/>
      <c r="I189" s="45"/>
      <c r="J189" s="45"/>
      <c r="K189" s="45"/>
    </row>
    <row r="190" spans="2:11" x14ac:dyDescent="0.35">
      <c r="B190" s="45"/>
      <c r="C190" s="45"/>
      <c r="D190" s="45"/>
      <c r="E190" s="45"/>
      <c r="F190" s="45"/>
      <c r="G190" s="45"/>
      <c r="H190" s="45"/>
      <c r="I190" s="45"/>
      <c r="J190" s="45"/>
      <c r="K190" s="45"/>
    </row>
    <row r="191" spans="2:11" x14ac:dyDescent="0.35">
      <c r="B191" s="45"/>
      <c r="C191" s="45"/>
      <c r="D191" s="45"/>
      <c r="E191" s="45"/>
      <c r="F191" s="45"/>
      <c r="G191" s="45"/>
      <c r="H191" s="45"/>
      <c r="I191" s="45"/>
      <c r="J191" s="45"/>
      <c r="K191" s="45"/>
    </row>
    <row r="192" spans="2:11" x14ac:dyDescent="0.35">
      <c r="B192" s="45"/>
      <c r="C192" s="45"/>
      <c r="D192" s="45"/>
      <c r="E192" s="45"/>
      <c r="F192" s="45"/>
      <c r="G192" s="45"/>
      <c r="H192" s="45"/>
      <c r="I192" s="45"/>
      <c r="J192" s="45"/>
      <c r="K192" s="45"/>
    </row>
    <row r="193" spans="2:11" x14ac:dyDescent="0.35">
      <c r="B193" s="45"/>
      <c r="C193" s="45"/>
      <c r="D193" s="45"/>
      <c r="E193" s="45"/>
      <c r="F193" s="45"/>
      <c r="G193" s="45"/>
      <c r="H193" s="45"/>
      <c r="I193" s="45"/>
      <c r="J193" s="45"/>
      <c r="K193" s="45"/>
    </row>
    <row r="194" spans="2:11" x14ac:dyDescent="0.35">
      <c r="B194" s="45"/>
      <c r="C194" s="45"/>
      <c r="D194" s="45"/>
      <c r="E194" s="45"/>
      <c r="F194" s="45"/>
      <c r="G194" s="45"/>
      <c r="H194" s="45"/>
      <c r="I194" s="45"/>
      <c r="J194" s="45"/>
      <c r="K194" s="45"/>
    </row>
    <row r="195" spans="2:11" x14ac:dyDescent="0.35">
      <c r="B195" s="45"/>
      <c r="C195" s="45"/>
      <c r="D195" s="45"/>
      <c r="E195" s="45"/>
      <c r="F195" s="45"/>
      <c r="G195" s="45"/>
      <c r="H195" s="45"/>
      <c r="I195" s="45"/>
      <c r="J195" s="45"/>
      <c r="K195" s="45"/>
    </row>
    <row r="196" spans="2:11" x14ac:dyDescent="0.35">
      <c r="B196" s="45"/>
      <c r="C196" s="45"/>
      <c r="D196" s="45"/>
      <c r="E196" s="45"/>
      <c r="F196" s="45"/>
      <c r="G196" s="45"/>
      <c r="H196" s="45"/>
      <c r="I196" s="45"/>
      <c r="J196" s="45"/>
      <c r="K196" s="45"/>
    </row>
    <row r="197" spans="2:11" x14ac:dyDescent="0.35">
      <c r="B197" s="45"/>
      <c r="C197" s="45"/>
      <c r="D197" s="45"/>
      <c r="E197" s="45"/>
      <c r="F197" s="45"/>
      <c r="G197" s="45"/>
      <c r="H197" s="45"/>
      <c r="I197" s="45"/>
      <c r="J197" s="45"/>
      <c r="K197" s="45"/>
    </row>
    <row r="198" spans="2:11" x14ac:dyDescent="0.35">
      <c r="B198" s="45"/>
      <c r="C198" s="45"/>
      <c r="D198" s="45"/>
      <c r="E198" s="45"/>
      <c r="F198" s="45"/>
      <c r="G198" s="45"/>
      <c r="H198" s="45"/>
      <c r="I198" s="45"/>
      <c r="J198" s="45"/>
      <c r="K198" s="45"/>
    </row>
    <row r="199" spans="2:11" x14ac:dyDescent="0.35">
      <c r="B199" s="45"/>
      <c r="C199" s="45"/>
      <c r="D199" s="45"/>
      <c r="E199" s="45"/>
      <c r="F199" s="45"/>
      <c r="G199" s="45"/>
      <c r="H199" s="45"/>
      <c r="I199" s="45"/>
      <c r="J199" s="45"/>
      <c r="K199" s="45"/>
    </row>
    <row r="200" spans="2:11" x14ac:dyDescent="0.35">
      <c r="B200" s="45"/>
      <c r="C200" s="45"/>
      <c r="D200" s="45"/>
      <c r="E200" s="45"/>
      <c r="F200" s="45"/>
      <c r="G200" s="45"/>
      <c r="H200" s="45"/>
      <c r="I200" s="45"/>
      <c r="J200" s="45"/>
      <c r="K200" s="45"/>
    </row>
    <row r="201" spans="2:11" x14ac:dyDescent="0.35">
      <c r="B201" s="45"/>
      <c r="C201" s="45"/>
      <c r="D201" s="45"/>
      <c r="E201" s="45"/>
      <c r="F201" s="45"/>
      <c r="G201" s="45"/>
      <c r="H201" s="45"/>
      <c r="I201" s="45"/>
      <c r="J201" s="45"/>
      <c r="K201" s="45"/>
    </row>
    <row r="202" spans="2:11" x14ac:dyDescent="0.35">
      <c r="B202" s="45"/>
      <c r="C202" s="45"/>
      <c r="D202" s="45"/>
      <c r="E202" s="45"/>
      <c r="F202" s="45"/>
      <c r="G202" s="45"/>
      <c r="H202" s="45"/>
      <c r="I202" s="45"/>
      <c r="J202" s="45"/>
      <c r="K202" s="45"/>
    </row>
    <row r="203" spans="2:11" x14ac:dyDescent="0.35">
      <c r="B203" s="45"/>
      <c r="C203" s="45"/>
      <c r="D203" s="45"/>
      <c r="E203" s="45"/>
      <c r="F203" s="45"/>
      <c r="G203" s="45"/>
      <c r="H203" s="45"/>
      <c r="I203" s="45"/>
      <c r="J203" s="45"/>
      <c r="K203" s="45"/>
    </row>
    <row r="204" spans="2:11" x14ac:dyDescent="0.35">
      <c r="B204" s="45"/>
      <c r="C204" s="45"/>
      <c r="D204" s="45"/>
      <c r="E204" s="45"/>
      <c r="F204" s="45"/>
      <c r="G204" s="45"/>
      <c r="H204" s="45"/>
      <c r="I204" s="45"/>
      <c r="J204" s="45"/>
      <c r="K204" s="45"/>
    </row>
    <row r="205" spans="2:11" x14ac:dyDescent="0.35">
      <c r="B205" s="45"/>
      <c r="C205" s="45"/>
      <c r="D205" s="45"/>
      <c r="E205" s="45"/>
      <c r="F205" s="45"/>
      <c r="G205" s="45"/>
      <c r="H205" s="45"/>
      <c r="I205" s="45"/>
      <c r="J205" s="45"/>
      <c r="K205" s="45"/>
    </row>
    <row r="206" spans="2:11" x14ac:dyDescent="0.35">
      <c r="B206" s="45"/>
      <c r="C206" s="45"/>
      <c r="D206" s="45"/>
      <c r="E206" s="45"/>
      <c r="F206" s="45"/>
      <c r="G206" s="45"/>
      <c r="H206" s="45"/>
      <c r="I206" s="45"/>
      <c r="J206" s="45"/>
      <c r="K206" s="45"/>
    </row>
    <row r="207" spans="2:11" x14ac:dyDescent="0.35">
      <c r="B207" s="45"/>
      <c r="C207" s="45"/>
      <c r="D207" s="45"/>
      <c r="E207" s="45"/>
      <c r="F207" s="45"/>
      <c r="G207" s="45"/>
      <c r="H207" s="45"/>
      <c r="I207" s="45"/>
      <c r="J207" s="45"/>
      <c r="K207" s="45"/>
    </row>
    <row r="208" spans="2:11" x14ac:dyDescent="0.35">
      <c r="B208" s="45"/>
      <c r="C208" s="45"/>
      <c r="D208" s="45"/>
      <c r="E208" s="45"/>
      <c r="F208" s="45"/>
      <c r="G208" s="45"/>
      <c r="H208" s="45"/>
      <c r="I208" s="45"/>
      <c r="J208" s="45"/>
      <c r="K208" s="45"/>
    </row>
    <row r="209" spans="2:11" x14ac:dyDescent="0.35">
      <c r="B209" s="45"/>
      <c r="C209" s="45"/>
      <c r="D209" s="45"/>
      <c r="E209" s="45"/>
      <c r="F209" s="45"/>
      <c r="G209" s="45"/>
      <c r="H209" s="45"/>
      <c r="I209" s="45"/>
      <c r="J209" s="45"/>
      <c r="K209" s="45"/>
    </row>
    <row r="210" spans="2:11" x14ac:dyDescent="0.35">
      <c r="B210" s="45"/>
      <c r="C210" s="45"/>
      <c r="D210" s="45"/>
      <c r="E210" s="45"/>
      <c r="F210" s="45"/>
      <c r="G210" s="45"/>
      <c r="H210" s="45"/>
      <c r="I210" s="45"/>
      <c r="J210" s="45"/>
      <c r="K210" s="45"/>
    </row>
    <row r="211" spans="2:11" x14ac:dyDescent="0.35">
      <c r="B211" s="45"/>
      <c r="C211" s="45"/>
      <c r="D211" s="45"/>
      <c r="E211" s="45"/>
      <c r="F211" s="45"/>
      <c r="G211" s="45"/>
      <c r="H211" s="45"/>
      <c r="I211" s="45"/>
      <c r="J211" s="45"/>
      <c r="K211" s="45"/>
    </row>
    <row r="212" spans="2:11" x14ac:dyDescent="0.35">
      <c r="B212" s="45"/>
      <c r="C212" s="45"/>
      <c r="D212" s="45"/>
      <c r="E212" s="45"/>
      <c r="F212" s="45"/>
      <c r="G212" s="45"/>
      <c r="H212" s="45"/>
      <c r="I212" s="45"/>
      <c r="J212" s="45"/>
      <c r="K212" s="45"/>
    </row>
    <row r="213" spans="2:11" x14ac:dyDescent="0.35">
      <c r="B213" s="45"/>
      <c r="C213" s="45"/>
      <c r="D213" s="45"/>
      <c r="E213" s="45"/>
      <c r="F213" s="45"/>
      <c r="G213" s="45"/>
      <c r="H213" s="45"/>
      <c r="I213" s="45"/>
      <c r="J213" s="45"/>
      <c r="K213" s="45"/>
    </row>
    <row r="214" spans="2:11" x14ac:dyDescent="0.35">
      <c r="B214" s="45"/>
      <c r="C214" s="45"/>
      <c r="D214" s="45"/>
      <c r="E214" s="45"/>
      <c r="F214" s="45"/>
      <c r="G214" s="45"/>
      <c r="H214" s="45"/>
      <c r="I214" s="45"/>
      <c r="J214" s="45"/>
      <c r="K214" s="45"/>
    </row>
    <row r="215" spans="2:11" x14ac:dyDescent="0.35">
      <c r="B215" s="45"/>
      <c r="C215" s="45"/>
      <c r="D215" s="45"/>
      <c r="E215" s="45"/>
      <c r="F215" s="45"/>
      <c r="G215" s="45"/>
      <c r="H215" s="45"/>
      <c r="I215" s="45"/>
      <c r="J215" s="45"/>
      <c r="K215" s="45"/>
    </row>
    <row r="216" spans="2:11" x14ac:dyDescent="0.35">
      <c r="B216" s="45"/>
      <c r="C216" s="45"/>
      <c r="D216" s="45"/>
      <c r="E216" s="45"/>
      <c r="F216" s="45"/>
      <c r="G216" s="45"/>
      <c r="H216" s="45"/>
      <c r="I216" s="45"/>
      <c r="J216" s="45"/>
      <c r="K216" s="45"/>
    </row>
    <row r="217" spans="2:11" x14ac:dyDescent="0.35">
      <c r="B217" s="45"/>
      <c r="C217" s="45"/>
      <c r="D217" s="45"/>
      <c r="E217" s="45"/>
      <c r="F217" s="45"/>
      <c r="G217" s="45"/>
      <c r="H217" s="45"/>
      <c r="I217" s="45"/>
      <c r="J217" s="45"/>
      <c r="K217" s="45"/>
    </row>
    <row r="218" spans="2:11" x14ac:dyDescent="0.35">
      <c r="B218" s="45"/>
      <c r="C218" s="45"/>
      <c r="D218" s="45"/>
      <c r="E218" s="45"/>
      <c r="F218" s="45"/>
      <c r="G218" s="45"/>
      <c r="H218" s="45"/>
      <c r="I218" s="45"/>
      <c r="J218" s="45"/>
      <c r="K218" s="45"/>
    </row>
    <row r="219" spans="2:11" x14ac:dyDescent="0.35">
      <c r="B219" s="45"/>
      <c r="C219" s="45"/>
      <c r="D219" s="45"/>
      <c r="E219" s="45"/>
      <c r="F219" s="45"/>
      <c r="G219" s="45"/>
      <c r="H219" s="45"/>
      <c r="I219" s="45"/>
      <c r="J219" s="45"/>
      <c r="K219" s="45"/>
    </row>
    <row r="220" spans="2:11" x14ac:dyDescent="0.35">
      <c r="B220" s="45"/>
      <c r="C220" s="45"/>
      <c r="D220" s="45"/>
      <c r="E220" s="45"/>
      <c r="F220" s="45"/>
      <c r="G220" s="45"/>
      <c r="H220" s="45"/>
      <c r="I220" s="45"/>
      <c r="J220" s="45"/>
      <c r="K220" s="45"/>
    </row>
    <row r="221" spans="2:11" x14ac:dyDescent="0.35">
      <c r="B221" s="45"/>
      <c r="C221" s="45"/>
      <c r="D221" s="45"/>
      <c r="E221" s="45"/>
      <c r="F221" s="45"/>
      <c r="G221" s="45"/>
      <c r="H221" s="45"/>
      <c r="I221" s="45"/>
      <c r="J221" s="45"/>
      <c r="K221" s="45"/>
    </row>
    <row r="222" spans="2:11" x14ac:dyDescent="0.35">
      <c r="B222" s="45"/>
      <c r="C222" s="45"/>
      <c r="D222" s="45"/>
      <c r="E222" s="45"/>
      <c r="F222" s="45"/>
      <c r="G222" s="45"/>
      <c r="H222" s="45"/>
      <c r="I222" s="45"/>
      <c r="J222" s="45"/>
      <c r="K222" s="45"/>
    </row>
    <row r="223" spans="2:11" x14ac:dyDescent="0.35">
      <c r="B223" s="45"/>
      <c r="C223" s="45"/>
      <c r="D223" s="45"/>
      <c r="E223" s="45"/>
      <c r="F223" s="45"/>
      <c r="G223" s="45"/>
      <c r="H223" s="45"/>
      <c r="I223" s="45"/>
      <c r="J223" s="45"/>
      <c r="K223" s="45"/>
    </row>
    <row r="224" spans="2:11" x14ac:dyDescent="0.35">
      <c r="B224" s="45"/>
      <c r="C224" s="45"/>
      <c r="D224" s="45"/>
      <c r="E224" s="45"/>
      <c r="F224" s="45"/>
      <c r="G224" s="45"/>
      <c r="H224" s="45"/>
      <c r="I224" s="45"/>
      <c r="J224" s="45"/>
      <c r="K224" s="45"/>
    </row>
    <row r="225" spans="2:11" x14ac:dyDescent="0.35">
      <c r="B225" s="45"/>
      <c r="C225" s="45"/>
      <c r="D225" s="45"/>
      <c r="E225" s="45"/>
      <c r="F225" s="45"/>
      <c r="G225" s="45"/>
      <c r="H225" s="45"/>
      <c r="I225" s="45"/>
      <c r="J225" s="45"/>
      <c r="K225" s="45"/>
    </row>
    <row r="226" spans="2:11" x14ac:dyDescent="0.35">
      <c r="B226" s="45"/>
      <c r="C226" s="45"/>
      <c r="D226" s="45"/>
      <c r="E226" s="45"/>
      <c r="F226" s="45"/>
      <c r="G226" s="45"/>
      <c r="H226" s="45"/>
      <c r="I226" s="45"/>
      <c r="J226" s="45"/>
      <c r="K226" s="45"/>
    </row>
    <row r="227" spans="2:11" x14ac:dyDescent="0.35">
      <c r="B227" s="45"/>
      <c r="C227" s="45"/>
      <c r="D227" s="45"/>
      <c r="E227" s="45"/>
      <c r="F227" s="45"/>
      <c r="G227" s="45"/>
      <c r="H227" s="45"/>
      <c r="I227" s="45"/>
      <c r="J227" s="45"/>
      <c r="K227" s="45"/>
    </row>
    <row r="228" spans="2:11" x14ac:dyDescent="0.35">
      <c r="B228" s="45"/>
      <c r="C228" s="45"/>
      <c r="D228" s="45"/>
      <c r="E228" s="45"/>
      <c r="F228" s="45"/>
      <c r="G228" s="45"/>
      <c r="H228" s="45"/>
      <c r="I228" s="45"/>
      <c r="J228" s="45"/>
      <c r="K228" s="45"/>
    </row>
    <row r="229" spans="2:11" x14ac:dyDescent="0.35">
      <c r="B229" s="45"/>
      <c r="C229" s="45"/>
      <c r="D229" s="45"/>
      <c r="E229" s="45"/>
      <c r="F229" s="45"/>
      <c r="G229" s="45"/>
      <c r="H229" s="45"/>
      <c r="I229" s="45"/>
      <c r="J229" s="45"/>
      <c r="K229" s="45"/>
    </row>
    <row r="230" spans="2:11" x14ac:dyDescent="0.35">
      <c r="B230" s="45"/>
      <c r="C230" s="45"/>
      <c r="D230" s="45"/>
      <c r="E230" s="45"/>
      <c r="F230" s="45"/>
      <c r="G230" s="45"/>
      <c r="H230" s="45"/>
      <c r="I230" s="45"/>
      <c r="J230" s="45"/>
      <c r="K230" s="45"/>
    </row>
    <row r="231" spans="2:11" x14ac:dyDescent="0.35">
      <c r="B231" s="45"/>
      <c r="C231" s="45"/>
      <c r="D231" s="45"/>
      <c r="E231" s="45"/>
      <c r="F231" s="45"/>
      <c r="G231" s="45"/>
      <c r="H231" s="45"/>
      <c r="I231" s="45"/>
      <c r="J231" s="45"/>
      <c r="K231" s="45"/>
    </row>
    <row r="232" spans="2:11" x14ac:dyDescent="0.35">
      <c r="B232" s="45"/>
      <c r="C232" s="45"/>
      <c r="D232" s="45"/>
      <c r="E232" s="45"/>
      <c r="F232" s="45"/>
      <c r="G232" s="45"/>
      <c r="H232" s="45"/>
      <c r="I232" s="45"/>
      <c r="J232" s="45"/>
      <c r="K232" s="45"/>
    </row>
    <row r="233" spans="2:11" x14ac:dyDescent="0.35">
      <c r="B233" s="45"/>
      <c r="C233" s="45"/>
      <c r="D233" s="45"/>
      <c r="E233" s="45"/>
      <c r="F233" s="45"/>
      <c r="G233" s="45"/>
      <c r="H233" s="45"/>
      <c r="I233" s="45"/>
      <c r="J233" s="45"/>
      <c r="K233" s="45"/>
    </row>
    <row r="234" spans="2:11" x14ac:dyDescent="0.35">
      <c r="B234" s="45"/>
      <c r="C234" s="45"/>
      <c r="D234" s="45"/>
      <c r="E234" s="45"/>
      <c r="F234" s="45"/>
      <c r="G234" s="45"/>
      <c r="H234" s="45"/>
      <c r="I234" s="45"/>
      <c r="J234" s="45"/>
      <c r="K234" s="45"/>
    </row>
    <row r="235" spans="2:11" x14ac:dyDescent="0.35">
      <c r="B235" s="45"/>
      <c r="C235" s="45"/>
      <c r="D235" s="45"/>
      <c r="E235" s="45"/>
      <c r="F235" s="45"/>
      <c r="G235" s="45"/>
      <c r="H235" s="45"/>
      <c r="I235" s="45"/>
      <c r="J235" s="45"/>
      <c r="K235" s="45"/>
    </row>
    <row r="236" spans="2:11" x14ac:dyDescent="0.35">
      <c r="B236" s="45"/>
      <c r="C236" s="45"/>
      <c r="D236" s="45"/>
      <c r="E236" s="45"/>
      <c r="F236" s="45"/>
      <c r="G236" s="45"/>
      <c r="H236" s="45"/>
      <c r="I236" s="45"/>
      <c r="J236" s="45"/>
      <c r="K236" s="45"/>
    </row>
    <row r="237" spans="2:11" x14ac:dyDescent="0.35">
      <c r="B237" s="45"/>
      <c r="C237" s="45"/>
      <c r="D237" s="45"/>
      <c r="E237" s="45"/>
      <c r="F237" s="45"/>
      <c r="G237" s="45"/>
      <c r="H237" s="45"/>
      <c r="I237" s="45"/>
      <c r="J237" s="45"/>
      <c r="K237" s="45"/>
    </row>
    <row r="238" spans="2:11" x14ac:dyDescent="0.35">
      <c r="B238" s="45"/>
      <c r="C238" s="45"/>
      <c r="D238" s="45"/>
      <c r="E238" s="45"/>
      <c r="F238" s="45"/>
      <c r="G238" s="45"/>
      <c r="H238" s="45"/>
      <c r="I238" s="45"/>
      <c r="J238" s="45"/>
      <c r="K238" s="45"/>
    </row>
    <row r="239" spans="2:11" x14ac:dyDescent="0.35">
      <c r="B239" s="45"/>
      <c r="C239" s="45"/>
      <c r="D239" s="45"/>
      <c r="E239" s="45"/>
      <c r="F239" s="45"/>
      <c r="G239" s="45"/>
      <c r="H239" s="45"/>
      <c r="I239" s="45"/>
      <c r="J239" s="45"/>
      <c r="K239" s="45"/>
    </row>
    <row r="240" spans="2:11" x14ac:dyDescent="0.35">
      <c r="B240" s="45"/>
      <c r="C240" s="45"/>
      <c r="D240" s="45"/>
      <c r="E240" s="45"/>
      <c r="F240" s="45"/>
      <c r="G240" s="45"/>
      <c r="H240" s="45"/>
      <c r="I240" s="45"/>
      <c r="J240" s="45"/>
      <c r="K240" s="45"/>
    </row>
    <row r="241" spans="2:11" x14ac:dyDescent="0.35">
      <c r="B241" s="45"/>
      <c r="C241" s="45"/>
      <c r="D241" s="45"/>
      <c r="E241" s="45"/>
      <c r="F241" s="45"/>
      <c r="G241" s="45"/>
      <c r="H241" s="45"/>
      <c r="I241" s="45"/>
      <c r="J241" s="45"/>
      <c r="K241" s="45"/>
    </row>
    <row r="242" spans="2:11" x14ac:dyDescent="0.35">
      <c r="B242" s="45"/>
      <c r="C242" s="45"/>
      <c r="D242" s="45"/>
      <c r="E242" s="45"/>
      <c r="F242" s="45"/>
      <c r="G242" s="45"/>
      <c r="H242" s="45"/>
      <c r="I242" s="45"/>
      <c r="J242" s="45"/>
      <c r="K242" s="45"/>
    </row>
    <row r="243" spans="2:11" x14ac:dyDescent="0.35">
      <c r="B243" s="45"/>
      <c r="C243" s="45"/>
      <c r="D243" s="45"/>
      <c r="E243" s="45"/>
      <c r="F243" s="45"/>
      <c r="G243" s="45"/>
      <c r="H243" s="45"/>
      <c r="I243" s="45"/>
      <c r="J243" s="45"/>
      <c r="K243" s="45"/>
    </row>
    <row r="244" spans="2:11" x14ac:dyDescent="0.35">
      <c r="B244" s="45"/>
      <c r="C244" s="45"/>
      <c r="D244" s="45"/>
      <c r="E244" s="45"/>
      <c r="F244" s="45"/>
      <c r="G244" s="45"/>
      <c r="H244" s="45"/>
      <c r="I244" s="45"/>
      <c r="J244" s="45"/>
      <c r="K244" s="45"/>
    </row>
    <row r="245" spans="2:11" x14ac:dyDescent="0.35">
      <c r="B245" s="45"/>
      <c r="C245" s="45"/>
      <c r="D245" s="45"/>
      <c r="E245" s="45"/>
      <c r="F245" s="45"/>
      <c r="G245" s="45"/>
      <c r="H245" s="45"/>
      <c r="I245" s="45"/>
      <c r="J245" s="45"/>
      <c r="K245" s="45"/>
    </row>
    <row r="246" spans="2:11" x14ac:dyDescent="0.35">
      <c r="B246" s="45"/>
      <c r="C246" s="45"/>
      <c r="D246" s="45"/>
      <c r="E246" s="45"/>
      <c r="F246" s="45"/>
      <c r="G246" s="45"/>
      <c r="H246" s="45"/>
      <c r="I246" s="45"/>
      <c r="J246" s="45"/>
      <c r="K246" s="45"/>
    </row>
    <row r="247" spans="2:11" x14ac:dyDescent="0.35">
      <c r="B247" s="45"/>
      <c r="C247" s="45"/>
      <c r="D247" s="45"/>
      <c r="E247" s="45"/>
      <c r="F247" s="45"/>
      <c r="G247" s="45"/>
      <c r="H247" s="45"/>
      <c r="I247" s="45"/>
      <c r="J247" s="45"/>
      <c r="K247" s="45"/>
    </row>
    <row r="248" spans="2:11" x14ac:dyDescent="0.35">
      <c r="B248" s="45"/>
      <c r="C248" s="45"/>
      <c r="D248" s="45"/>
      <c r="E248" s="45"/>
      <c r="F248" s="45"/>
      <c r="G248" s="45"/>
      <c r="H248" s="45"/>
      <c r="I248" s="45"/>
      <c r="J248" s="45"/>
      <c r="K248" s="45"/>
    </row>
    <row r="249" spans="2:11" x14ac:dyDescent="0.35">
      <c r="B249" s="45"/>
      <c r="C249" s="45"/>
      <c r="D249" s="45"/>
      <c r="E249" s="45"/>
      <c r="F249" s="45"/>
      <c r="G249" s="45"/>
      <c r="H249" s="45"/>
      <c r="I249" s="45"/>
      <c r="J249" s="45"/>
      <c r="K249" s="45"/>
    </row>
    <row r="250" spans="2:11" x14ac:dyDescent="0.35">
      <c r="B250" s="45"/>
      <c r="C250" s="45"/>
      <c r="D250" s="45"/>
      <c r="E250" s="45"/>
      <c r="F250" s="45"/>
      <c r="G250" s="45"/>
      <c r="H250" s="45"/>
      <c r="I250" s="45"/>
      <c r="J250" s="45"/>
      <c r="K250" s="45"/>
    </row>
    <row r="251" spans="2:11" x14ac:dyDescent="0.35">
      <c r="B251" s="45"/>
      <c r="C251" s="45"/>
      <c r="D251" s="45"/>
      <c r="E251" s="45"/>
      <c r="F251" s="45"/>
      <c r="G251" s="45"/>
      <c r="H251" s="45"/>
      <c r="I251" s="45"/>
      <c r="J251" s="45"/>
      <c r="K251" s="45"/>
    </row>
    <row r="252" spans="2:11" x14ac:dyDescent="0.35">
      <c r="B252" s="45"/>
      <c r="C252" s="45"/>
      <c r="D252" s="45"/>
      <c r="E252" s="45"/>
      <c r="F252" s="45"/>
      <c r="G252" s="45"/>
      <c r="H252" s="45"/>
      <c r="I252" s="45"/>
      <c r="J252" s="45"/>
      <c r="K252" s="45"/>
    </row>
    <row r="253" spans="2:11" x14ac:dyDescent="0.35">
      <c r="B253" s="45"/>
      <c r="C253" s="45"/>
      <c r="D253" s="45"/>
      <c r="E253" s="45"/>
      <c r="F253" s="45"/>
      <c r="G253" s="45"/>
      <c r="H253" s="45"/>
      <c r="I253" s="45"/>
      <c r="J253" s="45"/>
      <c r="K253" s="45"/>
    </row>
    <row r="254" spans="2:11" x14ac:dyDescent="0.35">
      <c r="B254" s="45"/>
      <c r="C254" s="45"/>
      <c r="D254" s="45"/>
      <c r="E254" s="45"/>
      <c r="F254" s="45"/>
      <c r="G254" s="45"/>
      <c r="H254" s="45"/>
      <c r="I254" s="45"/>
      <c r="J254" s="45"/>
      <c r="K254" s="45"/>
    </row>
    <row r="255" spans="2:11" x14ac:dyDescent="0.35">
      <c r="B255" s="45"/>
      <c r="C255" s="45"/>
      <c r="D255" s="45"/>
      <c r="E255" s="45"/>
      <c r="F255" s="45"/>
      <c r="G255" s="45"/>
      <c r="H255" s="45"/>
      <c r="I255" s="45"/>
      <c r="J255" s="45"/>
      <c r="K255" s="45"/>
    </row>
    <row r="256" spans="2:11" x14ac:dyDescent="0.35">
      <c r="B256" s="45"/>
      <c r="C256" s="45"/>
      <c r="D256" s="45"/>
      <c r="E256" s="45"/>
      <c r="F256" s="45"/>
      <c r="G256" s="45"/>
      <c r="H256" s="45"/>
      <c r="I256" s="45"/>
      <c r="J256" s="45"/>
      <c r="K256" s="45"/>
    </row>
    <row r="257" spans="2:11" x14ac:dyDescent="0.35">
      <c r="B257" s="45"/>
      <c r="C257" s="45"/>
      <c r="D257" s="45"/>
      <c r="E257" s="45"/>
      <c r="F257" s="45"/>
      <c r="G257" s="45"/>
      <c r="H257" s="45"/>
      <c r="I257" s="45"/>
      <c r="J257" s="45"/>
      <c r="K257" s="45"/>
    </row>
    <row r="258" spans="2:11" x14ac:dyDescent="0.35">
      <c r="B258" s="45"/>
      <c r="C258" s="45"/>
      <c r="D258" s="45"/>
      <c r="E258" s="45"/>
      <c r="F258" s="45"/>
      <c r="G258" s="45"/>
      <c r="H258" s="45"/>
      <c r="I258" s="45"/>
      <c r="J258" s="45"/>
      <c r="K258" s="45"/>
    </row>
    <row r="259" spans="2:11" x14ac:dyDescent="0.35">
      <c r="B259" s="45"/>
      <c r="C259" s="45"/>
      <c r="D259" s="45"/>
      <c r="E259" s="45"/>
      <c r="F259" s="45"/>
      <c r="G259" s="45"/>
      <c r="H259" s="45"/>
      <c r="I259" s="45"/>
      <c r="J259" s="45"/>
      <c r="K259" s="45"/>
    </row>
    <row r="260" spans="2:11" x14ac:dyDescent="0.35">
      <c r="B260" s="45"/>
      <c r="C260" s="45"/>
      <c r="D260" s="45"/>
      <c r="E260" s="45"/>
      <c r="F260" s="45"/>
      <c r="G260" s="45"/>
      <c r="H260" s="45"/>
      <c r="I260" s="45"/>
      <c r="J260" s="45"/>
      <c r="K260" s="45"/>
    </row>
    <row r="261" spans="2:11" x14ac:dyDescent="0.35">
      <c r="B261" s="45"/>
      <c r="C261" s="45"/>
      <c r="D261" s="45"/>
      <c r="E261" s="45"/>
      <c r="F261" s="45"/>
      <c r="G261" s="45"/>
      <c r="H261" s="45"/>
      <c r="I261" s="45"/>
      <c r="J261" s="45"/>
      <c r="K261" s="45"/>
    </row>
    <row r="262" spans="2:11" x14ac:dyDescent="0.35">
      <c r="B262" s="45"/>
      <c r="C262" s="45"/>
      <c r="D262" s="45"/>
      <c r="E262" s="45"/>
      <c r="F262" s="45"/>
      <c r="G262" s="45"/>
      <c r="H262" s="45"/>
      <c r="I262" s="45"/>
      <c r="J262" s="45"/>
      <c r="K262" s="45"/>
    </row>
    <row r="263" spans="2:11" x14ac:dyDescent="0.35">
      <c r="B263" s="45"/>
      <c r="C263" s="45"/>
      <c r="D263" s="45"/>
      <c r="E263" s="45"/>
      <c r="F263" s="45"/>
      <c r="G263" s="45"/>
      <c r="H263" s="45"/>
      <c r="I263" s="45"/>
      <c r="J263" s="45"/>
      <c r="K263" s="45"/>
    </row>
    <row r="264" spans="2:11" x14ac:dyDescent="0.35">
      <c r="B264" s="45"/>
      <c r="C264" s="45"/>
      <c r="D264" s="45"/>
      <c r="E264" s="45"/>
      <c r="F264" s="45"/>
      <c r="G264" s="45"/>
      <c r="H264" s="45"/>
      <c r="I264" s="45"/>
      <c r="J264" s="45"/>
      <c r="K264" s="45"/>
    </row>
    <row r="265" spans="2:11" x14ac:dyDescent="0.35">
      <c r="B265" s="45"/>
      <c r="C265" s="45"/>
      <c r="D265" s="45"/>
      <c r="E265" s="45"/>
      <c r="F265" s="45"/>
      <c r="G265" s="45"/>
      <c r="H265" s="45"/>
      <c r="I265" s="45"/>
      <c r="J265" s="45"/>
      <c r="K265" s="45"/>
    </row>
    <row r="266" spans="2:11" x14ac:dyDescent="0.35">
      <c r="B266" s="45"/>
      <c r="C266" s="45"/>
      <c r="D266" s="45"/>
      <c r="E266" s="45"/>
      <c r="F266" s="45"/>
      <c r="G266" s="45"/>
      <c r="H266" s="45"/>
      <c r="I266" s="45"/>
      <c r="J266" s="45"/>
      <c r="K266" s="45"/>
    </row>
    <row r="267" spans="2:11" x14ac:dyDescent="0.35">
      <c r="B267" s="45"/>
      <c r="C267" s="45"/>
      <c r="D267" s="45"/>
      <c r="E267" s="45"/>
      <c r="F267" s="45"/>
      <c r="G267" s="45"/>
      <c r="H267" s="45"/>
      <c r="I267" s="45"/>
      <c r="J267" s="45"/>
      <c r="K267" s="45"/>
    </row>
    <row r="268" spans="2:11" x14ac:dyDescent="0.35">
      <c r="B268" s="45"/>
      <c r="C268" s="45"/>
      <c r="D268" s="45"/>
      <c r="E268" s="45"/>
      <c r="F268" s="45"/>
      <c r="G268" s="45"/>
      <c r="H268" s="45"/>
      <c r="I268" s="45"/>
      <c r="J268" s="45"/>
      <c r="K268" s="45"/>
    </row>
    <row r="269" spans="2:11" x14ac:dyDescent="0.35">
      <c r="B269" s="45"/>
      <c r="C269" s="45"/>
      <c r="D269" s="45"/>
      <c r="E269" s="45"/>
      <c r="F269" s="45"/>
      <c r="G269" s="45"/>
      <c r="H269" s="45"/>
      <c r="I269" s="45"/>
      <c r="J269" s="45"/>
      <c r="K269" s="45"/>
    </row>
    <row r="270" spans="2:11" x14ac:dyDescent="0.35">
      <c r="B270" s="45"/>
      <c r="C270" s="45"/>
      <c r="D270" s="45"/>
      <c r="E270" s="45"/>
      <c r="F270" s="45"/>
      <c r="G270" s="45"/>
      <c r="H270" s="45"/>
      <c r="I270" s="45"/>
      <c r="J270" s="45"/>
      <c r="K270" s="45"/>
    </row>
    <row r="271" spans="2:11" x14ac:dyDescent="0.35">
      <c r="B271" s="45"/>
      <c r="C271" s="45"/>
      <c r="D271" s="45"/>
      <c r="E271" s="45"/>
      <c r="F271" s="45"/>
      <c r="G271" s="45"/>
      <c r="H271" s="45"/>
      <c r="I271" s="45"/>
      <c r="J271" s="45"/>
      <c r="K271" s="45"/>
    </row>
    <row r="272" spans="2:11" x14ac:dyDescent="0.35">
      <c r="B272" s="45"/>
      <c r="C272" s="45"/>
      <c r="D272" s="45"/>
      <c r="E272" s="45"/>
      <c r="F272" s="45"/>
      <c r="G272" s="45"/>
      <c r="H272" s="45"/>
      <c r="I272" s="45"/>
      <c r="J272" s="45"/>
      <c r="K272" s="45"/>
    </row>
    <row r="273" spans="2:11" x14ac:dyDescent="0.35">
      <c r="B273" s="45"/>
      <c r="C273" s="45"/>
      <c r="D273" s="45"/>
      <c r="E273" s="45"/>
      <c r="F273" s="45"/>
      <c r="G273" s="45"/>
      <c r="H273" s="45"/>
      <c r="I273" s="45"/>
      <c r="J273" s="45"/>
      <c r="K273" s="45"/>
    </row>
    <row r="274" spans="2:11" x14ac:dyDescent="0.35">
      <c r="B274" s="45"/>
      <c r="C274" s="45"/>
      <c r="D274" s="45"/>
      <c r="E274" s="45"/>
      <c r="F274" s="45"/>
      <c r="G274" s="45"/>
      <c r="H274" s="45"/>
      <c r="I274" s="45"/>
      <c r="J274" s="45"/>
      <c r="K274" s="45"/>
    </row>
    <row r="275" spans="2:11" x14ac:dyDescent="0.35">
      <c r="B275" s="45"/>
      <c r="C275" s="45"/>
      <c r="D275" s="45"/>
      <c r="E275" s="45"/>
      <c r="F275" s="45"/>
      <c r="G275" s="45"/>
      <c r="H275" s="45"/>
      <c r="I275" s="45"/>
      <c r="J275" s="45"/>
      <c r="K275" s="45"/>
    </row>
    <row r="276" spans="2:11" x14ac:dyDescent="0.35">
      <c r="B276" s="45"/>
      <c r="C276" s="45"/>
      <c r="D276" s="45"/>
      <c r="E276" s="45"/>
      <c r="F276" s="45"/>
      <c r="G276" s="45"/>
      <c r="H276" s="45"/>
      <c r="I276" s="45"/>
      <c r="J276" s="45"/>
      <c r="K276" s="45"/>
    </row>
    <row r="277" spans="2:11" x14ac:dyDescent="0.35">
      <c r="B277" s="45"/>
      <c r="C277" s="45"/>
      <c r="D277" s="45"/>
      <c r="E277" s="45"/>
      <c r="F277" s="45"/>
      <c r="G277" s="45"/>
      <c r="H277" s="45"/>
      <c r="I277" s="45"/>
      <c r="J277" s="45"/>
      <c r="K277" s="45"/>
    </row>
    <row r="278" spans="2:11" x14ac:dyDescent="0.35">
      <c r="B278" s="45"/>
      <c r="C278" s="45"/>
      <c r="D278" s="45"/>
      <c r="E278" s="45"/>
      <c r="F278" s="45"/>
      <c r="G278" s="45"/>
      <c r="H278" s="45"/>
      <c r="I278" s="45"/>
      <c r="J278" s="45"/>
      <c r="K278" s="45"/>
    </row>
    <row r="279" spans="2:11" x14ac:dyDescent="0.35">
      <c r="B279" s="45"/>
      <c r="C279" s="45"/>
      <c r="D279" s="45"/>
      <c r="E279" s="45"/>
      <c r="F279" s="45"/>
      <c r="G279" s="45"/>
      <c r="H279" s="45"/>
      <c r="I279" s="45"/>
      <c r="J279" s="45"/>
      <c r="K279" s="45"/>
    </row>
    <row r="280" spans="2:11" x14ac:dyDescent="0.35">
      <c r="B280" s="45"/>
      <c r="C280" s="45"/>
      <c r="D280" s="45"/>
      <c r="E280" s="45"/>
      <c r="F280" s="45"/>
      <c r="G280" s="45"/>
      <c r="H280" s="45"/>
      <c r="I280" s="45"/>
      <c r="J280" s="45"/>
      <c r="K280" s="45"/>
    </row>
    <row r="281" spans="2:11" x14ac:dyDescent="0.35">
      <c r="B281" s="45"/>
      <c r="C281" s="45"/>
      <c r="D281" s="45"/>
      <c r="E281" s="45"/>
      <c r="F281" s="45"/>
      <c r="G281" s="45"/>
      <c r="H281" s="45"/>
      <c r="I281" s="45"/>
      <c r="J281" s="45"/>
      <c r="K281" s="45"/>
    </row>
    <row r="282" spans="2:11" x14ac:dyDescent="0.35">
      <c r="B282" s="45"/>
      <c r="C282" s="45"/>
      <c r="D282" s="45"/>
      <c r="E282" s="45"/>
      <c r="F282" s="45"/>
      <c r="G282" s="45"/>
      <c r="H282" s="45"/>
      <c r="I282" s="45"/>
      <c r="J282" s="45"/>
      <c r="K282" s="45"/>
    </row>
    <row r="283" spans="2:11" x14ac:dyDescent="0.35">
      <c r="B283" s="45"/>
      <c r="C283" s="45"/>
      <c r="D283" s="45"/>
      <c r="E283" s="45"/>
      <c r="F283" s="45"/>
      <c r="G283" s="45"/>
      <c r="H283" s="45"/>
      <c r="I283" s="45"/>
      <c r="J283" s="45"/>
      <c r="K283" s="45"/>
    </row>
    <row r="284" spans="2:11" x14ac:dyDescent="0.35">
      <c r="B284" s="45"/>
      <c r="C284" s="45"/>
      <c r="D284" s="45"/>
      <c r="E284" s="45"/>
      <c r="F284" s="45"/>
      <c r="G284" s="45"/>
      <c r="H284" s="45"/>
      <c r="I284" s="45"/>
      <c r="J284" s="45"/>
      <c r="K284" s="45"/>
    </row>
    <row r="285" spans="2:11" x14ac:dyDescent="0.35">
      <c r="B285" s="45"/>
      <c r="C285" s="45"/>
      <c r="D285" s="45"/>
      <c r="E285" s="45"/>
      <c r="F285" s="45"/>
      <c r="G285" s="45"/>
      <c r="H285" s="45"/>
      <c r="I285" s="45"/>
      <c r="J285" s="45"/>
      <c r="K285" s="45"/>
    </row>
    <row r="286" spans="2:11" x14ac:dyDescent="0.35">
      <c r="B286" s="45"/>
      <c r="C286" s="45"/>
      <c r="D286" s="45"/>
      <c r="E286" s="45"/>
      <c r="F286" s="45"/>
      <c r="G286" s="45"/>
      <c r="H286" s="45"/>
      <c r="I286" s="45"/>
      <c r="J286" s="45"/>
      <c r="K286" s="45"/>
    </row>
    <row r="287" spans="2:11" x14ac:dyDescent="0.35">
      <c r="B287" s="45"/>
      <c r="C287" s="45"/>
      <c r="D287" s="45"/>
      <c r="E287" s="45"/>
      <c r="F287" s="45"/>
      <c r="G287" s="45"/>
      <c r="H287" s="45"/>
      <c r="I287" s="45"/>
      <c r="J287" s="45"/>
      <c r="K287" s="45"/>
    </row>
    <row r="288" spans="2:11" x14ac:dyDescent="0.35">
      <c r="B288" s="45"/>
      <c r="C288" s="45"/>
      <c r="D288" s="45"/>
      <c r="E288" s="45"/>
      <c r="F288" s="45"/>
      <c r="G288" s="45"/>
      <c r="H288" s="45"/>
      <c r="I288" s="45"/>
      <c r="J288" s="45"/>
      <c r="K288" s="45"/>
    </row>
    <row r="289" spans="2:11" x14ac:dyDescent="0.35">
      <c r="B289" s="45"/>
      <c r="C289" s="45"/>
      <c r="D289" s="45"/>
      <c r="E289" s="45"/>
      <c r="F289" s="45"/>
      <c r="G289" s="45"/>
      <c r="H289" s="45"/>
      <c r="I289" s="45"/>
      <c r="J289" s="45"/>
      <c r="K289" s="45"/>
    </row>
    <row r="290" spans="2:11" x14ac:dyDescent="0.35">
      <c r="B290" s="45"/>
      <c r="C290" s="45"/>
      <c r="D290" s="45"/>
      <c r="E290" s="45"/>
      <c r="F290" s="45"/>
      <c r="G290" s="45"/>
      <c r="H290" s="45"/>
      <c r="I290" s="45"/>
      <c r="J290" s="45"/>
      <c r="K290" s="45"/>
    </row>
    <row r="291" spans="2:11" x14ac:dyDescent="0.35">
      <c r="B291" s="45"/>
      <c r="C291" s="45"/>
      <c r="D291" s="45"/>
      <c r="E291" s="45"/>
      <c r="F291" s="45"/>
      <c r="G291" s="45"/>
      <c r="H291" s="45"/>
      <c r="I291" s="45"/>
      <c r="J291" s="45"/>
      <c r="K291" s="45"/>
    </row>
    <row r="292" spans="2:11" x14ac:dyDescent="0.35">
      <c r="B292" s="45"/>
      <c r="C292" s="45"/>
      <c r="D292" s="45"/>
      <c r="E292" s="45"/>
      <c r="F292" s="45"/>
      <c r="G292" s="45"/>
      <c r="H292" s="45"/>
      <c r="I292" s="45"/>
      <c r="J292" s="45"/>
      <c r="K292" s="45"/>
    </row>
    <row r="293" spans="2:11" x14ac:dyDescent="0.35">
      <c r="B293" s="45"/>
      <c r="C293" s="45"/>
      <c r="D293" s="45"/>
      <c r="E293" s="45"/>
      <c r="F293" s="45"/>
      <c r="G293" s="45"/>
      <c r="H293" s="45"/>
      <c r="I293" s="45"/>
      <c r="J293" s="45"/>
      <c r="K293" s="45"/>
    </row>
    <row r="294" spans="2:11" x14ac:dyDescent="0.35">
      <c r="B294" s="45"/>
      <c r="C294" s="45"/>
      <c r="D294" s="45"/>
      <c r="E294" s="45"/>
      <c r="F294" s="45"/>
      <c r="G294" s="45"/>
      <c r="H294" s="45"/>
      <c r="I294" s="45"/>
      <c r="J294" s="45"/>
      <c r="K294" s="45"/>
    </row>
    <row r="295" spans="2:11" x14ac:dyDescent="0.35">
      <c r="B295" s="45"/>
      <c r="C295" s="45"/>
      <c r="D295" s="45"/>
      <c r="E295" s="45"/>
      <c r="F295" s="45"/>
      <c r="G295" s="45"/>
      <c r="H295" s="45"/>
      <c r="I295" s="45"/>
      <c r="J295" s="45"/>
      <c r="K295" s="45"/>
    </row>
    <row r="296" spans="2:11" x14ac:dyDescent="0.35">
      <c r="B296" s="45"/>
      <c r="C296" s="45"/>
      <c r="D296" s="45"/>
      <c r="E296" s="45"/>
      <c r="F296" s="45"/>
      <c r="G296" s="45"/>
      <c r="H296" s="45"/>
      <c r="I296" s="45"/>
      <c r="J296" s="45"/>
      <c r="K296" s="45"/>
    </row>
    <row r="297" spans="2:11" x14ac:dyDescent="0.35">
      <c r="B297" s="45"/>
      <c r="C297" s="45"/>
      <c r="D297" s="45"/>
      <c r="E297" s="45"/>
      <c r="F297" s="45"/>
      <c r="G297" s="45"/>
      <c r="H297" s="45"/>
      <c r="I297" s="45"/>
      <c r="J297" s="45"/>
      <c r="K297" s="45"/>
    </row>
    <row r="298" spans="2:11" x14ac:dyDescent="0.35">
      <c r="B298" s="45"/>
      <c r="C298" s="45"/>
      <c r="D298" s="45"/>
      <c r="E298" s="45"/>
      <c r="F298" s="45"/>
      <c r="G298" s="45"/>
      <c r="H298" s="45"/>
      <c r="I298" s="45"/>
      <c r="J298" s="45"/>
      <c r="K298" s="45"/>
    </row>
    <row r="299" spans="2:11" x14ac:dyDescent="0.35">
      <c r="B299" s="45"/>
      <c r="C299" s="45"/>
      <c r="D299" s="45"/>
      <c r="E299" s="45"/>
      <c r="F299" s="45"/>
      <c r="G299" s="45"/>
      <c r="H299" s="45"/>
      <c r="I299" s="45"/>
      <c r="J299" s="45"/>
      <c r="K299" s="45"/>
    </row>
    <row r="300" spans="2:11" x14ac:dyDescent="0.35">
      <c r="B300" s="45"/>
      <c r="C300" s="45"/>
      <c r="D300" s="45"/>
      <c r="E300" s="45"/>
      <c r="F300" s="45"/>
      <c r="G300" s="45"/>
      <c r="H300" s="45"/>
      <c r="I300" s="45"/>
      <c r="J300" s="45"/>
      <c r="K300" s="45"/>
    </row>
    <row r="301" spans="2:11" x14ac:dyDescent="0.35">
      <c r="B301" s="45"/>
      <c r="C301" s="45"/>
      <c r="D301" s="45"/>
      <c r="E301" s="45"/>
      <c r="F301" s="45"/>
      <c r="G301" s="45"/>
      <c r="H301" s="45"/>
      <c r="I301" s="45"/>
      <c r="J301" s="45"/>
      <c r="K301" s="45"/>
    </row>
    <row r="302" spans="2:11" x14ac:dyDescent="0.35">
      <c r="B302" s="45"/>
      <c r="C302" s="45"/>
      <c r="D302" s="45"/>
      <c r="E302" s="45"/>
      <c r="F302" s="45"/>
      <c r="G302" s="45"/>
      <c r="H302" s="45"/>
      <c r="I302" s="45"/>
      <c r="J302" s="45"/>
      <c r="K302" s="45"/>
    </row>
    <row r="303" spans="2:11" x14ac:dyDescent="0.35">
      <c r="B303" s="45"/>
      <c r="C303" s="45"/>
      <c r="D303" s="45"/>
      <c r="E303" s="45"/>
      <c r="F303" s="45"/>
      <c r="G303" s="45"/>
      <c r="H303" s="45"/>
      <c r="I303" s="45"/>
      <c r="J303" s="45"/>
      <c r="K303" s="45"/>
    </row>
    <row r="304" spans="2:11" x14ac:dyDescent="0.35">
      <c r="B304" s="45"/>
      <c r="C304" s="45"/>
      <c r="D304" s="45"/>
      <c r="E304" s="45"/>
      <c r="F304" s="45"/>
      <c r="G304" s="45"/>
      <c r="H304" s="45"/>
      <c r="I304" s="45"/>
      <c r="J304" s="45"/>
      <c r="K304" s="45"/>
    </row>
    <row r="305" spans="2:11" x14ac:dyDescent="0.35">
      <c r="B305" s="45"/>
      <c r="C305" s="45"/>
      <c r="D305" s="45"/>
      <c r="E305" s="45"/>
      <c r="F305" s="45"/>
      <c r="G305" s="45"/>
      <c r="H305" s="45"/>
      <c r="I305" s="45"/>
      <c r="J305" s="45"/>
      <c r="K305" s="45"/>
    </row>
    <row r="306" spans="2:11" x14ac:dyDescent="0.35">
      <c r="B306" s="45"/>
      <c r="C306" s="45"/>
      <c r="D306" s="45"/>
      <c r="E306" s="45"/>
      <c r="F306" s="45"/>
      <c r="G306" s="45"/>
      <c r="H306" s="45"/>
      <c r="I306" s="45"/>
      <c r="J306" s="45"/>
      <c r="K306" s="45"/>
    </row>
    <row r="307" spans="2:11" x14ac:dyDescent="0.35">
      <c r="B307" s="45"/>
      <c r="C307" s="45"/>
      <c r="D307" s="45"/>
      <c r="E307" s="45"/>
      <c r="F307" s="45"/>
      <c r="G307" s="45"/>
      <c r="H307" s="45"/>
      <c r="I307" s="45"/>
      <c r="J307" s="45"/>
      <c r="K307" s="45"/>
    </row>
    <row r="308" spans="2:11" x14ac:dyDescent="0.35">
      <c r="B308" s="45"/>
      <c r="C308" s="45"/>
      <c r="D308" s="45"/>
      <c r="E308" s="45"/>
      <c r="F308" s="45"/>
      <c r="G308" s="45"/>
      <c r="H308" s="45"/>
      <c r="I308" s="45"/>
      <c r="J308" s="45"/>
      <c r="K308" s="45"/>
    </row>
    <row r="309" spans="2:11" x14ac:dyDescent="0.35">
      <c r="B309" s="45"/>
      <c r="C309" s="45"/>
      <c r="D309" s="45"/>
      <c r="E309" s="45"/>
      <c r="F309" s="45"/>
      <c r="G309" s="45"/>
      <c r="H309" s="45"/>
      <c r="I309" s="45"/>
      <c r="J309" s="45"/>
      <c r="K309" s="45"/>
    </row>
    <row r="310" spans="2:11" x14ac:dyDescent="0.35">
      <c r="B310" s="45"/>
      <c r="C310" s="45"/>
      <c r="D310" s="45"/>
      <c r="E310" s="45"/>
      <c r="F310" s="45"/>
      <c r="G310" s="45"/>
      <c r="H310" s="45"/>
      <c r="I310" s="45"/>
      <c r="J310" s="45"/>
      <c r="K310" s="45"/>
    </row>
    <row r="311" spans="2:11" x14ac:dyDescent="0.35">
      <c r="B311" s="45"/>
      <c r="C311" s="45"/>
      <c r="D311" s="45"/>
      <c r="E311" s="45"/>
      <c r="F311" s="45"/>
      <c r="G311" s="45"/>
      <c r="H311" s="45"/>
      <c r="I311" s="45"/>
      <c r="J311" s="45"/>
      <c r="K311" s="45"/>
    </row>
    <row r="312" spans="2:11" x14ac:dyDescent="0.35">
      <c r="B312" s="45"/>
      <c r="C312" s="45"/>
      <c r="D312" s="45"/>
      <c r="E312" s="45"/>
      <c r="F312" s="45"/>
      <c r="G312" s="45"/>
      <c r="H312" s="45"/>
      <c r="I312" s="45"/>
      <c r="J312" s="45"/>
      <c r="K312" s="45"/>
    </row>
    <row r="313" spans="2:11" x14ac:dyDescent="0.35">
      <c r="B313" s="45"/>
      <c r="C313" s="45"/>
      <c r="D313" s="45"/>
      <c r="E313" s="45"/>
      <c r="F313" s="45"/>
      <c r="G313" s="45"/>
      <c r="H313" s="45"/>
      <c r="I313" s="45"/>
      <c r="J313" s="45"/>
      <c r="K313" s="45"/>
    </row>
    <row r="314" spans="2:11" x14ac:dyDescent="0.35">
      <c r="B314" s="45"/>
      <c r="C314" s="45"/>
      <c r="D314" s="45"/>
      <c r="E314" s="45"/>
      <c r="F314" s="45"/>
      <c r="G314" s="45"/>
      <c r="H314" s="45"/>
      <c r="I314" s="45"/>
      <c r="J314" s="45"/>
      <c r="K314" s="45"/>
    </row>
    <row r="315" spans="2:11" x14ac:dyDescent="0.35">
      <c r="B315" s="45"/>
      <c r="C315" s="45"/>
      <c r="D315" s="45"/>
      <c r="E315" s="45"/>
      <c r="F315" s="45"/>
      <c r="G315" s="45"/>
      <c r="H315" s="45"/>
      <c r="I315" s="45"/>
      <c r="J315" s="45"/>
      <c r="K315" s="45"/>
    </row>
    <row r="316" spans="2:11" x14ac:dyDescent="0.35">
      <c r="B316" s="45"/>
      <c r="C316" s="45"/>
      <c r="D316" s="45"/>
      <c r="E316" s="45"/>
      <c r="F316" s="45"/>
      <c r="G316" s="45"/>
      <c r="H316" s="45"/>
      <c r="I316" s="45"/>
      <c r="J316" s="45"/>
      <c r="K316" s="45"/>
    </row>
    <row r="317" spans="2:11" x14ac:dyDescent="0.35">
      <c r="B317" s="45"/>
      <c r="C317" s="45"/>
      <c r="D317" s="45"/>
      <c r="E317" s="45"/>
      <c r="F317" s="45"/>
      <c r="G317" s="45"/>
      <c r="H317" s="45"/>
      <c r="I317" s="45"/>
      <c r="J317" s="45"/>
      <c r="K317" s="45"/>
    </row>
    <row r="318" spans="2:11" x14ac:dyDescent="0.35">
      <c r="B318" s="45"/>
      <c r="C318" s="45"/>
      <c r="D318" s="45"/>
      <c r="E318" s="45"/>
      <c r="F318" s="45"/>
      <c r="G318" s="45"/>
      <c r="H318" s="45"/>
      <c r="I318" s="45"/>
      <c r="J318" s="45"/>
      <c r="K318" s="45"/>
    </row>
    <row r="319" spans="2:11" x14ac:dyDescent="0.35">
      <c r="B319" s="45"/>
      <c r="C319" s="45"/>
      <c r="D319" s="45"/>
      <c r="E319" s="45"/>
      <c r="F319" s="45"/>
      <c r="G319" s="45"/>
      <c r="H319" s="45"/>
      <c r="I319" s="45"/>
      <c r="J319" s="45"/>
      <c r="K319" s="45"/>
    </row>
    <row r="320" spans="2:11" x14ac:dyDescent="0.35">
      <c r="B320" s="45"/>
      <c r="C320" s="45"/>
      <c r="D320" s="45"/>
      <c r="E320" s="45"/>
      <c r="F320" s="45"/>
      <c r="G320" s="45"/>
      <c r="H320" s="45"/>
      <c r="I320" s="45"/>
      <c r="J320" s="45"/>
      <c r="K320" s="45"/>
    </row>
    <row r="321" spans="2:11" x14ac:dyDescent="0.35">
      <c r="B321" s="45"/>
      <c r="C321" s="45"/>
      <c r="D321" s="45"/>
      <c r="E321" s="45"/>
      <c r="F321" s="45"/>
      <c r="G321" s="45"/>
      <c r="H321" s="45"/>
      <c r="I321" s="45"/>
      <c r="J321" s="45"/>
      <c r="K321" s="45"/>
    </row>
    <row r="322" spans="2:11" x14ac:dyDescent="0.35">
      <c r="B322" s="45"/>
      <c r="C322" s="45"/>
      <c r="D322" s="45"/>
      <c r="E322" s="45"/>
      <c r="F322" s="45"/>
      <c r="G322" s="45"/>
      <c r="H322" s="45"/>
      <c r="I322" s="45"/>
      <c r="J322" s="45"/>
      <c r="K322" s="45"/>
    </row>
    <row r="323" spans="2:11" x14ac:dyDescent="0.35">
      <c r="B323" s="45"/>
      <c r="C323" s="45"/>
      <c r="D323" s="45"/>
      <c r="E323" s="45"/>
      <c r="F323" s="45"/>
      <c r="G323" s="45"/>
      <c r="H323" s="45"/>
      <c r="I323" s="45"/>
      <c r="J323" s="45"/>
      <c r="K323" s="45"/>
    </row>
    <row r="324" spans="2:11" x14ac:dyDescent="0.35">
      <c r="B324" s="45"/>
      <c r="C324" s="45"/>
      <c r="D324" s="45"/>
      <c r="E324" s="45"/>
      <c r="F324" s="45"/>
      <c r="G324" s="45"/>
      <c r="H324" s="45"/>
      <c r="I324" s="45"/>
      <c r="J324" s="45"/>
      <c r="K324" s="45"/>
    </row>
    <row r="325" spans="2:11" x14ac:dyDescent="0.35">
      <c r="B325" s="45"/>
      <c r="C325" s="45"/>
      <c r="D325" s="45"/>
      <c r="E325" s="45"/>
      <c r="F325" s="45"/>
      <c r="G325" s="45"/>
      <c r="H325" s="45"/>
      <c r="I325" s="45"/>
      <c r="J325" s="45"/>
      <c r="K325" s="45"/>
    </row>
    <row r="326" spans="2:11" x14ac:dyDescent="0.35">
      <c r="B326" s="45"/>
      <c r="C326" s="45"/>
      <c r="D326" s="45"/>
      <c r="E326" s="45"/>
      <c r="F326" s="45"/>
      <c r="G326" s="45"/>
      <c r="H326" s="45"/>
      <c r="I326" s="45"/>
      <c r="J326" s="45"/>
      <c r="K326" s="45"/>
    </row>
    <row r="327" spans="2:11" x14ac:dyDescent="0.35">
      <c r="B327" s="45"/>
      <c r="C327" s="45"/>
      <c r="D327" s="45"/>
      <c r="E327" s="45"/>
      <c r="F327" s="45"/>
      <c r="G327" s="45"/>
      <c r="H327" s="45"/>
      <c r="I327" s="45"/>
      <c r="J327" s="45"/>
      <c r="K327" s="45"/>
    </row>
    <row r="328" spans="2:11" x14ac:dyDescent="0.35">
      <c r="B328" s="45"/>
      <c r="C328" s="45"/>
      <c r="D328" s="45"/>
      <c r="E328" s="45"/>
      <c r="F328" s="45"/>
      <c r="G328" s="45"/>
      <c r="H328" s="45"/>
      <c r="I328" s="45"/>
      <c r="J328" s="45"/>
      <c r="K328" s="45"/>
    </row>
    <row r="329" spans="2:11" x14ac:dyDescent="0.35">
      <c r="B329" s="45"/>
      <c r="C329" s="45"/>
      <c r="D329" s="45"/>
      <c r="E329" s="45"/>
      <c r="F329" s="45"/>
      <c r="G329" s="45"/>
      <c r="H329" s="45"/>
      <c r="I329" s="45"/>
      <c r="J329" s="45"/>
      <c r="K329" s="45"/>
    </row>
    <row r="330" spans="2:11" x14ac:dyDescent="0.35">
      <c r="B330" s="45"/>
      <c r="C330" s="45"/>
      <c r="D330" s="45"/>
      <c r="E330" s="45"/>
      <c r="F330" s="45"/>
      <c r="G330" s="45"/>
      <c r="H330" s="45"/>
      <c r="I330" s="45"/>
      <c r="J330" s="45"/>
      <c r="K330" s="45"/>
    </row>
    <row r="331" spans="2:11" x14ac:dyDescent="0.35">
      <c r="B331" s="45"/>
      <c r="C331" s="45"/>
      <c r="D331" s="45"/>
      <c r="E331" s="45"/>
      <c r="F331" s="45"/>
      <c r="G331" s="45"/>
      <c r="H331" s="45"/>
      <c r="I331" s="45"/>
      <c r="J331" s="45"/>
      <c r="K331" s="45"/>
    </row>
    <row r="332" spans="2:11" x14ac:dyDescent="0.35">
      <c r="B332" s="45"/>
      <c r="C332" s="45"/>
      <c r="D332" s="45"/>
      <c r="E332" s="45"/>
      <c r="F332" s="45"/>
      <c r="G332" s="45"/>
      <c r="H332" s="45"/>
      <c r="I332" s="45"/>
      <c r="J332" s="45"/>
      <c r="K332" s="45"/>
    </row>
    <row r="333" spans="2:11" x14ac:dyDescent="0.35">
      <c r="B333" s="45"/>
      <c r="C333" s="45"/>
      <c r="D333" s="45"/>
      <c r="E333" s="45"/>
      <c r="F333" s="45"/>
      <c r="G333" s="45"/>
      <c r="H333" s="45"/>
      <c r="I333" s="45"/>
      <c r="J333" s="45"/>
      <c r="K333" s="45"/>
    </row>
    <row r="334" spans="2:11" x14ac:dyDescent="0.35">
      <c r="B334" s="45"/>
      <c r="C334" s="45"/>
      <c r="D334" s="45"/>
      <c r="E334" s="45"/>
      <c r="F334" s="45"/>
      <c r="G334" s="45"/>
      <c r="H334" s="45"/>
      <c r="I334" s="45"/>
      <c r="J334" s="45"/>
      <c r="K334" s="45"/>
    </row>
    <row r="335" spans="2:11" x14ac:dyDescent="0.35">
      <c r="B335" s="45"/>
      <c r="C335" s="45"/>
      <c r="D335" s="45"/>
      <c r="E335" s="45"/>
      <c r="F335" s="45"/>
      <c r="G335" s="45"/>
      <c r="H335" s="45"/>
      <c r="I335" s="45"/>
      <c r="J335" s="45"/>
      <c r="K335" s="45"/>
    </row>
    <row r="336" spans="2:11" x14ac:dyDescent="0.35">
      <c r="B336" s="45"/>
      <c r="C336" s="45"/>
      <c r="D336" s="45"/>
      <c r="E336" s="45"/>
      <c r="F336" s="45"/>
      <c r="G336" s="45"/>
      <c r="H336" s="45"/>
      <c r="I336" s="45"/>
      <c r="J336" s="45"/>
      <c r="K336" s="45"/>
    </row>
    <row r="337" spans="2:11" x14ac:dyDescent="0.35">
      <c r="B337" s="45"/>
      <c r="C337" s="45"/>
      <c r="D337" s="45"/>
      <c r="E337" s="45"/>
      <c r="F337" s="45"/>
      <c r="G337" s="45"/>
      <c r="H337" s="45"/>
      <c r="I337" s="45"/>
      <c r="J337" s="45"/>
      <c r="K337" s="45"/>
    </row>
    <row r="338" spans="2:11" x14ac:dyDescent="0.35">
      <c r="B338" s="45"/>
      <c r="C338" s="45"/>
      <c r="D338" s="45"/>
      <c r="E338" s="45"/>
      <c r="F338" s="45"/>
      <c r="G338" s="45"/>
      <c r="H338" s="45"/>
      <c r="I338" s="45"/>
      <c r="J338" s="45"/>
      <c r="K338" s="45"/>
    </row>
    <row r="339" spans="2:11" x14ac:dyDescent="0.35">
      <c r="B339" s="45"/>
      <c r="C339" s="45"/>
      <c r="D339" s="45"/>
      <c r="E339" s="45"/>
      <c r="F339" s="45"/>
      <c r="G339" s="45"/>
      <c r="H339" s="45"/>
      <c r="I339" s="45"/>
      <c r="J339" s="45"/>
      <c r="K339" s="45"/>
    </row>
    <row r="340" spans="2:11" x14ac:dyDescent="0.35">
      <c r="B340" s="45"/>
      <c r="C340" s="45"/>
      <c r="D340" s="45"/>
      <c r="E340" s="45"/>
      <c r="F340" s="45"/>
      <c r="G340" s="45"/>
      <c r="H340" s="45"/>
      <c r="I340" s="45"/>
      <c r="J340" s="45"/>
      <c r="K340" s="45"/>
    </row>
    <row r="341" spans="2:11" x14ac:dyDescent="0.35">
      <c r="B341" s="45"/>
      <c r="C341" s="45"/>
      <c r="D341" s="45"/>
      <c r="E341" s="45"/>
      <c r="F341" s="45"/>
      <c r="G341" s="45"/>
      <c r="H341" s="45"/>
      <c r="I341" s="45"/>
      <c r="J341" s="45"/>
      <c r="K341" s="45"/>
    </row>
    <row r="342" spans="2:11" x14ac:dyDescent="0.35">
      <c r="B342" s="45"/>
      <c r="C342" s="45"/>
      <c r="D342" s="45"/>
      <c r="E342" s="45"/>
      <c r="F342" s="45"/>
      <c r="G342" s="45"/>
      <c r="H342" s="45"/>
      <c r="I342" s="45"/>
      <c r="J342" s="45"/>
      <c r="K342" s="45"/>
    </row>
    <row r="343" spans="2:11" x14ac:dyDescent="0.35">
      <c r="B343" s="45"/>
      <c r="C343" s="45"/>
      <c r="D343" s="45"/>
      <c r="E343" s="45"/>
      <c r="F343" s="45"/>
      <c r="G343" s="45"/>
      <c r="H343" s="45"/>
      <c r="I343" s="45"/>
      <c r="J343" s="45"/>
      <c r="K343" s="45"/>
    </row>
    <row r="344" spans="2:11" x14ac:dyDescent="0.35">
      <c r="B344" s="45"/>
      <c r="C344" s="45"/>
      <c r="D344" s="45"/>
      <c r="E344" s="45"/>
      <c r="F344" s="45"/>
      <c r="G344" s="45"/>
      <c r="H344" s="45"/>
      <c r="I344" s="45"/>
      <c r="J344" s="45"/>
      <c r="K344" s="45"/>
    </row>
    <row r="345" spans="2:11" x14ac:dyDescent="0.35">
      <c r="B345" s="45"/>
      <c r="C345" s="45"/>
      <c r="D345" s="45"/>
      <c r="E345" s="45"/>
      <c r="F345" s="45"/>
      <c r="G345" s="45"/>
      <c r="H345" s="45"/>
      <c r="I345" s="45"/>
      <c r="J345" s="45"/>
      <c r="K345" s="45"/>
    </row>
    <row r="346" spans="2:11" x14ac:dyDescent="0.35">
      <c r="B346" s="45"/>
      <c r="C346" s="45"/>
      <c r="D346" s="45"/>
      <c r="E346" s="45"/>
      <c r="F346" s="45"/>
      <c r="G346" s="45"/>
      <c r="H346" s="45"/>
      <c r="I346" s="45"/>
      <c r="J346" s="45"/>
      <c r="K346" s="45"/>
    </row>
    <row r="347" spans="2:11" x14ac:dyDescent="0.35">
      <c r="B347" s="45"/>
      <c r="C347" s="45"/>
      <c r="D347" s="45"/>
      <c r="E347" s="45"/>
      <c r="F347" s="45"/>
      <c r="G347" s="45"/>
      <c r="H347" s="45"/>
      <c r="I347" s="45"/>
      <c r="J347" s="45"/>
      <c r="K347" s="45"/>
    </row>
    <row r="348" spans="2:11" x14ac:dyDescent="0.35">
      <c r="B348" s="45"/>
      <c r="C348" s="45"/>
      <c r="D348" s="45"/>
      <c r="E348" s="45"/>
      <c r="F348" s="45"/>
      <c r="G348" s="45"/>
      <c r="H348" s="45"/>
      <c r="I348" s="45"/>
      <c r="J348" s="45"/>
      <c r="K348" s="45"/>
    </row>
    <row r="349" spans="2:11" x14ac:dyDescent="0.35">
      <c r="B349" s="45"/>
      <c r="C349" s="45"/>
      <c r="D349" s="45"/>
      <c r="E349" s="45"/>
      <c r="F349" s="45"/>
      <c r="G349" s="45"/>
      <c r="H349" s="45"/>
      <c r="I349" s="45"/>
      <c r="J349" s="45"/>
      <c r="K349" s="45"/>
    </row>
    <row r="350" spans="2:11" x14ac:dyDescent="0.35">
      <c r="B350" s="45"/>
      <c r="C350" s="45"/>
      <c r="D350" s="45"/>
      <c r="E350" s="45"/>
      <c r="F350" s="45"/>
      <c r="G350" s="45"/>
      <c r="H350" s="45"/>
      <c r="I350" s="45"/>
      <c r="J350" s="45"/>
      <c r="K350" s="45"/>
    </row>
    <row r="351" spans="2:11" x14ac:dyDescent="0.35">
      <c r="B351" s="44"/>
    </row>
    <row r="352" spans="2:11" x14ac:dyDescent="0.35">
      <c r="B352" s="44"/>
    </row>
    <row r="353" spans="2:2" x14ac:dyDescent="0.35">
      <c r="B353" s="44"/>
    </row>
  </sheetData>
  <mergeCells count="16">
    <mergeCell ref="B2:K2"/>
    <mergeCell ref="B3:K3"/>
    <mergeCell ref="B4:K4"/>
    <mergeCell ref="B5:K5"/>
    <mergeCell ref="B6:K6"/>
    <mergeCell ref="C8:C9"/>
    <mergeCell ref="D8:D9"/>
    <mergeCell ref="E8:E9"/>
    <mergeCell ref="F8:F9"/>
    <mergeCell ref="G8:G9"/>
    <mergeCell ref="D28:J28"/>
    <mergeCell ref="D30:J30"/>
    <mergeCell ref="D31:J31"/>
    <mergeCell ref="H8:H9"/>
    <mergeCell ref="I8:I9"/>
    <mergeCell ref="D27:J27"/>
  </mergeCells>
  <dataValidations count="2">
    <dataValidation type="list" allowBlank="1" showInputMessage="1" showErrorMessage="1" sqref="H10:H19" xr:uid="{B05F6DA1-A3C4-4100-85E8-12E86ECE3BA6}">
      <formula1>$H$32:$H$33</formula1>
    </dataValidation>
    <dataValidation type="list" allowBlank="1" showInputMessage="1" showErrorMessage="1" sqref="H20:H25" xr:uid="{C9A6453F-F43A-4DB0-BF94-FDD5D6C7D547}">
      <formula1>$H$43:$H$44</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39B4A-7EBF-4CB9-9468-68F564D4D4C4}">
  <dimension ref="A1:BS290"/>
  <sheetViews>
    <sheetView tabSelected="1" topLeftCell="A35" zoomScale="78" workbookViewId="0">
      <selection activeCell="C47" sqref="C47:J47"/>
    </sheetView>
  </sheetViews>
  <sheetFormatPr defaultRowHeight="14.5" x14ac:dyDescent="0.35"/>
  <cols>
    <col min="1" max="1" width="9.1796875" style="45"/>
    <col min="2" max="2" width="9.1796875" style="44"/>
    <col min="3" max="3" width="11.453125" customWidth="1"/>
    <col min="4" max="4" width="15.1796875" customWidth="1"/>
    <col min="5" max="5" width="30" customWidth="1"/>
    <col min="6" max="6" width="12.26953125" customWidth="1"/>
    <col min="7" max="7" width="55" style="127" customWidth="1"/>
    <col min="8" max="8" width="19.7265625" bestFit="1" customWidth="1"/>
    <col min="9" max="9" width="50.453125" bestFit="1" customWidth="1"/>
    <col min="10" max="10" width="84.26953125" bestFit="1" customWidth="1"/>
    <col min="11" max="11" width="9.1796875" style="44"/>
    <col min="12" max="71" width="9.1796875" style="53"/>
  </cols>
  <sheetData>
    <row r="1" spans="1:71" s="45" customFormat="1" x14ac:dyDescent="0.35">
      <c r="G1" s="144"/>
      <c r="L1" s="53"/>
      <c r="M1" s="53"/>
      <c r="N1" s="53"/>
      <c r="O1" s="53"/>
      <c r="P1" s="53"/>
      <c r="Q1" s="53"/>
      <c r="R1" s="53"/>
      <c r="S1" s="53"/>
      <c r="T1" s="53"/>
      <c r="U1" s="53"/>
      <c r="V1" s="53"/>
      <c r="W1" s="53"/>
      <c r="X1" s="53"/>
      <c r="Y1" s="53"/>
      <c r="Z1" s="53"/>
      <c r="AA1" s="53"/>
      <c r="AB1" s="53"/>
      <c r="AC1" s="53"/>
      <c r="AD1" s="53"/>
      <c r="AE1" s="53"/>
      <c r="AF1" s="53"/>
      <c r="AG1" s="53"/>
      <c r="AH1" s="53"/>
      <c r="AI1" s="53"/>
      <c r="AJ1" s="53"/>
      <c r="AK1" s="53"/>
      <c r="AL1" s="53"/>
      <c r="AM1" s="53"/>
      <c r="AN1" s="53"/>
      <c r="AO1" s="53"/>
      <c r="AP1" s="53"/>
      <c r="AQ1" s="53"/>
      <c r="AR1" s="53"/>
      <c r="AS1" s="53"/>
      <c r="AT1" s="53"/>
      <c r="AU1" s="53"/>
      <c r="AV1" s="53"/>
      <c r="AW1" s="53"/>
      <c r="AX1" s="53"/>
      <c r="AY1" s="53"/>
      <c r="AZ1" s="53"/>
      <c r="BA1" s="53"/>
      <c r="BB1" s="53"/>
      <c r="BC1" s="53"/>
      <c r="BD1" s="53"/>
      <c r="BE1" s="53"/>
      <c r="BF1" s="53"/>
      <c r="BG1" s="53"/>
      <c r="BH1" s="53"/>
      <c r="BI1" s="53"/>
      <c r="BJ1" s="53"/>
      <c r="BK1" s="53"/>
      <c r="BL1" s="53"/>
      <c r="BM1" s="53"/>
      <c r="BN1" s="53"/>
      <c r="BO1" s="53"/>
      <c r="BP1" s="53"/>
      <c r="BQ1" s="53"/>
      <c r="BR1" s="53"/>
      <c r="BS1" s="53"/>
    </row>
    <row r="2" spans="1:71" x14ac:dyDescent="0.35">
      <c r="C2" s="44"/>
      <c r="D2" s="44"/>
      <c r="E2" s="44"/>
      <c r="F2" s="44"/>
      <c r="G2" s="143"/>
      <c r="H2" s="44"/>
      <c r="I2" s="44"/>
      <c r="J2" s="44"/>
    </row>
    <row r="3" spans="1:71" ht="20" x14ac:dyDescent="0.4">
      <c r="B3" s="28"/>
      <c r="C3" s="241" t="s">
        <v>10</v>
      </c>
      <c r="D3" s="241"/>
      <c r="E3" s="241"/>
      <c r="F3" s="241"/>
      <c r="G3" s="241"/>
      <c r="H3" s="241"/>
      <c r="I3" s="241"/>
      <c r="J3" s="241"/>
      <c r="K3" s="196"/>
    </row>
    <row r="4" spans="1:71" ht="18" x14ac:dyDescent="0.4">
      <c r="C4" s="242" t="s">
        <v>41</v>
      </c>
      <c r="D4" s="242"/>
      <c r="E4" s="242"/>
      <c r="F4" s="242"/>
      <c r="G4" s="242"/>
      <c r="H4" s="242"/>
      <c r="I4" s="242"/>
      <c r="J4" s="242"/>
      <c r="K4" s="195"/>
    </row>
    <row r="5" spans="1:71" x14ac:dyDescent="0.35">
      <c r="C5" s="243" t="s">
        <v>354</v>
      </c>
      <c r="D5" s="243"/>
      <c r="E5" s="243"/>
      <c r="F5" s="243"/>
      <c r="G5" s="243"/>
      <c r="H5" s="243"/>
      <c r="I5" s="243"/>
      <c r="J5" s="243"/>
      <c r="K5" s="194"/>
    </row>
    <row r="6" spans="1:71" x14ac:dyDescent="0.35">
      <c r="C6" s="244" t="s">
        <v>2</v>
      </c>
      <c r="D6" s="244"/>
      <c r="E6" s="244"/>
      <c r="F6" s="244"/>
      <c r="G6" s="244"/>
      <c r="H6" s="244"/>
      <c r="I6" s="244"/>
      <c r="J6" s="244"/>
      <c r="K6" s="193"/>
    </row>
    <row r="7" spans="1:71" x14ac:dyDescent="0.35">
      <c r="C7" s="244" t="s">
        <v>12</v>
      </c>
      <c r="D7" s="244"/>
      <c r="E7" s="244"/>
      <c r="F7" s="244"/>
      <c r="G7" s="244"/>
      <c r="H7" s="244"/>
      <c r="I7" s="244"/>
      <c r="J7" s="244"/>
      <c r="K7" s="193"/>
    </row>
    <row r="8" spans="1:71" x14ac:dyDescent="0.35">
      <c r="C8" s="130"/>
      <c r="D8" s="146"/>
      <c r="E8" s="146"/>
      <c r="F8" s="146"/>
      <c r="G8" s="146"/>
      <c r="H8" s="130"/>
      <c r="I8" s="130"/>
      <c r="J8" s="146"/>
      <c r="K8" s="146"/>
    </row>
    <row r="9" spans="1:71" ht="15" customHeight="1" x14ac:dyDescent="0.35">
      <c r="C9" s="240" t="s">
        <v>42</v>
      </c>
      <c r="D9" s="240" t="s">
        <v>43</v>
      </c>
      <c r="E9" s="240" t="s">
        <v>44</v>
      </c>
      <c r="F9" s="240" t="s">
        <v>45</v>
      </c>
      <c r="G9" s="240" t="s">
        <v>46</v>
      </c>
      <c r="H9" s="248" t="s">
        <v>47</v>
      </c>
      <c r="I9" s="240" t="s">
        <v>48</v>
      </c>
      <c r="J9" s="240" t="s">
        <v>400</v>
      </c>
    </row>
    <row r="10" spans="1:71" ht="50.25" customHeight="1" x14ac:dyDescent="0.35">
      <c r="C10" s="240"/>
      <c r="D10" s="240"/>
      <c r="E10" s="240"/>
      <c r="F10" s="240"/>
      <c r="G10" s="240"/>
      <c r="H10" s="249"/>
      <c r="I10" s="240"/>
      <c r="J10" s="240"/>
    </row>
    <row r="11" spans="1:71" s="174" customFormat="1" ht="250" x14ac:dyDescent="0.35">
      <c r="A11" s="177"/>
      <c r="B11" s="178"/>
      <c r="C11" s="62" t="s">
        <v>60</v>
      </c>
      <c r="D11" s="113" t="s">
        <v>207</v>
      </c>
      <c r="E11" s="113" t="s">
        <v>84</v>
      </c>
      <c r="F11" s="113" t="s">
        <v>53</v>
      </c>
      <c r="G11" s="113" t="s">
        <v>85</v>
      </c>
      <c r="H11" s="124"/>
      <c r="I11" s="108"/>
      <c r="J11" s="205" t="s">
        <v>446</v>
      </c>
      <c r="K11" s="178"/>
      <c r="L11" s="53"/>
      <c r="M11" s="53"/>
      <c r="N11" s="53"/>
      <c r="O11" s="53"/>
      <c r="P11" s="53"/>
      <c r="Q11" s="53"/>
      <c r="R11" s="53"/>
      <c r="S11" s="53"/>
      <c r="T11" s="53"/>
      <c r="U11" s="53"/>
      <c r="V11" s="53"/>
      <c r="W11" s="53"/>
      <c r="X11" s="53"/>
      <c r="Y11" s="53"/>
      <c r="Z11" s="53"/>
      <c r="AA11" s="53"/>
      <c r="AB11" s="53"/>
      <c r="AC11" s="53"/>
      <c r="AD11" s="53"/>
      <c r="AE11" s="53"/>
      <c r="AF11" s="53"/>
      <c r="AG11" s="53"/>
      <c r="AH11" s="53"/>
      <c r="AI11" s="53"/>
      <c r="AJ11" s="53"/>
      <c r="AK11" s="53"/>
      <c r="AL11" s="53"/>
      <c r="AM11" s="53"/>
      <c r="AN11" s="53"/>
      <c r="AO11" s="53"/>
      <c r="AP11" s="53"/>
      <c r="AQ11" s="53"/>
      <c r="AR11" s="53"/>
      <c r="AS11" s="53"/>
      <c r="AT11" s="53"/>
      <c r="AU11" s="53"/>
      <c r="AV11" s="53"/>
      <c r="AW11" s="53"/>
      <c r="AX11" s="53"/>
      <c r="AY11" s="53"/>
      <c r="AZ11" s="53"/>
      <c r="BA11" s="53"/>
      <c r="BB11" s="53"/>
      <c r="BC11" s="53"/>
      <c r="BD11" s="53"/>
      <c r="BE11" s="53"/>
      <c r="BF11" s="53"/>
      <c r="BG11" s="53"/>
      <c r="BH11" s="53"/>
      <c r="BI11" s="53"/>
      <c r="BJ11" s="53"/>
      <c r="BK11" s="53"/>
      <c r="BL11" s="53"/>
      <c r="BM11" s="53"/>
      <c r="BN11" s="53"/>
      <c r="BO11" s="53"/>
      <c r="BP11" s="53"/>
      <c r="BQ11" s="53"/>
      <c r="BR11" s="53"/>
      <c r="BS11" s="53"/>
    </row>
    <row r="12" spans="1:71" s="174" customFormat="1" ht="409.5" x14ac:dyDescent="0.35">
      <c r="A12" s="177"/>
      <c r="B12" s="178"/>
      <c r="C12" s="62" t="s">
        <v>60</v>
      </c>
      <c r="D12" s="113" t="s">
        <v>207</v>
      </c>
      <c r="E12" s="113" t="s">
        <v>86</v>
      </c>
      <c r="F12" s="113" t="s">
        <v>70</v>
      </c>
      <c r="G12" s="113" t="s">
        <v>87</v>
      </c>
      <c r="H12" s="124"/>
      <c r="I12" s="108"/>
      <c r="J12" s="206" t="s">
        <v>517</v>
      </c>
      <c r="K12" s="178"/>
      <c r="L12" s="53"/>
      <c r="M12" s="53"/>
      <c r="N12" s="53"/>
      <c r="O12" s="53"/>
      <c r="P12" s="53"/>
      <c r="Q12" s="53"/>
      <c r="R12" s="53"/>
      <c r="S12" s="53"/>
      <c r="T12" s="53"/>
      <c r="U12" s="53"/>
      <c r="V12" s="53"/>
      <c r="W12" s="53"/>
      <c r="X12" s="53"/>
      <c r="Y12" s="53"/>
      <c r="Z12" s="53"/>
      <c r="AA12" s="53"/>
      <c r="AB12" s="53"/>
      <c r="AC12" s="53"/>
      <c r="AD12" s="53"/>
      <c r="AE12" s="53"/>
      <c r="AF12" s="53"/>
      <c r="AG12" s="53"/>
      <c r="AH12" s="53"/>
      <c r="AI12" s="53"/>
      <c r="AJ12" s="53"/>
      <c r="AK12" s="53"/>
      <c r="AL12" s="53"/>
      <c r="AM12" s="53"/>
      <c r="AN12" s="53"/>
      <c r="AO12" s="53"/>
      <c r="AP12" s="53"/>
      <c r="AQ12" s="53"/>
      <c r="AR12" s="53"/>
      <c r="AS12" s="53"/>
      <c r="AT12" s="53"/>
      <c r="AU12" s="53"/>
      <c r="AV12" s="53"/>
      <c r="AW12" s="53"/>
      <c r="AX12" s="53"/>
      <c r="AY12" s="53"/>
      <c r="AZ12" s="53"/>
      <c r="BA12" s="53"/>
      <c r="BB12" s="53"/>
      <c r="BC12" s="53"/>
      <c r="BD12" s="53"/>
      <c r="BE12" s="53"/>
      <c r="BF12" s="53"/>
      <c r="BG12" s="53"/>
      <c r="BH12" s="53"/>
      <c r="BI12" s="53"/>
      <c r="BJ12" s="53"/>
      <c r="BK12" s="53"/>
      <c r="BL12" s="53"/>
      <c r="BM12" s="53"/>
      <c r="BN12" s="53"/>
      <c r="BO12" s="53"/>
      <c r="BP12" s="53"/>
      <c r="BQ12" s="53"/>
      <c r="BR12" s="53"/>
      <c r="BS12" s="53"/>
    </row>
    <row r="13" spans="1:71" s="174" customFormat="1" ht="262.5" x14ac:dyDescent="0.35">
      <c r="A13" s="177"/>
      <c r="B13" s="178"/>
      <c r="C13" s="62" t="s">
        <v>95</v>
      </c>
      <c r="D13" s="113" t="s">
        <v>207</v>
      </c>
      <c r="E13" s="113" t="s">
        <v>100</v>
      </c>
      <c r="F13" s="113" t="s">
        <v>70</v>
      </c>
      <c r="G13" s="113" t="s">
        <v>101</v>
      </c>
      <c r="H13" s="124"/>
      <c r="I13" s="108"/>
      <c r="J13" s="205" t="s">
        <v>639</v>
      </c>
      <c r="K13" s="178"/>
      <c r="L13" s="53"/>
      <c r="M13" s="53"/>
      <c r="N13" s="53"/>
      <c r="O13" s="53"/>
      <c r="P13" s="53"/>
      <c r="Q13" s="53"/>
      <c r="R13" s="53"/>
      <c r="S13" s="53"/>
      <c r="T13" s="53"/>
      <c r="U13" s="53"/>
      <c r="V13" s="53"/>
      <c r="W13" s="53"/>
      <c r="X13" s="53"/>
      <c r="Y13" s="53"/>
      <c r="Z13" s="53"/>
      <c r="AA13" s="53"/>
      <c r="AB13" s="53"/>
      <c r="AC13" s="53"/>
      <c r="AD13" s="53"/>
      <c r="AE13" s="53"/>
      <c r="AF13" s="53"/>
      <c r="AG13" s="53"/>
      <c r="AH13" s="53"/>
      <c r="AI13" s="53"/>
      <c r="AJ13" s="53"/>
      <c r="AK13" s="53"/>
      <c r="AL13" s="53"/>
      <c r="AM13" s="53"/>
      <c r="AN13" s="53"/>
      <c r="AO13" s="53"/>
      <c r="AP13" s="53"/>
      <c r="AQ13" s="53"/>
      <c r="AR13" s="53"/>
      <c r="AS13" s="53"/>
      <c r="AT13" s="53"/>
      <c r="AU13" s="53"/>
      <c r="AV13" s="53"/>
      <c r="AW13" s="53"/>
      <c r="AX13" s="53"/>
      <c r="AY13" s="53"/>
      <c r="AZ13" s="53"/>
      <c r="BA13" s="53"/>
      <c r="BB13" s="53"/>
      <c r="BC13" s="53"/>
      <c r="BD13" s="53"/>
      <c r="BE13" s="53"/>
      <c r="BF13" s="53"/>
      <c r="BG13" s="53"/>
      <c r="BH13" s="53"/>
      <c r="BI13" s="53"/>
      <c r="BJ13" s="53"/>
      <c r="BK13" s="53"/>
      <c r="BL13" s="53"/>
      <c r="BM13" s="53"/>
      <c r="BN13" s="53"/>
      <c r="BO13" s="53"/>
      <c r="BP13" s="53"/>
      <c r="BQ13" s="53"/>
      <c r="BR13" s="53"/>
      <c r="BS13" s="53"/>
    </row>
    <row r="14" spans="1:71" s="174" customFormat="1" ht="312.5" x14ac:dyDescent="0.35">
      <c r="A14" s="177"/>
      <c r="B14" s="178"/>
      <c r="C14" s="62" t="s">
        <v>95</v>
      </c>
      <c r="D14" s="113" t="s">
        <v>207</v>
      </c>
      <c r="E14" s="113" t="s">
        <v>208</v>
      </c>
      <c r="F14" s="113" t="s">
        <v>70</v>
      </c>
      <c r="G14" s="113" t="s">
        <v>103</v>
      </c>
      <c r="H14" s="124"/>
      <c r="I14" s="108"/>
      <c r="J14" s="207" t="s">
        <v>642</v>
      </c>
      <c r="K14" s="178"/>
      <c r="L14" s="53"/>
      <c r="M14" s="53"/>
      <c r="N14" s="53"/>
      <c r="O14" s="53"/>
      <c r="P14" s="53"/>
      <c r="Q14" s="53"/>
      <c r="R14" s="53"/>
      <c r="S14" s="53"/>
      <c r="T14" s="53"/>
      <c r="U14" s="53"/>
      <c r="V14" s="53"/>
      <c r="W14" s="53"/>
      <c r="X14" s="53"/>
      <c r="Y14" s="53"/>
      <c r="Z14" s="53"/>
      <c r="AA14" s="53"/>
      <c r="AB14" s="53"/>
      <c r="AC14" s="53"/>
      <c r="AD14" s="53"/>
      <c r="AE14" s="53"/>
      <c r="AF14" s="53"/>
      <c r="AG14" s="53"/>
      <c r="AH14" s="53"/>
      <c r="AI14" s="53"/>
      <c r="AJ14" s="53"/>
      <c r="AK14" s="53"/>
      <c r="AL14" s="53"/>
      <c r="AM14" s="53"/>
      <c r="AN14" s="53"/>
      <c r="AO14" s="53"/>
      <c r="AP14" s="53"/>
      <c r="AQ14" s="53"/>
      <c r="AR14" s="53"/>
      <c r="AS14" s="53"/>
      <c r="AT14" s="53"/>
      <c r="AU14" s="53"/>
      <c r="AV14" s="53"/>
      <c r="AW14" s="53"/>
      <c r="AX14" s="53"/>
      <c r="AY14" s="53"/>
      <c r="AZ14" s="53"/>
      <c r="BA14" s="53"/>
      <c r="BB14" s="53"/>
      <c r="BC14" s="53"/>
      <c r="BD14" s="53"/>
      <c r="BE14" s="53"/>
      <c r="BF14" s="53"/>
      <c r="BG14" s="53"/>
      <c r="BH14" s="53"/>
      <c r="BI14" s="53"/>
      <c r="BJ14" s="53"/>
      <c r="BK14" s="53"/>
      <c r="BL14" s="53"/>
      <c r="BM14" s="53"/>
      <c r="BN14" s="53"/>
      <c r="BO14" s="53"/>
      <c r="BP14" s="53"/>
      <c r="BQ14" s="53"/>
      <c r="BR14" s="53"/>
      <c r="BS14" s="53"/>
    </row>
    <row r="15" spans="1:71" s="174" customFormat="1" ht="300" x14ac:dyDescent="0.35">
      <c r="A15" s="177"/>
      <c r="B15" s="178"/>
      <c r="C15" s="62" t="s">
        <v>111</v>
      </c>
      <c r="D15" s="113" t="s">
        <v>207</v>
      </c>
      <c r="E15" s="113" t="s">
        <v>115</v>
      </c>
      <c r="F15" s="113" t="s">
        <v>53</v>
      </c>
      <c r="G15" s="113" t="s">
        <v>209</v>
      </c>
      <c r="H15" s="124"/>
      <c r="I15" s="108"/>
      <c r="J15" s="207" t="s">
        <v>656</v>
      </c>
      <c r="K15" s="178"/>
      <c r="L15" s="53"/>
      <c r="M15" s="53"/>
      <c r="N15" s="53"/>
      <c r="O15" s="53"/>
      <c r="P15" s="53"/>
      <c r="Q15" s="53"/>
      <c r="R15" s="53"/>
      <c r="S15" s="53"/>
      <c r="T15" s="53"/>
      <c r="U15" s="53"/>
      <c r="V15" s="53"/>
      <c r="W15" s="53"/>
      <c r="X15" s="53"/>
      <c r="Y15" s="53"/>
      <c r="Z15" s="53"/>
      <c r="AA15" s="53"/>
      <c r="AB15" s="53"/>
      <c r="AC15" s="53"/>
      <c r="AD15" s="53"/>
      <c r="AE15" s="53"/>
      <c r="AF15" s="53"/>
      <c r="AG15" s="53"/>
      <c r="AH15" s="53"/>
      <c r="AI15" s="53"/>
      <c r="AJ15" s="53"/>
      <c r="AK15" s="53"/>
      <c r="AL15" s="53"/>
      <c r="AM15" s="53"/>
      <c r="AN15" s="53"/>
      <c r="AO15" s="53"/>
      <c r="AP15" s="53"/>
      <c r="AQ15" s="53"/>
      <c r="AR15" s="53"/>
      <c r="AS15" s="53"/>
      <c r="AT15" s="53"/>
      <c r="AU15" s="53"/>
      <c r="AV15" s="53"/>
      <c r="AW15" s="53"/>
      <c r="AX15" s="53"/>
      <c r="AY15" s="53"/>
      <c r="AZ15" s="53"/>
      <c r="BA15" s="53"/>
      <c r="BB15" s="53"/>
      <c r="BC15" s="53"/>
      <c r="BD15" s="53"/>
      <c r="BE15" s="53"/>
      <c r="BF15" s="53"/>
      <c r="BG15" s="53"/>
      <c r="BH15" s="53"/>
      <c r="BI15" s="53"/>
      <c r="BJ15" s="53"/>
      <c r="BK15" s="53"/>
      <c r="BL15" s="53"/>
      <c r="BM15" s="53"/>
      <c r="BN15" s="53"/>
      <c r="BO15" s="53"/>
      <c r="BP15" s="53"/>
      <c r="BQ15" s="53"/>
      <c r="BR15" s="53"/>
      <c r="BS15" s="53"/>
    </row>
    <row r="16" spans="1:71" s="174" customFormat="1" ht="150" x14ac:dyDescent="0.35">
      <c r="A16" s="177"/>
      <c r="B16" s="178"/>
      <c r="C16" s="62" t="s">
        <v>111</v>
      </c>
      <c r="D16" s="113" t="s">
        <v>207</v>
      </c>
      <c r="E16" s="113" t="s">
        <v>122</v>
      </c>
      <c r="F16" s="113" t="s">
        <v>53</v>
      </c>
      <c r="G16" s="113" t="s">
        <v>123</v>
      </c>
      <c r="H16" s="124"/>
      <c r="I16" s="108"/>
      <c r="J16" s="205" t="s">
        <v>519</v>
      </c>
      <c r="K16" s="178"/>
      <c r="L16" s="53"/>
      <c r="M16" s="53"/>
      <c r="N16" s="53"/>
      <c r="O16" s="53"/>
      <c r="P16" s="53"/>
      <c r="Q16" s="53"/>
      <c r="R16" s="53"/>
      <c r="S16" s="53"/>
      <c r="T16" s="53"/>
      <c r="U16" s="53"/>
      <c r="V16" s="53"/>
      <c r="W16" s="53"/>
      <c r="X16" s="53"/>
      <c r="Y16" s="53"/>
      <c r="Z16" s="53"/>
      <c r="AA16" s="53"/>
      <c r="AB16" s="53"/>
      <c r="AC16" s="53"/>
      <c r="AD16" s="53"/>
      <c r="AE16" s="53"/>
      <c r="AF16" s="53"/>
      <c r="AG16" s="53"/>
      <c r="AH16" s="53"/>
      <c r="AI16" s="53"/>
      <c r="AJ16" s="53"/>
      <c r="AK16" s="53"/>
      <c r="AL16" s="53"/>
      <c r="AM16" s="53"/>
      <c r="AN16" s="53"/>
      <c r="AO16" s="53"/>
      <c r="AP16" s="53"/>
      <c r="AQ16" s="53"/>
      <c r="AR16" s="53"/>
      <c r="AS16" s="53"/>
      <c r="AT16" s="53"/>
      <c r="AU16" s="53"/>
      <c r="AV16" s="53"/>
      <c r="AW16" s="53"/>
      <c r="AX16" s="53"/>
      <c r="AY16" s="53"/>
      <c r="AZ16" s="53"/>
      <c r="BA16" s="53"/>
      <c r="BB16" s="53"/>
      <c r="BC16" s="53"/>
      <c r="BD16" s="53"/>
      <c r="BE16" s="53"/>
      <c r="BF16" s="53"/>
      <c r="BG16" s="53"/>
      <c r="BH16" s="53"/>
      <c r="BI16" s="53"/>
      <c r="BJ16" s="53"/>
      <c r="BK16" s="53"/>
      <c r="BL16" s="53"/>
      <c r="BM16" s="53"/>
      <c r="BN16" s="53"/>
      <c r="BO16" s="53"/>
      <c r="BP16" s="53"/>
      <c r="BQ16" s="53"/>
      <c r="BR16" s="53"/>
      <c r="BS16" s="53"/>
    </row>
    <row r="17" spans="1:71" s="174" customFormat="1" ht="409.5" x14ac:dyDescent="0.35">
      <c r="A17" s="177"/>
      <c r="B17" s="178"/>
      <c r="C17" s="62" t="s">
        <v>95</v>
      </c>
      <c r="D17" s="113" t="s">
        <v>207</v>
      </c>
      <c r="E17" s="113" t="s">
        <v>86</v>
      </c>
      <c r="F17" s="113" t="s">
        <v>53</v>
      </c>
      <c r="G17" s="113" t="s">
        <v>127</v>
      </c>
      <c r="H17" s="124"/>
      <c r="I17" s="108"/>
      <c r="J17" s="205" t="s">
        <v>521</v>
      </c>
      <c r="K17" s="178"/>
      <c r="L17" s="53"/>
      <c r="M17" s="53"/>
      <c r="N17" s="53"/>
      <c r="O17" s="53"/>
      <c r="P17" s="53"/>
      <c r="Q17" s="53"/>
      <c r="R17" s="53"/>
      <c r="S17" s="53"/>
      <c r="T17" s="53"/>
      <c r="U17" s="53"/>
      <c r="V17" s="53"/>
      <c r="W17" s="53"/>
      <c r="X17" s="53"/>
      <c r="Y17" s="53"/>
      <c r="Z17" s="53"/>
      <c r="AA17" s="53"/>
      <c r="AB17" s="53"/>
      <c r="AC17" s="53"/>
      <c r="AD17" s="53"/>
      <c r="AE17" s="53"/>
      <c r="AF17" s="53"/>
      <c r="AG17" s="53"/>
      <c r="AH17" s="53"/>
      <c r="AI17" s="53"/>
      <c r="AJ17" s="53"/>
      <c r="AK17" s="53"/>
      <c r="AL17" s="53"/>
      <c r="AM17" s="53"/>
      <c r="AN17" s="53"/>
      <c r="AO17" s="53"/>
      <c r="AP17" s="53"/>
      <c r="AQ17" s="53"/>
      <c r="AR17" s="53"/>
      <c r="AS17" s="53"/>
      <c r="AT17" s="53"/>
      <c r="AU17" s="53"/>
      <c r="AV17" s="53"/>
      <c r="AW17" s="53"/>
      <c r="AX17" s="53"/>
      <c r="AY17" s="53"/>
      <c r="AZ17" s="53"/>
      <c r="BA17" s="53"/>
      <c r="BB17" s="53"/>
      <c r="BC17" s="53"/>
      <c r="BD17" s="53"/>
      <c r="BE17" s="53"/>
      <c r="BF17" s="53"/>
      <c r="BG17" s="53"/>
      <c r="BH17" s="53"/>
      <c r="BI17" s="53"/>
      <c r="BJ17" s="53"/>
      <c r="BK17" s="53"/>
      <c r="BL17" s="53"/>
      <c r="BM17" s="53"/>
      <c r="BN17" s="53"/>
      <c r="BO17" s="53"/>
      <c r="BP17" s="53"/>
      <c r="BQ17" s="53"/>
      <c r="BR17" s="53"/>
      <c r="BS17" s="53"/>
    </row>
    <row r="18" spans="1:71" s="174" customFormat="1" ht="275" x14ac:dyDescent="0.35">
      <c r="A18" s="177"/>
      <c r="B18" s="178"/>
      <c r="C18" s="62" t="s">
        <v>95</v>
      </c>
      <c r="D18" s="113" t="s">
        <v>212</v>
      </c>
      <c r="E18" s="113" t="s">
        <v>160</v>
      </c>
      <c r="F18" s="113" t="s">
        <v>53</v>
      </c>
      <c r="G18" s="113" t="s">
        <v>176</v>
      </c>
      <c r="H18" s="124"/>
      <c r="I18" s="108"/>
      <c r="J18" s="115" t="s">
        <v>548</v>
      </c>
      <c r="K18" s="178"/>
      <c r="L18" s="53"/>
      <c r="M18" s="53"/>
      <c r="N18" s="53"/>
      <c r="O18" s="53"/>
      <c r="P18" s="53"/>
      <c r="Q18" s="53"/>
      <c r="R18" s="53"/>
      <c r="S18" s="53"/>
      <c r="T18" s="53"/>
      <c r="U18" s="53"/>
      <c r="V18" s="53"/>
      <c r="W18" s="53"/>
      <c r="X18" s="53"/>
      <c r="Y18" s="53"/>
      <c r="Z18" s="53"/>
      <c r="AA18" s="53"/>
      <c r="AB18" s="53"/>
      <c r="AC18" s="53"/>
      <c r="AD18" s="53"/>
      <c r="AE18" s="53"/>
      <c r="AF18" s="53"/>
      <c r="AG18" s="53"/>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c r="BP18" s="53"/>
      <c r="BQ18" s="53"/>
      <c r="BR18" s="53"/>
      <c r="BS18" s="53"/>
    </row>
    <row r="19" spans="1:71" s="174" customFormat="1" ht="200" x14ac:dyDescent="0.35">
      <c r="A19" s="177"/>
      <c r="B19" s="178"/>
      <c r="C19" s="62" t="s">
        <v>95</v>
      </c>
      <c r="D19" s="113" t="s">
        <v>207</v>
      </c>
      <c r="E19" s="113" t="s">
        <v>140</v>
      </c>
      <c r="F19" s="113" t="s">
        <v>53</v>
      </c>
      <c r="G19" s="175" t="s">
        <v>141</v>
      </c>
      <c r="H19" s="124"/>
      <c r="I19" s="108"/>
      <c r="J19" s="205" t="s">
        <v>616</v>
      </c>
      <c r="K19" s="178"/>
      <c r="L19" s="53"/>
      <c r="M19" s="53"/>
      <c r="N19" s="53"/>
      <c r="O19" s="53"/>
      <c r="P19" s="53"/>
      <c r="Q19" s="53"/>
      <c r="R19" s="53"/>
      <c r="S19" s="53"/>
      <c r="T19" s="53"/>
      <c r="U19" s="53"/>
      <c r="V19" s="53"/>
      <c r="W19" s="53"/>
      <c r="X19" s="53"/>
      <c r="Y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row>
    <row r="20" spans="1:71" ht="25" x14ac:dyDescent="0.35">
      <c r="C20" s="62" t="s">
        <v>66</v>
      </c>
      <c r="D20" s="113" t="s">
        <v>198</v>
      </c>
      <c r="E20" s="113" t="s">
        <v>82</v>
      </c>
      <c r="F20" s="113" t="s">
        <v>58</v>
      </c>
      <c r="G20" s="175" t="s">
        <v>361</v>
      </c>
      <c r="H20" s="176"/>
      <c r="I20" s="108" t="s">
        <v>588</v>
      </c>
      <c r="J20" s="208" t="s">
        <v>620</v>
      </c>
    </row>
    <row r="21" spans="1:71" ht="50" x14ac:dyDescent="0.35">
      <c r="C21" s="124" t="s">
        <v>219</v>
      </c>
      <c r="D21" s="124" t="s">
        <v>51</v>
      </c>
      <c r="E21" s="113" t="s">
        <v>362</v>
      </c>
      <c r="F21" s="113" t="s">
        <v>58</v>
      </c>
      <c r="G21" s="175" t="s">
        <v>363</v>
      </c>
      <c r="H21" s="176"/>
      <c r="I21" s="108" t="s">
        <v>515</v>
      </c>
      <c r="J21" s="115" t="s">
        <v>617</v>
      </c>
    </row>
    <row r="22" spans="1:71" s="174" customFormat="1" ht="153.5" x14ac:dyDescent="0.35">
      <c r="A22" s="177"/>
      <c r="B22" s="178"/>
      <c r="C22" s="124" t="s">
        <v>219</v>
      </c>
      <c r="D22" s="124" t="s">
        <v>51</v>
      </c>
      <c r="E22" s="124" t="s">
        <v>220</v>
      </c>
      <c r="F22" s="124" t="s">
        <v>58</v>
      </c>
      <c r="G22" s="124" t="s">
        <v>657</v>
      </c>
      <c r="H22" s="124"/>
      <c r="I22" s="108"/>
      <c r="J22" s="115" t="s">
        <v>658</v>
      </c>
      <c r="K22" s="178"/>
      <c r="L22" s="53"/>
      <c r="M22" s="53"/>
      <c r="N22" s="53"/>
      <c r="O22" s="53"/>
      <c r="P22" s="53"/>
      <c r="Q22" s="53"/>
      <c r="R22" s="53"/>
      <c r="S22" s="53"/>
      <c r="T22" s="53"/>
      <c r="U22" s="53"/>
      <c r="V22" s="53"/>
      <c r="W22" s="53"/>
      <c r="X22" s="53"/>
      <c r="Y22" s="53"/>
      <c r="Z22" s="53"/>
      <c r="AA22" s="53"/>
      <c r="AB22" s="53"/>
      <c r="AC22" s="53"/>
      <c r="AD22" s="53"/>
      <c r="AE22" s="53"/>
      <c r="AF22" s="53"/>
      <c r="AG22" s="53"/>
      <c r="AH22" s="53"/>
      <c r="AI22" s="53"/>
      <c r="AJ22" s="53"/>
      <c r="AK22" s="53"/>
      <c r="AL22" s="53"/>
      <c r="AM22" s="53"/>
      <c r="AN22" s="53"/>
      <c r="AO22" s="53"/>
      <c r="AP22" s="53"/>
      <c r="AQ22" s="53"/>
      <c r="AR22" s="53"/>
      <c r="AS22" s="53"/>
      <c r="AT22" s="53"/>
      <c r="AU22" s="53"/>
      <c r="AV22" s="53"/>
      <c r="AW22" s="53"/>
      <c r="AX22" s="53"/>
      <c r="AY22" s="53"/>
      <c r="AZ22" s="53"/>
      <c r="BA22" s="53"/>
      <c r="BB22" s="53"/>
      <c r="BC22" s="53"/>
      <c r="BD22" s="53"/>
      <c r="BE22" s="53"/>
      <c r="BF22" s="53"/>
      <c r="BG22" s="53"/>
      <c r="BH22" s="53"/>
      <c r="BI22" s="53"/>
      <c r="BJ22" s="53"/>
      <c r="BK22" s="53"/>
      <c r="BL22" s="53"/>
      <c r="BM22" s="53"/>
      <c r="BN22" s="53"/>
      <c r="BO22" s="53"/>
      <c r="BP22" s="53"/>
      <c r="BQ22" s="53"/>
      <c r="BR22" s="53"/>
      <c r="BS22" s="53"/>
    </row>
    <row r="23" spans="1:71" ht="50" x14ac:dyDescent="0.35">
      <c r="C23" s="62" t="s">
        <v>219</v>
      </c>
      <c r="D23" s="113" t="s">
        <v>51</v>
      </c>
      <c r="E23" s="113" t="s">
        <v>52</v>
      </c>
      <c r="F23" s="113" t="s">
        <v>53</v>
      </c>
      <c r="G23" s="175" t="s">
        <v>659</v>
      </c>
      <c r="H23" s="176"/>
      <c r="I23" s="108"/>
      <c r="J23" s="115" t="s">
        <v>527</v>
      </c>
    </row>
    <row r="24" spans="1:71" ht="125" x14ac:dyDescent="0.35">
      <c r="C24" s="62" t="s">
        <v>219</v>
      </c>
      <c r="D24" s="113" t="s">
        <v>51</v>
      </c>
      <c r="E24" s="113" t="s">
        <v>223</v>
      </c>
      <c r="F24" s="113" t="s">
        <v>53</v>
      </c>
      <c r="G24" s="175" t="s">
        <v>224</v>
      </c>
      <c r="H24" s="113"/>
      <c r="I24" s="108"/>
      <c r="J24" s="200" t="s">
        <v>528</v>
      </c>
    </row>
    <row r="25" spans="1:71" ht="162.5" x14ac:dyDescent="0.35">
      <c r="C25" s="62" t="s">
        <v>219</v>
      </c>
      <c r="D25" s="113" t="s">
        <v>225</v>
      </c>
      <c r="E25" s="113" t="s">
        <v>226</v>
      </c>
      <c r="F25" s="113" t="s">
        <v>58</v>
      </c>
      <c r="G25" s="175" t="s">
        <v>364</v>
      </c>
      <c r="H25" s="113"/>
      <c r="I25" s="108"/>
      <c r="J25" s="208" t="s">
        <v>618</v>
      </c>
    </row>
    <row r="26" spans="1:71" ht="50" x14ac:dyDescent="0.35">
      <c r="C26" s="62" t="s">
        <v>219</v>
      </c>
      <c r="D26" s="113" t="s">
        <v>51</v>
      </c>
      <c r="E26" s="113" t="s">
        <v>228</v>
      </c>
      <c r="F26" s="113" t="s">
        <v>53</v>
      </c>
      <c r="G26" s="175" t="s">
        <v>229</v>
      </c>
      <c r="H26" s="113"/>
      <c r="I26" s="108"/>
      <c r="J26" s="115" t="s">
        <v>529</v>
      </c>
    </row>
    <row r="27" spans="1:71" ht="237.5" x14ac:dyDescent="0.35">
      <c r="C27" s="62" t="s">
        <v>219</v>
      </c>
      <c r="D27" s="113" t="s">
        <v>51</v>
      </c>
      <c r="E27" s="113" t="s">
        <v>67</v>
      </c>
      <c r="F27" s="113" t="s">
        <v>58</v>
      </c>
      <c r="G27" s="113" t="s">
        <v>230</v>
      </c>
      <c r="H27" s="113"/>
      <c r="I27" s="108"/>
      <c r="J27" s="200" t="s">
        <v>441</v>
      </c>
    </row>
    <row r="28" spans="1:71" ht="225" x14ac:dyDescent="0.35">
      <c r="C28" s="62" t="s">
        <v>219</v>
      </c>
      <c r="D28" s="113" t="s">
        <v>153</v>
      </c>
      <c r="E28" s="113" t="s">
        <v>231</v>
      </c>
      <c r="F28" s="113" t="s">
        <v>53</v>
      </c>
      <c r="G28" s="175" t="s">
        <v>660</v>
      </c>
      <c r="H28" s="113"/>
      <c r="I28" s="108"/>
      <c r="J28" s="115" t="s">
        <v>611</v>
      </c>
    </row>
    <row r="29" spans="1:71" ht="277" x14ac:dyDescent="0.35">
      <c r="C29" s="62" t="s">
        <v>219</v>
      </c>
      <c r="D29" s="113" t="s">
        <v>153</v>
      </c>
      <c r="E29" s="113" t="s">
        <v>89</v>
      </c>
      <c r="F29" s="113" t="s">
        <v>58</v>
      </c>
      <c r="G29" s="113" t="s">
        <v>661</v>
      </c>
      <c r="H29" s="113"/>
      <c r="I29" s="108"/>
      <c r="J29" s="115" t="s">
        <v>612</v>
      </c>
    </row>
    <row r="30" spans="1:71" ht="276.5" x14ac:dyDescent="0.35">
      <c r="C30" s="62" t="s">
        <v>219</v>
      </c>
      <c r="D30" s="113" t="s">
        <v>153</v>
      </c>
      <c r="E30" s="113" t="s">
        <v>91</v>
      </c>
      <c r="F30" s="113" t="s">
        <v>53</v>
      </c>
      <c r="G30" s="113" t="s">
        <v>234</v>
      </c>
      <c r="H30" s="113"/>
      <c r="I30" s="108"/>
      <c r="J30" s="115" t="s">
        <v>613</v>
      </c>
    </row>
    <row r="31" spans="1:71" ht="37.5" x14ac:dyDescent="0.35">
      <c r="C31" s="62" t="s">
        <v>219</v>
      </c>
      <c r="D31" s="113" t="s">
        <v>153</v>
      </c>
      <c r="E31" s="113" t="s">
        <v>154</v>
      </c>
      <c r="F31" s="113" t="s">
        <v>58</v>
      </c>
      <c r="G31" s="113" t="s">
        <v>155</v>
      </c>
      <c r="H31" s="113"/>
      <c r="I31" s="108"/>
      <c r="J31" s="115" t="s">
        <v>549</v>
      </c>
    </row>
    <row r="32" spans="1:71" ht="37.5" x14ac:dyDescent="0.35">
      <c r="C32" s="62" t="s">
        <v>219</v>
      </c>
      <c r="D32" s="113" t="s">
        <v>51</v>
      </c>
      <c r="E32" s="113" t="s">
        <v>124</v>
      </c>
      <c r="F32" s="113" t="s">
        <v>58</v>
      </c>
      <c r="G32" s="113" t="s">
        <v>125</v>
      </c>
      <c r="H32" s="113"/>
      <c r="I32" s="108"/>
      <c r="J32" s="214" t="s">
        <v>662</v>
      </c>
    </row>
    <row r="33" spans="3:10" ht="250.5" x14ac:dyDescent="0.35">
      <c r="C33" s="62" t="s">
        <v>219</v>
      </c>
      <c r="D33" s="113" t="s">
        <v>153</v>
      </c>
      <c r="E33" s="113" t="s">
        <v>165</v>
      </c>
      <c r="F33" s="113" t="s">
        <v>53</v>
      </c>
      <c r="G33" s="113" t="s">
        <v>235</v>
      </c>
      <c r="H33" s="113"/>
      <c r="I33" s="108"/>
      <c r="J33" s="115" t="s">
        <v>614</v>
      </c>
    </row>
    <row r="34" spans="3:10" ht="213.5" x14ac:dyDescent="0.35">
      <c r="C34" s="62" t="s">
        <v>219</v>
      </c>
      <c r="D34" s="113" t="s">
        <v>153</v>
      </c>
      <c r="E34" s="113" t="s">
        <v>154</v>
      </c>
      <c r="F34" s="113" t="s">
        <v>58</v>
      </c>
      <c r="G34" s="113" t="s">
        <v>171</v>
      </c>
      <c r="H34" s="113"/>
      <c r="I34" s="108"/>
      <c r="J34" s="115" t="s">
        <v>615</v>
      </c>
    </row>
    <row r="35" spans="3:10" ht="37.5" x14ac:dyDescent="0.35">
      <c r="C35" s="62" t="s">
        <v>219</v>
      </c>
      <c r="D35" s="113" t="s">
        <v>153</v>
      </c>
      <c r="E35" s="113" t="s">
        <v>172</v>
      </c>
      <c r="F35" s="113" t="s">
        <v>53</v>
      </c>
      <c r="G35" s="113" t="s">
        <v>236</v>
      </c>
      <c r="H35" s="113"/>
      <c r="I35" s="108"/>
      <c r="J35" s="115" t="s">
        <v>550</v>
      </c>
    </row>
    <row r="36" spans="3:10" ht="51" x14ac:dyDescent="0.35">
      <c r="C36" s="128" t="s">
        <v>219</v>
      </c>
      <c r="D36" s="117" t="s">
        <v>153</v>
      </c>
      <c r="E36" s="117" t="s">
        <v>237</v>
      </c>
      <c r="F36" s="117" t="s">
        <v>53</v>
      </c>
      <c r="G36" s="116" t="s">
        <v>238</v>
      </c>
      <c r="H36" s="123"/>
      <c r="I36" s="129"/>
      <c r="J36" s="115" t="s">
        <v>551</v>
      </c>
    </row>
    <row r="37" spans="3:10" ht="37.5" x14ac:dyDescent="0.35">
      <c r="C37" s="62" t="s">
        <v>219</v>
      </c>
      <c r="D37" s="113" t="s">
        <v>51</v>
      </c>
      <c r="E37" s="113" t="s">
        <v>365</v>
      </c>
      <c r="F37" s="113" t="s">
        <v>53</v>
      </c>
      <c r="G37" s="175" t="s">
        <v>366</v>
      </c>
      <c r="H37" s="113"/>
      <c r="I37" s="108"/>
      <c r="J37" s="115" t="s">
        <v>620</v>
      </c>
    </row>
    <row r="38" spans="3:10" ht="44" customHeight="1" x14ac:dyDescent="0.35">
      <c r="C38" s="255" t="s">
        <v>415</v>
      </c>
      <c r="D38" s="255"/>
      <c r="E38" s="255"/>
      <c r="F38" s="255"/>
      <c r="G38" s="255"/>
      <c r="H38" s="62"/>
      <c r="I38" s="256"/>
      <c r="J38" s="256"/>
    </row>
    <row r="39" spans="3:10" x14ac:dyDescent="0.35">
      <c r="D39" s="188"/>
      <c r="E39" s="189"/>
      <c r="F39" s="189"/>
      <c r="G39" s="190"/>
      <c r="H39" s="189"/>
      <c r="I39" s="191"/>
      <c r="J39" s="192"/>
    </row>
    <row r="40" spans="3:10" ht="14.5" customHeight="1" x14ac:dyDescent="0.35">
      <c r="C40" s="250" t="s">
        <v>151</v>
      </c>
      <c r="D40" s="250"/>
      <c r="E40" s="250"/>
      <c r="F40" s="250"/>
      <c r="G40" s="250"/>
      <c r="H40" s="250"/>
      <c r="I40" s="250"/>
      <c r="J40" s="250"/>
    </row>
    <row r="41" spans="3:10" x14ac:dyDescent="0.35">
      <c r="C41" s="251"/>
      <c r="D41" s="252"/>
      <c r="E41" s="252"/>
      <c r="F41" s="252"/>
      <c r="G41" s="252"/>
      <c r="H41" s="252"/>
      <c r="I41" s="252"/>
      <c r="J41" s="253"/>
    </row>
    <row r="42" spans="3:10" x14ac:dyDescent="0.35">
      <c r="C42" s="44"/>
      <c r="D42" s="16"/>
      <c r="E42" s="16"/>
      <c r="F42" s="16"/>
      <c r="G42" s="16"/>
      <c r="H42" s="16"/>
      <c r="I42" s="18"/>
      <c r="J42" s="18"/>
    </row>
    <row r="43" spans="3:10" ht="14.5" customHeight="1" x14ac:dyDescent="0.35">
      <c r="C43" s="250" t="s">
        <v>152</v>
      </c>
      <c r="D43" s="250"/>
      <c r="E43" s="250"/>
      <c r="F43" s="250"/>
      <c r="G43" s="250"/>
      <c r="H43" s="250"/>
      <c r="I43" s="250"/>
      <c r="J43" s="250"/>
    </row>
    <row r="44" spans="3:10" x14ac:dyDescent="0.35">
      <c r="C44" s="257"/>
      <c r="D44" s="257"/>
      <c r="E44" s="257"/>
      <c r="F44" s="257"/>
      <c r="G44" s="257"/>
      <c r="H44" s="257"/>
      <c r="I44" s="257"/>
      <c r="J44" s="257"/>
    </row>
    <row r="45" spans="3:10" x14ac:dyDescent="0.35">
      <c r="C45" s="44"/>
      <c r="D45" s="44"/>
      <c r="E45" s="44"/>
      <c r="F45" s="44"/>
      <c r="G45" s="44"/>
      <c r="H45" s="44"/>
      <c r="I45" s="44"/>
      <c r="J45" s="44"/>
    </row>
    <row r="46" spans="3:10" ht="14.5" customHeight="1" x14ac:dyDescent="0.35">
      <c r="C46" s="250" t="s">
        <v>416</v>
      </c>
      <c r="D46" s="250"/>
      <c r="E46" s="250"/>
      <c r="F46" s="250"/>
      <c r="G46" s="250"/>
      <c r="H46" s="250"/>
      <c r="I46" s="250"/>
      <c r="J46" s="250"/>
    </row>
    <row r="47" spans="3:10" ht="35" customHeight="1" x14ac:dyDescent="0.35">
      <c r="C47" s="245" t="s">
        <v>653</v>
      </c>
      <c r="D47" s="246"/>
      <c r="E47" s="246"/>
      <c r="F47" s="246"/>
      <c r="G47" s="246"/>
      <c r="H47" s="246"/>
      <c r="I47" s="246"/>
      <c r="J47" s="247"/>
    </row>
    <row r="48" spans="3:10" x14ac:dyDescent="0.35">
      <c r="C48" s="44"/>
      <c r="D48" s="44"/>
      <c r="E48" s="44"/>
      <c r="F48" s="44"/>
      <c r="G48" s="143"/>
      <c r="H48" s="44"/>
      <c r="I48" s="44"/>
      <c r="J48" s="44"/>
    </row>
    <row r="49" spans="2:11" x14ac:dyDescent="0.35">
      <c r="C49" s="44"/>
      <c r="D49" s="44"/>
      <c r="E49" s="44"/>
      <c r="F49" s="44"/>
      <c r="G49" s="143"/>
      <c r="H49" s="44"/>
      <c r="I49" s="44"/>
      <c r="J49" s="44"/>
    </row>
    <row r="50" spans="2:11" x14ac:dyDescent="0.35">
      <c r="C50" s="44"/>
      <c r="D50" s="44"/>
      <c r="E50" s="44"/>
      <c r="F50" s="44"/>
      <c r="G50" s="143"/>
      <c r="H50" s="44"/>
      <c r="I50" s="44"/>
      <c r="J50" s="44"/>
    </row>
    <row r="51" spans="2:11" x14ac:dyDescent="0.35">
      <c r="C51" s="44"/>
      <c r="D51" s="44"/>
      <c r="E51" s="44"/>
      <c r="F51" s="44"/>
      <c r="G51" s="143"/>
      <c r="H51" s="44"/>
      <c r="I51" s="44"/>
      <c r="J51" s="44"/>
    </row>
    <row r="52" spans="2:11" x14ac:dyDescent="0.35">
      <c r="B52" s="45"/>
      <c r="C52" s="45"/>
      <c r="D52" s="45"/>
      <c r="E52" s="45"/>
      <c r="F52" s="45"/>
      <c r="G52" s="144"/>
      <c r="H52" s="45"/>
      <c r="I52" s="45"/>
      <c r="J52" s="45"/>
      <c r="K52" s="45"/>
    </row>
    <row r="53" spans="2:11" x14ac:dyDescent="0.35">
      <c r="B53" s="45"/>
      <c r="C53" s="45"/>
      <c r="D53" s="45"/>
      <c r="E53" s="45"/>
      <c r="F53" s="45"/>
      <c r="G53" s="144"/>
      <c r="H53" s="45"/>
      <c r="I53" s="45"/>
      <c r="J53" s="45"/>
      <c r="K53" s="45"/>
    </row>
    <row r="54" spans="2:11" x14ac:dyDescent="0.35">
      <c r="B54" s="45"/>
      <c r="C54" s="45"/>
      <c r="D54" s="45"/>
      <c r="E54" s="45"/>
      <c r="F54" s="45"/>
      <c r="G54" s="144"/>
      <c r="H54" s="45"/>
      <c r="I54" s="45"/>
      <c r="J54" s="45"/>
      <c r="K54" s="45"/>
    </row>
    <row r="55" spans="2:11" x14ac:dyDescent="0.35">
      <c r="B55" s="45"/>
      <c r="C55" s="45"/>
      <c r="D55" s="45"/>
      <c r="E55" s="45"/>
      <c r="F55" s="45"/>
      <c r="G55" s="144"/>
      <c r="H55" s="45"/>
      <c r="I55" s="45"/>
      <c r="J55" s="45"/>
      <c r="K55" s="45"/>
    </row>
    <row r="56" spans="2:11" x14ac:dyDescent="0.35">
      <c r="B56" s="45"/>
      <c r="C56" s="45"/>
      <c r="D56" s="45"/>
      <c r="E56" s="45"/>
      <c r="F56" s="45"/>
      <c r="G56" s="144"/>
      <c r="H56" s="45"/>
      <c r="I56" s="45"/>
      <c r="J56" s="45"/>
      <c r="K56" s="45"/>
    </row>
    <row r="57" spans="2:11" x14ac:dyDescent="0.35">
      <c r="B57" s="45"/>
      <c r="C57" s="45"/>
      <c r="D57" s="45"/>
      <c r="E57" s="45"/>
      <c r="F57" s="45"/>
      <c r="G57" s="144"/>
      <c r="H57" s="45"/>
      <c r="I57" s="45"/>
      <c r="J57" s="45"/>
      <c r="K57" s="45"/>
    </row>
    <row r="58" spans="2:11" x14ac:dyDescent="0.35">
      <c r="B58" s="45"/>
      <c r="C58" s="45"/>
      <c r="D58" s="45"/>
      <c r="E58" s="45"/>
      <c r="F58" s="45"/>
      <c r="G58" s="144"/>
      <c r="H58" s="45"/>
      <c r="I58" s="45"/>
      <c r="J58" s="45"/>
      <c r="K58" s="45"/>
    </row>
    <row r="59" spans="2:11" x14ac:dyDescent="0.35">
      <c r="B59" s="45"/>
      <c r="C59" s="45"/>
      <c r="D59" s="45"/>
      <c r="E59" s="45"/>
      <c r="F59" s="45"/>
      <c r="G59" s="144"/>
      <c r="H59" s="45"/>
      <c r="I59" s="45"/>
      <c r="J59" s="45"/>
      <c r="K59" s="45"/>
    </row>
    <row r="60" spans="2:11" x14ac:dyDescent="0.35">
      <c r="B60" s="45"/>
      <c r="C60" s="45"/>
      <c r="D60" s="45"/>
      <c r="E60" s="45"/>
      <c r="F60" s="45"/>
      <c r="G60" s="144"/>
      <c r="H60" s="45"/>
      <c r="I60" s="45"/>
      <c r="J60" s="45"/>
      <c r="K60" s="45"/>
    </row>
    <row r="61" spans="2:11" x14ac:dyDescent="0.35">
      <c r="B61" s="45"/>
      <c r="C61" s="45"/>
      <c r="D61" s="45"/>
      <c r="E61" s="45"/>
      <c r="F61" s="45"/>
      <c r="G61" s="144"/>
      <c r="H61" s="45"/>
      <c r="I61" s="45"/>
      <c r="J61" s="45"/>
      <c r="K61" s="45"/>
    </row>
    <row r="62" spans="2:11" x14ac:dyDescent="0.35">
      <c r="B62" s="45"/>
      <c r="C62" s="45"/>
      <c r="D62" s="45"/>
      <c r="E62" s="45"/>
      <c r="F62" s="45"/>
      <c r="G62" s="144"/>
      <c r="H62" s="45"/>
      <c r="I62" s="45"/>
      <c r="J62" s="45"/>
      <c r="K62" s="45"/>
    </row>
    <row r="63" spans="2:11" x14ac:dyDescent="0.35">
      <c r="B63" s="45"/>
      <c r="C63" s="45"/>
      <c r="D63" s="45"/>
      <c r="E63" s="45"/>
      <c r="F63" s="45"/>
      <c r="G63" s="144"/>
      <c r="H63" s="45"/>
      <c r="I63" s="45"/>
      <c r="J63" s="45"/>
      <c r="K63" s="45"/>
    </row>
    <row r="64" spans="2:11" x14ac:dyDescent="0.35">
      <c r="B64" s="45"/>
      <c r="C64" s="45"/>
      <c r="D64" s="45"/>
      <c r="E64" s="45"/>
      <c r="F64" s="45"/>
      <c r="G64" s="144"/>
      <c r="H64" s="45"/>
      <c r="I64" s="45"/>
      <c r="J64" s="45"/>
      <c r="K64" s="45"/>
    </row>
    <row r="65" spans="2:11" x14ac:dyDescent="0.35">
      <c r="B65" s="45"/>
      <c r="C65" s="45"/>
      <c r="D65" s="45"/>
      <c r="E65" s="45"/>
      <c r="F65" s="45"/>
      <c r="G65" s="144"/>
      <c r="H65" s="45"/>
      <c r="I65" s="45"/>
      <c r="J65" s="45"/>
      <c r="K65" s="45"/>
    </row>
    <row r="66" spans="2:11" x14ac:dyDescent="0.35">
      <c r="B66" s="45"/>
      <c r="C66" s="45"/>
      <c r="D66" s="45"/>
      <c r="E66" s="45"/>
      <c r="F66" s="45"/>
      <c r="G66" s="144"/>
      <c r="H66" s="45"/>
      <c r="I66" s="45"/>
      <c r="J66" s="45"/>
      <c r="K66" s="45"/>
    </row>
    <row r="67" spans="2:11" x14ac:dyDescent="0.35">
      <c r="B67" s="45"/>
      <c r="C67" s="45"/>
      <c r="D67" s="45"/>
      <c r="E67" s="45"/>
      <c r="F67" s="45"/>
      <c r="G67" s="144"/>
      <c r="H67" s="45"/>
      <c r="I67" s="45"/>
      <c r="J67" s="45"/>
      <c r="K67" s="45"/>
    </row>
    <row r="68" spans="2:11" x14ac:dyDescent="0.35">
      <c r="B68" s="45"/>
      <c r="C68" s="45"/>
      <c r="D68" s="45"/>
      <c r="E68" s="45"/>
      <c r="F68" s="45"/>
      <c r="G68" s="144"/>
      <c r="H68" s="45"/>
      <c r="I68" s="45"/>
      <c r="J68" s="45"/>
      <c r="K68" s="45"/>
    </row>
    <row r="69" spans="2:11" x14ac:dyDescent="0.35">
      <c r="B69" s="45"/>
      <c r="C69" s="45"/>
      <c r="D69" s="45"/>
      <c r="E69" s="45"/>
      <c r="F69" s="45"/>
      <c r="G69" s="144"/>
      <c r="H69" s="45"/>
      <c r="I69" s="45"/>
      <c r="J69" s="45"/>
      <c r="K69" s="45"/>
    </row>
    <row r="70" spans="2:11" x14ac:dyDescent="0.35">
      <c r="B70" s="45"/>
      <c r="C70" s="45"/>
      <c r="D70" s="45"/>
      <c r="E70" s="45"/>
      <c r="F70" s="45"/>
      <c r="G70" s="144"/>
      <c r="H70" s="45"/>
      <c r="I70" s="45"/>
      <c r="J70" s="45"/>
      <c r="K70" s="45"/>
    </row>
    <row r="71" spans="2:11" x14ac:dyDescent="0.35">
      <c r="B71" s="45"/>
      <c r="C71" s="45"/>
      <c r="D71" s="45"/>
      <c r="E71" s="45"/>
      <c r="F71" s="45"/>
      <c r="G71" s="144"/>
      <c r="H71" s="45"/>
      <c r="I71" s="45"/>
      <c r="J71" s="45"/>
      <c r="K71" s="45"/>
    </row>
    <row r="72" spans="2:11" x14ac:dyDescent="0.35">
      <c r="B72" s="45"/>
      <c r="C72" s="45"/>
      <c r="D72" s="45"/>
      <c r="E72" s="45"/>
      <c r="F72" s="45"/>
      <c r="G72" s="144"/>
      <c r="H72" s="45"/>
      <c r="I72" s="45"/>
      <c r="J72" s="45"/>
      <c r="K72" s="45"/>
    </row>
    <row r="73" spans="2:11" x14ac:dyDescent="0.35">
      <c r="B73" s="45"/>
      <c r="C73" s="45"/>
      <c r="D73" s="45"/>
      <c r="E73" s="45"/>
      <c r="F73" s="45"/>
      <c r="G73" s="144"/>
      <c r="H73" s="45"/>
      <c r="I73" s="45"/>
      <c r="J73" s="45"/>
      <c r="K73" s="45"/>
    </row>
    <row r="74" spans="2:11" x14ac:dyDescent="0.35">
      <c r="B74" s="45"/>
      <c r="C74" s="45"/>
      <c r="D74" s="45"/>
      <c r="E74" s="45"/>
      <c r="F74" s="45"/>
      <c r="G74" s="144"/>
      <c r="H74" s="45"/>
      <c r="I74" s="45"/>
      <c r="J74" s="45"/>
      <c r="K74" s="45"/>
    </row>
    <row r="75" spans="2:11" x14ac:dyDescent="0.35">
      <c r="B75" s="45"/>
      <c r="C75" s="45"/>
      <c r="D75" s="45"/>
      <c r="E75" s="45"/>
      <c r="F75" s="45"/>
      <c r="G75" s="144"/>
      <c r="H75" s="45"/>
      <c r="I75" s="45"/>
      <c r="J75" s="45"/>
      <c r="K75" s="45"/>
    </row>
    <row r="76" spans="2:11" x14ac:dyDescent="0.35">
      <c r="B76" s="45"/>
      <c r="C76" s="45"/>
      <c r="D76" s="45"/>
      <c r="E76" s="45"/>
      <c r="F76" s="45"/>
      <c r="G76" s="144"/>
      <c r="H76" s="45"/>
      <c r="I76" s="45"/>
      <c r="J76" s="45"/>
      <c r="K76" s="45"/>
    </row>
    <row r="77" spans="2:11" x14ac:dyDescent="0.35">
      <c r="B77" s="45"/>
      <c r="C77" s="45"/>
      <c r="D77" s="45"/>
      <c r="E77" s="45"/>
      <c r="F77" s="45"/>
      <c r="G77" s="144"/>
      <c r="H77" s="45"/>
      <c r="I77" s="45"/>
      <c r="J77" s="45"/>
      <c r="K77" s="45"/>
    </row>
    <row r="78" spans="2:11" x14ac:dyDescent="0.35">
      <c r="B78" s="45"/>
      <c r="C78" s="45"/>
      <c r="D78" s="45"/>
      <c r="E78" s="45"/>
      <c r="F78" s="45"/>
      <c r="G78" s="144"/>
      <c r="H78" s="45"/>
      <c r="I78" s="45"/>
      <c r="J78" s="45"/>
      <c r="K78" s="45"/>
    </row>
    <row r="79" spans="2:11" x14ac:dyDescent="0.35">
      <c r="B79" s="45"/>
      <c r="C79" s="45"/>
      <c r="D79" s="45"/>
      <c r="E79" s="45"/>
      <c r="F79" s="45"/>
      <c r="G79" s="144"/>
      <c r="H79" s="45"/>
      <c r="I79" s="45"/>
      <c r="J79" s="45"/>
      <c r="K79" s="45"/>
    </row>
    <row r="80" spans="2:11" x14ac:dyDescent="0.35">
      <c r="B80" s="45"/>
      <c r="C80" s="45"/>
      <c r="D80" s="45"/>
      <c r="E80" s="45"/>
      <c r="F80" s="45"/>
      <c r="G80" s="144"/>
      <c r="H80" s="45"/>
      <c r="I80" s="45"/>
      <c r="J80" s="45"/>
      <c r="K80" s="45"/>
    </row>
    <row r="81" spans="2:11" x14ac:dyDescent="0.35">
      <c r="B81" s="45"/>
      <c r="C81" s="45"/>
      <c r="D81" s="45"/>
      <c r="E81" s="45"/>
      <c r="F81" s="45"/>
      <c r="G81" s="144"/>
      <c r="H81" s="45"/>
      <c r="I81" s="45"/>
      <c r="J81" s="45"/>
      <c r="K81" s="45"/>
    </row>
    <row r="82" spans="2:11" x14ac:dyDescent="0.35">
      <c r="B82" s="45"/>
      <c r="C82" s="45"/>
      <c r="D82" s="45"/>
      <c r="E82" s="45"/>
      <c r="F82" s="45"/>
      <c r="G82" s="144"/>
      <c r="H82" s="45"/>
      <c r="I82" s="45"/>
      <c r="J82" s="45"/>
      <c r="K82" s="45"/>
    </row>
    <row r="83" spans="2:11" x14ac:dyDescent="0.35">
      <c r="B83" s="45"/>
      <c r="C83" s="45"/>
      <c r="D83" s="45"/>
      <c r="E83" s="45"/>
      <c r="F83" s="45"/>
      <c r="G83" s="144"/>
      <c r="H83" s="45"/>
      <c r="I83" s="45"/>
      <c r="J83" s="45"/>
      <c r="K83" s="45"/>
    </row>
    <row r="84" spans="2:11" x14ac:dyDescent="0.35">
      <c r="B84" s="45"/>
      <c r="C84" s="45"/>
      <c r="D84" s="45"/>
      <c r="E84" s="45"/>
      <c r="F84" s="45"/>
      <c r="G84" s="144"/>
      <c r="H84" s="45"/>
      <c r="I84" s="45"/>
      <c r="J84" s="45"/>
      <c r="K84" s="45"/>
    </row>
    <row r="85" spans="2:11" x14ac:dyDescent="0.35">
      <c r="B85" s="45"/>
      <c r="C85" s="45"/>
      <c r="D85" s="45"/>
      <c r="E85" s="45"/>
      <c r="F85" s="45"/>
      <c r="G85" s="144"/>
      <c r="H85" s="45"/>
      <c r="I85" s="45"/>
      <c r="J85" s="45"/>
      <c r="K85" s="45"/>
    </row>
    <row r="86" spans="2:11" x14ac:dyDescent="0.35">
      <c r="B86" s="45"/>
      <c r="C86" s="45"/>
      <c r="D86" s="45"/>
      <c r="E86" s="45"/>
      <c r="F86" s="45"/>
      <c r="G86" s="144"/>
      <c r="H86" s="45"/>
      <c r="I86" s="45"/>
      <c r="J86" s="45"/>
      <c r="K86" s="45"/>
    </row>
    <row r="87" spans="2:11" x14ac:dyDescent="0.35">
      <c r="B87" s="45"/>
      <c r="C87" s="45"/>
      <c r="D87" s="45"/>
      <c r="E87" s="45"/>
      <c r="F87" s="45"/>
      <c r="G87" s="144"/>
      <c r="H87" s="45"/>
      <c r="I87" s="45"/>
      <c r="J87" s="45"/>
      <c r="K87" s="45"/>
    </row>
    <row r="88" spans="2:11" x14ac:dyDescent="0.35">
      <c r="B88" s="45"/>
      <c r="C88" s="45"/>
      <c r="D88" s="45"/>
      <c r="E88" s="45"/>
      <c r="F88" s="45"/>
      <c r="G88" s="144"/>
      <c r="H88" s="45"/>
      <c r="I88" s="45"/>
      <c r="J88" s="45"/>
      <c r="K88" s="45"/>
    </row>
    <row r="89" spans="2:11" x14ac:dyDescent="0.35">
      <c r="B89" s="45"/>
      <c r="C89" s="45"/>
      <c r="D89" s="45"/>
      <c r="E89" s="45"/>
      <c r="F89" s="45"/>
      <c r="G89" s="144"/>
      <c r="H89" s="45"/>
      <c r="I89" s="45"/>
      <c r="J89" s="45"/>
      <c r="K89" s="45"/>
    </row>
    <row r="90" spans="2:11" x14ac:dyDescent="0.35">
      <c r="B90" s="45"/>
      <c r="C90" s="45"/>
      <c r="D90" s="45"/>
      <c r="E90" s="45"/>
      <c r="F90" s="45"/>
      <c r="G90" s="144"/>
      <c r="H90" s="45"/>
      <c r="I90" s="45"/>
      <c r="J90" s="45"/>
      <c r="K90" s="45"/>
    </row>
    <row r="91" spans="2:11" x14ac:dyDescent="0.35">
      <c r="B91" s="45"/>
      <c r="C91" s="45"/>
      <c r="D91" s="45"/>
      <c r="E91" s="45"/>
      <c r="F91" s="45"/>
      <c r="G91" s="144"/>
      <c r="H91" s="45"/>
      <c r="I91" s="45"/>
      <c r="J91" s="45"/>
      <c r="K91" s="45"/>
    </row>
    <row r="92" spans="2:11" x14ac:dyDescent="0.35">
      <c r="B92" s="45"/>
      <c r="C92" s="45"/>
      <c r="D92" s="45"/>
      <c r="E92" s="45"/>
      <c r="F92" s="45"/>
      <c r="G92" s="144"/>
      <c r="H92" s="45"/>
      <c r="I92" s="45"/>
      <c r="J92" s="45"/>
      <c r="K92" s="45"/>
    </row>
    <row r="93" spans="2:11" x14ac:dyDescent="0.35">
      <c r="B93" s="45"/>
      <c r="C93" s="45"/>
      <c r="D93" s="45"/>
      <c r="E93" s="45"/>
      <c r="F93" s="45"/>
      <c r="G93" s="144"/>
      <c r="H93" s="45"/>
      <c r="I93" s="45"/>
      <c r="J93" s="45"/>
      <c r="K93" s="45"/>
    </row>
    <row r="94" spans="2:11" x14ac:dyDescent="0.35">
      <c r="B94" s="45"/>
      <c r="C94" s="45"/>
      <c r="D94" s="45"/>
      <c r="E94" s="45"/>
      <c r="F94" s="45"/>
      <c r="G94" s="144"/>
      <c r="H94" s="45"/>
      <c r="I94" s="45"/>
      <c r="J94" s="45"/>
      <c r="K94" s="45"/>
    </row>
    <row r="95" spans="2:11" x14ac:dyDescent="0.35">
      <c r="B95" s="45"/>
      <c r="C95" s="45"/>
      <c r="D95" s="45"/>
      <c r="E95" s="45"/>
      <c r="F95" s="45"/>
      <c r="G95" s="144"/>
      <c r="H95" s="45"/>
      <c r="I95" s="45"/>
      <c r="J95" s="45"/>
      <c r="K95" s="45"/>
    </row>
    <row r="96" spans="2:11" x14ac:dyDescent="0.35">
      <c r="B96" s="45"/>
      <c r="C96" s="45"/>
      <c r="D96" s="45"/>
      <c r="E96" s="45"/>
      <c r="F96" s="45"/>
      <c r="G96" s="144"/>
      <c r="H96" s="45"/>
      <c r="I96" s="45"/>
      <c r="J96" s="45"/>
      <c r="K96" s="45"/>
    </row>
    <row r="97" spans="2:11" x14ac:dyDescent="0.35">
      <c r="B97" s="45"/>
      <c r="C97" s="45"/>
      <c r="D97" s="45"/>
      <c r="E97" s="45"/>
      <c r="F97" s="45"/>
      <c r="G97" s="144"/>
      <c r="H97" s="45"/>
      <c r="I97" s="45"/>
      <c r="J97" s="45"/>
      <c r="K97" s="45"/>
    </row>
    <row r="98" spans="2:11" x14ac:dyDescent="0.35">
      <c r="B98" s="45"/>
      <c r="C98" s="45"/>
      <c r="D98" s="45"/>
      <c r="E98" s="45"/>
      <c r="F98" s="45"/>
      <c r="G98" s="144"/>
      <c r="H98" s="45"/>
      <c r="I98" s="45"/>
      <c r="J98" s="45"/>
      <c r="K98" s="45"/>
    </row>
    <row r="99" spans="2:11" x14ac:dyDescent="0.35">
      <c r="B99" s="45"/>
      <c r="C99" s="45"/>
      <c r="D99" s="45"/>
      <c r="E99" s="45"/>
      <c r="F99" s="45"/>
      <c r="G99" s="144"/>
      <c r="H99" s="45"/>
      <c r="I99" s="45"/>
      <c r="J99" s="45"/>
      <c r="K99" s="45"/>
    </row>
    <row r="100" spans="2:11" x14ac:dyDescent="0.35">
      <c r="B100" s="45"/>
      <c r="C100" s="45"/>
      <c r="D100" s="45"/>
      <c r="E100" s="45"/>
      <c r="F100" s="45"/>
      <c r="G100" s="144"/>
      <c r="H100" s="45"/>
      <c r="I100" s="45"/>
      <c r="J100" s="45"/>
      <c r="K100" s="45"/>
    </row>
    <row r="101" spans="2:11" x14ac:dyDescent="0.35">
      <c r="B101" s="45"/>
      <c r="C101" s="45"/>
      <c r="D101" s="45"/>
      <c r="E101" s="45"/>
      <c r="F101" s="45"/>
      <c r="G101" s="144"/>
      <c r="H101" s="45"/>
      <c r="I101" s="45"/>
      <c r="J101" s="45"/>
      <c r="K101" s="45"/>
    </row>
    <row r="102" spans="2:11" x14ac:dyDescent="0.35">
      <c r="B102" s="45"/>
      <c r="C102" s="45"/>
      <c r="D102" s="45"/>
      <c r="E102" s="45"/>
      <c r="F102" s="45"/>
      <c r="G102" s="144"/>
      <c r="H102" s="45"/>
      <c r="I102" s="45"/>
      <c r="J102" s="45"/>
      <c r="K102" s="45"/>
    </row>
    <row r="103" spans="2:11" x14ac:dyDescent="0.35">
      <c r="B103" s="45"/>
      <c r="C103" s="45"/>
      <c r="D103" s="45"/>
      <c r="E103" s="45"/>
      <c r="F103" s="45"/>
      <c r="G103" s="144"/>
      <c r="H103" s="45"/>
      <c r="I103" s="45"/>
      <c r="J103" s="45"/>
      <c r="K103" s="45"/>
    </row>
    <row r="104" spans="2:11" x14ac:dyDescent="0.35">
      <c r="B104" s="45"/>
      <c r="C104" s="45"/>
      <c r="D104" s="45"/>
      <c r="E104" s="45"/>
      <c r="F104" s="45"/>
      <c r="G104" s="144"/>
      <c r="H104" s="45"/>
      <c r="I104" s="45"/>
      <c r="J104" s="45"/>
      <c r="K104" s="45"/>
    </row>
    <row r="105" spans="2:11" x14ac:dyDescent="0.35">
      <c r="B105" s="45"/>
      <c r="C105" s="45"/>
      <c r="D105" s="45"/>
      <c r="E105" s="45"/>
      <c r="F105" s="45"/>
      <c r="G105" s="144"/>
      <c r="H105" s="45"/>
      <c r="I105" s="45"/>
      <c r="J105" s="45"/>
      <c r="K105" s="45"/>
    </row>
    <row r="106" spans="2:11" x14ac:dyDescent="0.35">
      <c r="B106" s="45"/>
      <c r="C106" s="45"/>
      <c r="D106" s="45"/>
      <c r="E106" s="45"/>
      <c r="F106" s="45"/>
      <c r="G106" s="144"/>
      <c r="H106" s="45"/>
      <c r="I106" s="45"/>
      <c r="J106" s="45"/>
      <c r="K106" s="45"/>
    </row>
    <row r="107" spans="2:11" x14ac:dyDescent="0.35">
      <c r="B107" s="45"/>
      <c r="C107" s="45"/>
      <c r="D107" s="45"/>
      <c r="E107" s="45"/>
      <c r="F107" s="45"/>
      <c r="G107" s="144"/>
      <c r="H107" s="45"/>
      <c r="I107" s="45"/>
      <c r="J107" s="45"/>
      <c r="K107" s="45"/>
    </row>
    <row r="108" spans="2:11" x14ac:dyDescent="0.35">
      <c r="B108" s="45"/>
      <c r="C108" s="45"/>
      <c r="D108" s="45"/>
      <c r="E108" s="45"/>
      <c r="F108" s="45"/>
      <c r="G108" s="144"/>
      <c r="H108" s="45"/>
      <c r="I108" s="45"/>
      <c r="J108" s="45"/>
      <c r="K108" s="45"/>
    </row>
    <row r="109" spans="2:11" x14ac:dyDescent="0.35">
      <c r="B109" s="45"/>
      <c r="C109" s="45"/>
      <c r="D109" s="45"/>
      <c r="E109" s="45"/>
      <c r="F109" s="45"/>
      <c r="G109" s="144"/>
      <c r="H109" s="45"/>
      <c r="I109" s="45"/>
      <c r="J109" s="45"/>
      <c r="K109" s="45"/>
    </row>
    <row r="110" spans="2:11" x14ac:dyDescent="0.35">
      <c r="B110" s="45"/>
      <c r="C110" s="45"/>
      <c r="D110" s="45"/>
      <c r="E110" s="45"/>
      <c r="F110" s="45"/>
      <c r="G110" s="144"/>
      <c r="H110" s="45"/>
      <c r="I110" s="45"/>
      <c r="J110" s="45"/>
      <c r="K110" s="45"/>
    </row>
    <row r="111" spans="2:11" x14ac:dyDescent="0.35">
      <c r="B111" s="45"/>
      <c r="C111" s="45"/>
      <c r="D111" s="45"/>
      <c r="E111" s="45"/>
      <c r="F111" s="45"/>
      <c r="G111" s="144"/>
      <c r="H111" s="45"/>
      <c r="I111" s="45"/>
      <c r="J111" s="45"/>
      <c r="K111" s="45"/>
    </row>
    <row r="112" spans="2:11" x14ac:dyDescent="0.35">
      <c r="B112" s="45"/>
      <c r="C112" s="45"/>
      <c r="D112" s="45"/>
      <c r="E112" s="45"/>
      <c r="F112" s="45"/>
      <c r="G112" s="144"/>
      <c r="H112" s="45"/>
      <c r="I112" s="45"/>
      <c r="J112" s="45"/>
      <c r="K112" s="45"/>
    </row>
    <row r="113" spans="2:11" x14ac:dyDescent="0.35">
      <c r="B113" s="45"/>
      <c r="C113" s="45"/>
      <c r="D113" s="45"/>
      <c r="E113" s="45"/>
      <c r="F113" s="45"/>
      <c r="G113" s="144"/>
      <c r="H113" s="45"/>
      <c r="I113" s="45"/>
      <c r="J113" s="45"/>
      <c r="K113" s="45"/>
    </row>
    <row r="114" spans="2:11" x14ac:dyDescent="0.35">
      <c r="B114" s="45"/>
      <c r="C114" s="45"/>
      <c r="D114" s="45"/>
      <c r="E114" s="45"/>
      <c r="F114" s="45"/>
      <c r="G114" s="144"/>
      <c r="H114" s="45"/>
      <c r="I114" s="45"/>
      <c r="J114" s="45"/>
      <c r="K114" s="45"/>
    </row>
    <row r="115" spans="2:11" x14ac:dyDescent="0.35">
      <c r="B115" s="45"/>
      <c r="C115" s="45"/>
      <c r="D115" s="45"/>
      <c r="E115" s="45"/>
      <c r="F115" s="45"/>
      <c r="G115" s="144"/>
      <c r="H115" s="45"/>
      <c r="I115" s="45"/>
      <c r="J115" s="45"/>
      <c r="K115" s="45"/>
    </row>
    <row r="116" spans="2:11" x14ac:dyDescent="0.35">
      <c r="B116" s="45"/>
      <c r="C116" s="45"/>
      <c r="D116" s="45"/>
      <c r="E116" s="45"/>
      <c r="F116" s="45"/>
      <c r="G116" s="144"/>
      <c r="H116" s="45"/>
      <c r="I116" s="45"/>
      <c r="J116" s="45"/>
      <c r="K116" s="45"/>
    </row>
    <row r="117" spans="2:11" x14ac:dyDescent="0.35">
      <c r="B117" s="45"/>
      <c r="C117" s="45"/>
      <c r="D117" s="45"/>
      <c r="E117" s="45"/>
      <c r="F117" s="45"/>
      <c r="G117" s="144"/>
      <c r="H117" s="45"/>
      <c r="I117" s="45"/>
      <c r="J117" s="45"/>
      <c r="K117" s="45"/>
    </row>
    <row r="118" spans="2:11" x14ac:dyDescent="0.35">
      <c r="B118" s="45"/>
      <c r="C118" s="45"/>
      <c r="D118" s="45"/>
      <c r="E118" s="45"/>
      <c r="F118" s="45"/>
      <c r="G118" s="144"/>
      <c r="H118" s="45"/>
      <c r="I118" s="45"/>
      <c r="J118" s="45"/>
      <c r="K118" s="45"/>
    </row>
    <row r="119" spans="2:11" x14ac:dyDescent="0.35">
      <c r="B119" s="45"/>
      <c r="C119" s="45"/>
      <c r="D119" s="45"/>
      <c r="E119" s="45"/>
      <c r="F119" s="45"/>
      <c r="G119" s="144"/>
      <c r="H119" s="45"/>
      <c r="I119" s="45"/>
      <c r="J119" s="45"/>
      <c r="K119" s="45"/>
    </row>
    <row r="120" spans="2:11" x14ac:dyDescent="0.35">
      <c r="B120" s="45"/>
      <c r="C120" s="45"/>
      <c r="D120" s="45"/>
      <c r="E120" s="45"/>
      <c r="F120" s="45"/>
      <c r="G120" s="144"/>
      <c r="H120" s="45"/>
      <c r="I120" s="45"/>
      <c r="J120" s="45"/>
      <c r="K120" s="45"/>
    </row>
    <row r="121" spans="2:11" x14ac:dyDescent="0.35">
      <c r="B121" s="45"/>
      <c r="C121" s="45"/>
      <c r="D121" s="45"/>
      <c r="E121" s="45"/>
      <c r="F121" s="45"/>
      <c r="G121" s="144"/>
      <c r="H121" s="45"/>
      <c r="I121" s="45"/>
      <c r="J121" s="45"/>
      <c r="K121" s="45"/>
    </row>
    <row r="122" spans="2:11" x14ac:dyDescent="0.35">
      <c r="B122" s="45"/>
      <c r="C122" s="45"/>
      <c r="D122" s="45"/>
      <c r="E122" s="45"/>
      <c r="F122" s="45"/>
      <c r="G122" s="144"/>
      <c r="H122" s="45"/>
      <c r="I122" s="45"/>
      <c r="J122" s="45"/>
      <c r="K122" s="45"/>
    </row>
    <row r="123" spans="2:11" x14ac:dyDescent="0.35">
      <c r="B123" s="45"/>
      <c r="C123" s="45"/>
      <c r="D123" s="45"/>
      <c r="E123" s="45"/>
      <c r="F123" s="45"/>
      <c r="G123" s="144"/>
      <c r="H123" s="45"/>
      <c r="I123" s="45"/>
      <c r="J123" s="45"/>
      <c r="K123" s="45"/>
    </row>
    <row r="124" spans="2:11" x14ac:dyDescent="0.35">
      <c r="B124" s="45"/>
      <c r="C124" s="45"/>
      <c r="D124" s="45"/>
      <c r="E124" s="45"/>
      <c r="F124" s="45"/>
      <c r="G124" s="144"/>
      <c r="H124" s="45"/>
      <c r="I124" s="45"/>
      <c r="J124" s="45"/>
      <c r="K124" s="45"/>
    </row>
    <row r="125" spans="2:11" x14ac:dyDescent="0.35">
      <c r="B125" s="45"/>
      <c r="C125" s="45"/>
      <c r="D125" s="45"/>
      <c r="E125" s="45"/>
      <c r="F125" s="45"/>
      <c r="G125" s="144"/>
      <c r="H125" s="45"/>
      <c r="I125" s="45"/>
      <c r="J125" s="45"/>
      <c r="K125" s="45"/>
    </row>
    <row r="126" spans="2:11" x14ac:dyDescent="0.35">
      <c r="B126" s="45"/>
      <c r="C126" s="45"/>
      <c r="D126" s="45"/>
      <c r="E126" s="45"/>
      <c r="F126" s="45"/>
      <c r="G126" s="144"/>
      <c r="H126" s="45"/>
      <c r="I126" s="45"/>
      <c r="J126" s="45"/>
      <c r="K126" s="45"/>
    </row>
    <row r="127" spans="2:11" x14ac:dyDescent="0.35">
      <c r="B127" s="45"/>
      <c r="C127" s="45"/>
      <c r="D127" s="45"/>
      <c r="E127" s="45"/>
      <c r="F127" s="45"/>
      <c r="G127" s="144"/>
      <c r="H127" s="45"/>
      <c r="I127" s="45"/>
      <c r="J127" s="45"/>
      <c r="K127" s="45"/>
    </row>
    <row r="128" spans="2:11" x14ac:dyDescent="0.35">
      <c r="B128" s="45"/>
      <c r="C128" s="45"/>
      <c r="D128" s="45"/>
      <c r="E128" s="45"/>
      <c r="F128" s="45"/>
      <c r="G128" s="144"/>
      <c r="H128" s="45"/>
      <c r="I128" s="45"/>
      <c r="J128" s="45"/>
      <c r="K128" s="45"/>
    </row>
    <row r="129" spans="2:11" x14ac:dyDescent="0.35">
      <c r="B129" s="45"/>
      <c r="C129" s="45"/>
      <c r="D129" s="45"/>
      <c r="E129" s="45"/>
      <c r="F129" s="45"/>
      <c r="G129" s="144"/>
      <c r="H129" s="45"/>
      <c r="I129" s="45"/>
      <c r="J129" s="45"/>
      <c r="K129" s="45"/>
    </row>
    <row r="130" spans="2:11" x14ac:dyDescent="0.35">
      <c r="B130" s="45"/>
      <c r="C130" s="45"/>
      <c r="D130" s="45"/>
      <c r="E130" s="45"/>
      <c r="F130" s="45"/>
      <c r="G130" s="144"/>
      <c r="H130" s="45"/>
      <c r="I130" s="45"/>
      <c r="J130" s="45"/>
      <c r="K130" s="45"/>
    </row>
    <row r="131" spans="2:11" x14ac:dyDescent="0.35">
      <c r="B131" s="45"/>
      <c r="C131" s="45"/>
      <c r="D131" s="45"/>
      <c r="E131" s="45"/>
      <c r="F131" s="45"/>
      <c r="G131" s="144"/>
      <c r="H131" s="45"/>
      <c r="I131" s="45"/>
      <c r="J131" s="45"/>
      <c r="K131" s="45"/>
    </row>
    <row r="132" spans="2:11" x14ac:dyDescent="0.35">
      <c r="B132" s="45"/>
      <c r="C132" s="45"/>
      <c r="D132" s="45"/>
      <c r="E132" s="45"/>
      <c r="F132" s="45"/>
      <c r="G132" s="144"/>
      <c r="H132" s="45"/>
      <c r="I132" s="45"/>
      <c r="J132" s="45"/>
      <c r="K132" s="45"/>
    </row>
    <row r="133" spans="2:11" x14ac:dyDescent="0.35">
      <c r="B133" s="45"/>
      <c r="C133" s="45"/>
      <c r="D133" s="45"/>
      <c r="E133" s="45"/>
      <c r="F133" s="45"/>
      <c r="G133" s="144"/>
      <c r="H133" s="45"/>
      <c r="I133" s="45"/>
      <c r="J133" s="45"/>
      <c r="K133" s="45"/>
    </row>
    <row r="134" spans="2:11" x14ac:dyDescent="0.35">
      <c r="B134" s="45"/>
      <c r="C134" s="45"/>
      <c r="D134" s="45"/>
      <c r="E134" s="45"/>
      <c r="F134" s="45"/>
      <c r="G134" s="144"/>
      <c r="H134" s="45"/>
      <c r="I134" s="45"/>
      <c r="J134" s="45"/>
      <c r="K134" s="45"/>
    </row>
    <row r="135" spans="2:11" x14ac:dyDescent="0.35">
      <c r="B135" s="45"/>
      <c r="C135" s="45"/>
      <c r="D135" s="45"/>
      <c r="E135" s="45"/>
      <c r="F135" s="45"/>
      <c r="G135" s="144"/>
      <c r="H135" s="45"/>
      <c r="I135" s="45"/>
      <c r="J135" s="45"/>
      <c r="K135" s="45"/>
    </row>
    <row r="136" spans="2:11" x14ac:dyDescent="0.35">
      <c r="B136" s="45"/>
      <c r="C136" s="45"/>
      <c r="D136" s="45"/>
      <c r="E136" s="45"/>
      <c r="F136" s="45"/>
      <c r="G136" s="144"/>
      <c r="H136" s="45"/>
      <c r="I136" s="45"/>
      <c r="J136" s="45"/>
      <c r="K136" s="45"/>
    </row>
    <row r="137" spans="2:11" x14ac:dyDescent="0.35">
      <c r="B137" s="45"/>
      <c r="C137" s="45"/>
      <c r="D137" s="45"/>
      <c r="E137" s="45"/>
      <c r="F137" s="45"/>
      <c r="G137" s="144"/>
      <c r="H137" s="45"/>
      <c r="I137" s="45"/>
      <c r="J137" s="45"/>
      <c r="K137" s="45"/>
    </row>
    <row r="138" spans="2:11" x14ac:dyDescent="0.35">
      <c r="B138" s="45"/>
      <c r="C138" s="45"/>
      <c r="D138" s="45"/>
      <c r="E138" s="45"/>
      <c r="F138" s="45"/>
      <c r="G138" s="144"/>
      <c r="H138" s="45"/>
      <c r="I138" s="45"/>
      <c r="J138" s="45"/>
      <c r="K138" s="45"/>
    </row>
    <row r="139" spans="2:11" x14ac:dyDescent="0.35">
      <c r="B139" s="45"/>
      <c r="C139" s="45"/>
      <c r="D139" s="45"/>
      <c r="E139" s="45"/>
      <c r="F139" s="45"/>
      <c r="G139" s="144"/>
      <c r="H139" s="45"/>
      <c r="I139" s="45"/>
      <c r="J139" s="45"/>
      <c r="K139" s="45"/>
    </row>
    <row r="140" spans="2:11" x14ac:dyDescent="0.35">
      <c r="B140" s="45"/>
      <c r="C140" s="45"/>
      <c r="D140" s="45"/>
      <c r="E140" s="45"/>
      <c r="F140" s="45"/>
      <c r="G140" s="144"/>
      <c r="H140" s="45"/>
      <c r="I140" s="45"/>
      <c r="J140" s="45"/>
      <c r="K140" s="45"/>
    </row>
    <row r="141" spans="2:11" x14ac:dyDescent="0.35">
      <c r="B141" s="45"/>
      <c r="C141" s="45"/>
      <c r="D141" s="45"/>
      <c r="E141" s="45"/>
      <c r="F141" s="45"/>
      <c r="G141" s="144"/>
      <c r="H141" s="45"/>
      <c r="I141" s="45"/>
      <c r="J141" s="45"/>
      <c r="K141" s="45"/>
    </row>
    <row r="142" spans="2:11" x14ac:dyDescent="0.35">
      <c r="B142" s="45"/>
      <c r="C142" s="45"/>
      <c r="D142" s="45"/>
      <c r="E142" s="45"/>
      <c r="F142" s="45"/>
      <c r="G142" s="144"/>
      <c r="H142" s="45"/>
      <c r="I142" s="45"/>
      <c r="J142" s="45"/>
      <c r="K142" s="45"/>
    </row>
    <row r="143" spans="2:11" x14ac:dyDescent="0.35">
      <c r="B143" s="45"/>
      <c r="C143" s="45"/>
      <c r="D143" s="45"/>
      <c r="E143" s="45"/>
      <c r="F143" s="45"/>
      <c r="G143" s="144"/>
      <c r="H143" s="45"/>
      <c r="I143" s="45"/>
      <c r="J143" s="45"/>
      <c r="K143" s="45"/>
    </row>
    <row r="144" spans="2:11" x14ac:dyDescent="0.35">
      <c r="B144" s="45"/>
      <c r="C144" s="45"/>
      <c r="D144" s="45"/>
      <c r="E144" s="45"/>
      <c r="F144" s="45"/>
      <c r="G144" s="144"/>
      <c r="H144" s="45"/>
      <c r="I144" s="45"/>
      <c r="J144" s="45"/>
      <c r="K144" s="45"/>
    </row>
    <row r="145" spans="2:11" x14ac:dyDescent="0.35">
      <c r="B145" s="45"/>
      <c r="C145" s="45"/>
      <c r="D145" s="45"/>
      <c r="E145" s="45"/>
      <c r="F145" s="45"/>
      <c r="G145" s="144"/>
      <c r="H145" s="45"/>
      <c r="I145" s="45"/>
      <c r="J145" s="45"/>
      <c r="K145" s="45"/>
    </row>
    <row r="146" spans="2:11" x14ac:dyDescent="0.35">
      <c r="B146" s="45"/>
      <c r="C146" s="45"/>
      <c r="D146" s="45"/>
      <c r="E146" s="45"/>
      <c r="F146" s="45"/>
      <c r="G146" s="144"/>
      <c r="H146" s="45"/>
      <c r="I146" s="45"/>
      <c r="J146" s="45"/>
      <c r="K146" s="45"/>
    </row>
    <row r="147" spans="2:11" x14ac:dyDescent="0.35">
      <c r="B147" s="45"/>
      <c r="C147" s="45"/>
      <c r="D147" s="45"/>
      <c r="E147" s="45"/>
      <c r="F147" s="45"/>
      <c r="G147" s="144"/>
      <c r="H147" s="45"/>
      <c r="I147" s="45"/>
      <c r="J147" s="45"/>
      <c r="K147" s="45"/>
    </row>
    <row r="148" spans="2:11" x14ac:dyDescent="0.35">
      <c r="B148" s="45"/>
      <c r="C148" s="45"/>
      <c r="D148" s="45"/>
      <c r="E148" s="45"/>
      <c r="F148" s="45"/>
      <c r="G148" s="144"/>
      <c r="H148" s="45"/>
      <c r="I148" s="45"/>
      <c r="J148" s="45"/>
      <c r="K148" s="45"/>
    </row>
    <row r="149" spans="2:11" x14ac:dyDescent="0.35">
      <c r="B149" s="45"/>
      <c r="C149" s="45"/>
      <c r="D149" s="45"/>
      <c r="E149" s="45"/>
      <c r="F149" s="45"/>
      <c r="G149" s="144"/>
      <c r="H149" s="45"/>
      <c r="I149" s="45"/>
      <c r="J149" s="45"/>
      <c r="K149" s="45"/>
    </row>
    <row r="150" spans="2:11" x14ac:dyDescent="0.35">
      <c r="B150" s="45"/>
      <c r="C150" s="45"/>
      <c r="D150" s="45"/>
      <c r="E150" s="45"/>
      <c r="F150" s="45"/>
      <c r="G150" s="144"/>
      <c r="H150" s="45"/>
      <c r="I150" s="45"/>
      <c r="J150" s="45"/>
      <c r="K150" s="45"/>
    </row>
    <row r="151" spans="2:11" x14ac:dyDescent="0.35">
      <c r="B151" s="45"/>
      <c r="C151" s="45"/>
      <c r="D151" s="45"/>
      <c r="E151" s="45"/>
      <c r="F151" s="45"/>
      <c r="G151" s="144"/>
      <c r="H151" s="45"/>
      <c r="I151" s="45"/>
      <c r="J151" s="45"/>
      <c r="K151" s="45"/>
    </row>
    <row r="152" spans="2:11" x14ac:dyDescent="0.35">
      <c r="B152" s="45"/>
      <c r="C152" s="45"/>
      <c r="D152" s="45"/>
      <c r="E152" s="45"/>
      <c r="F152" s="45"/>
      <c r="G152" s="144"/>
      <c r="H152" s="45"/>
      <c r="I152" s="45"/>
      <c r="J152" s="45"/>
      <c r="K152" s="45"/>
    </row>
    <row r="153" spans="2:11" x14ac:dyDescent="0.35">
      <c r="B153" s="45"/>
      <c r="C153" s="45"/>
      <c r="D153" s="45"/>
      <c r="E153" s="45"/>
      <c r="F153" s="45"/>
      <c r="G153" s="144"/>
      <c r="H153" s="45"/>
      <c r="I153" s="45"/>
      <c r="J153" s="45"/>
      <c r="K153" s="45"/>
    </row>
    <row r="154" spans="2:11" x14ac:dyDescent="0.35">
      <c r="B154" s="45"/>
      <c r="C154" s="45"/>
      <c r="D154" s="45"/>
      <c r="E154" s="45"/>
      <c r="F154" s="45"/>
      <c r="G154" s="144"/>
      <c r="H154" s="45"/>
      <c r="I154" s="45"/>
      <c r="J154" s="45"/>
      <c r="K154" s="45"/>
    </row>
    <row r="155" spans="2:11" x14ac:dyDescent="0.35">
      <c r="B155" s="45"/>
      <c r="C155" s="45"/>
      <c r="D155" s="45"/>
      <c r="E155" s="45"/>
      <c r="F155" s="45"/>
      <c r="G155" s="144"/>
      <c r="H155" s="45"/>
      <c r="I155" s="45"/>
      <c r="J155" s="45"/>
      <c r="K155" s="45"/>
    </row>
    <row r="156" spans="2:11" x14ac:dyDescent="0.35">
      <c r="B156" s="45"/>
      <c r="C156" s="45"/>
      <c r="D156" s="45"/>
      <c r="E156" s="45"/>
      <c r="F156" s="45"/>
      <c r="G156" s="144"/>
      <c r="H156" s="45"/>
      <c r="I156" s="45"/>
      <c r="J156" s="45"/>
      <c r="K156" s="45"/>
    </row>
    <row r="157" spans="2:11" x14ac:dyDescent="0.35">
      <c r="B157" s="45"/>
      <c r="C157" s="45"/>
      <c r="D157" s="45"/>
      <c r="E157" s="45"/>
      <c r="F157" s="45"/>
      <c r="G157" s="144"/>
      <c r="H157" s="45"/>
      <c r="I157" s="45"/>
      <c r="J157" s="45"/>
      <c r="K157" s="45"/>
    </row>
    <row r="158" spans="2:11" x14ac:dyDescent="0.35">
      <c r="B158" s="45"/>
      <c r="C158" s="45"/>
      <c r="D158" s="45"/>
      <c r="E158" s="45"/>
      <c r="F158" s="45"/>
      <c r="G158" s="144"/>
      <c r="H158" s="45"/>
      <c r="I158" s="45"/>
      <c r="J158" s="45"/>
      <c r="K158" s="45"/>
    </row>
    <row r="159" spans="2:11" x14ac:dyDescent="0.35">
      <c r="B159" s="45"/>
      <c r="C159" s="45"/>
      <c r="D159" s="45"/>
      <c r="E159" s="45"/>
      <c r="F159" s="45"/>
      <c r="G159" s="144"/>
      <c r="H159" s="45"/>
      <c r="I159" s="45"/>
      <c r="J159" s="45"/>
      <c r="K159" s="45"/>
    </row>
    <row r="160" spans="2:11" x14ac:dyDescent="0.35">
      <c r="B160" s="45"/>
      <c r="C160" s="45"/>
      <c r="D160" s="45"/>
      <c r="E160" s="45"/>
      <c r="F160" s="45"/>
      <c r="G160" s="144"/>
      <c r="H160" s="45"/>
      <c r="I160" s="45"/>
      <c r="J160" s="45"/>
      <c r="K160" s="45"/>
    </row>
    <row r="161" spans="2:11" x14ac:dyDescent="0.35">
      <c r="B161" s="45"/>
      <c r="C161" s="45"/>
      <c r="D161" s="45"/>
      <c r="E161" s="45"/>
      <c r="F161" s="45"/>
      <c r="G161" s="144"/>
      <c r="H161" s="45"/>
      <c r="I161" s="45"/>
      <c r="J161" s="45"/>
      <c r="K161" s="45"/>
    </row>
    <row r="162" spans="2:11" x14ac:dyDescent="0.35">
      <c r="B162" s="45"/>
      <c r="C162" s="45"/>
      <c r="D162" s="45"/>
      <c r="E162" s="45"/>
      <c r="F162" s="45"/>
      <c r="G162" s="144"/>
      <c r="H162" s="45"/>
      <c r="I162" s="45"/>
      <c r="J162" s="45"/>
      <c r="K162" s="45"/>
    </row>
    <row r="163" spans="2:11" x14ac:dyDescent="0.35">
      <c r="B163" s="45"/>
      <c r="C163" s="45"/>
      <c r="D163" s="45"/>
      <c r="E163" s="45"/>
      <c r="F163" s="45"/>
      <c r="G163" s="144"/>
      <c r="H163" s="45"/>
      <c r="I163" s="45"/>
      <c r="J163" s="45"/>
      <c r="K163" s="45"/>
    </row>
    <row r="164" spans="2:11" x14ac:dyDescent="0.35">
      <c r="B164" s="45"/>
      <c r="C164" s="45"/>
      <c r="D164" s="45"/>
      <c r="E164" s="45"/>
      <c r="F164" s="45"/>
      <c r="G164" s="144"/>
      <c r="H164" s="45"/>
      <c r="I164" s="45"/>
      <c r="J164" s="45"/>
      <c r="K164" s="45"/>
    </row>
    <row r="165" spans="2:11" x14ac:dyDescent="0.35">
      <c r="B165" s="45"/>
      <c r="C165" s="45"/>
      <c r="D165" s="45"/>
      <c r="E165" s="45"/>
      <c r="F165" s="45"/>
      <c r="G165" s="144"/>
      <c r="H165" s="45"/>
      <c r="I165" s="45"/>
      <c r="J165" s="45"/>
      <c r="K165" s="45"/>
    </row>
    <row r="166" spans="2:11" x14ac:dyDescent="0.35">
      <c r="B166" s="45"/>
      <c r="C166" s="45"/>
      <c r="D166" s="45"/>
      <c r="E166" s="45"/>
      <c r="F166" s="45"/>
      <c r="G166" s="144"/>
      <c r="H166" s="45"/>
      <c r="I166" s="45"/>
      <c r="J166" s="45"/>
      <c r="K166" s="45"/>
    </row>
    <row r="167" spans="2:11" x14ac:dyDescent="0.35">
      <c r="B167" s="45"/>
      <c r="C167" s="45"/>
      <c r="D167" s="45"/>
      <c r="E167" s="45"/>
      <c r="F167" s="45"/>
      <c r="G167" s="144"/>
      <c r="H167" s="45"/>
      <c r="I167" s="45"/>
      <c r="J167" s="45"/>
      <c r="K167" s="45"/>
    </row>
    <row r="168" spans="2:11" x14ac:dyDescent="0.35">
      <c r="B168" s="45"/>
      <c r="C168" s="45"/>
      <c r="D168" s="45"/>
      <c r="E168" s="45"/>
      <c r="F168" s="45"/>
      <c r="G168" s="144"/>
      <c r="H168" s="45"/>
      <c r="I168" s="45"/>
      <c r="J168" s="45"/>
      <c r="K168" s="45"/>
    </row>
    <row r="169" spans="2:11" x14ac:dyDescent="0.35">
      <c r="B169" s="45"/>
      <c r="C169" s="45"/>
      <c r="D169" s="45"/>
      <c r="E169" s="45"/>
      <c r="F169" s="45"/>
      <c r="G169" s="144"/>
      <c r="H169" s="45"/>
      <c r="I169" s="45"/>
      <c r="J169" s="45"/>
      <c r="K169" s="45"/>
    </row>
    <row r="170" spans="2:11" x14ac:dyDescent="0.35">
      <c r="B170" s="45"/>
      <c r="C170" s="45"/>
      <c r="D170" s="45"/>
      <c r="E170" s="45"/>
      <c r="F170" s="45"/>
      <c r="G170" s="144"/>
      <c r="H170" s="45"/>
      <c r="I170" s="45"/>
      <c r="J170" s="45"/>
      <c r="K170" s="45"/>
    </row>
    <row r="171" spans="2:11" x14ac:dyDescent="0.35">
      <c r="B171" s="45"/>
      <c r="C171" s="45"/>
      <c r="D171" s="45"/>
      <c r="E171" s="45"/>
      <c r="F171" s="45"/>
      <c r="G171" s="144"/>
      <c r="H171" s="45"/>
      <c r="I171" s="45"/>
      <c r="J171" s="45"/>
      <c r="K171" s="45"/>
    </row>
    <row r="172" spans="2:11" x14ac:dyDescent="0.35">
      <c r="B172" s="45"/>
      <c r="C172" s="45"/>
      <c r="D172" s="45"/>
      <c r="E172" s="45"/>
      <c r="F172" s="45"/>
      <c r="G172" s="144"/>
      <c r="H172" s="45"/>
      <c r="I172" s="45"/>
      <c r="J172" s="45"/>
      <c r="K172" s="45"/>
    </row>
    <row r="173" spans="2:11" x14ac:dyDescent="0.35">
      <c r="B173" s="45"/>
      <c r="C173" s="45"/>
      <c r="D173" s="45"/>
      <c r="E173" s="45"/>
      <c r="F173" s="45"/>
      <c r="G173" s="144"/>
      <c r="H173" s="45"/>
      <c r="I173" s="45"/>
      <c r="J173" s="45"/>
      <c r="K173" s="45"/>
    </row>
    <row r="174" spans="2:11" x14ac:dyDescent="0.35">
      <c r="B174" s="45"/>
      <c r="C174" s="45"/>
      <c r="D174" s="45"/>
      <c r="E174" s="45"/>
      <c r="F174" s="45"/>
      <c r="G174" s="144"/>
      <c r="H174" s="45"/>
      <c r="I174" s="45"/>
      <c r="J174" s="45"/>
      <c r="K174" s="45"/>
    </row>
    <row r="175" spans="2:11" x14ac:dyDescent="0.35">
      <c r="B175" s="45"/>
      <c r="C175" s="45"/>
      <c r="D175" s="45"/>
      <c r="E175" s="45"/>
      <c r="F175" s="45"/>
      <c r="G175" s="144"/>
      <c r="H175" s="45"/>
      <c r="I175" s="45"/>
      <c r="J175" s="45"/>
      <c r="K175" s="45"/>
    </row>
    <row r="176" spans="2:11" x14ac:dyDescent="0.35">
      <c r="B176" s="45"/>
      <c r="C176" s="45"/>
      <c r="D176" s="45"/>
      <c r="E176" s="45"/>
      <c r="F176" s="45"/>
      <c r="G176" s="144"/>
      <c r="H176" s="45"/>
      <c r="I176" s="45"/>
      <c r="J176" s="45"/>
      <c r="K176" s="45"/>
    </row>
    <row r="177" spans="2:11" x14ac:dyDescent="0.35">
      <c r="B177" s="45"/>
      <c r="C177" s="45"/>
      <c r="D177" s="45"/>
      <c r="E177" s="45"/>
      <c r="F177" s="45"/>
      <c r="G177" s="144"/>
      <c r="H177" s="45"/>
      <c r="I177" s="45"/>
      <c r="J177" s="45"/>
      <c r="K177" s="45"/>
    </row>
    <row r="178" spans="2:11" x14ac:dyDescent="0.35">
      <c r="B178" s="45"/>
      <c r="C178" s="45"/>
      <c r="D178" s="45"/>
      <c r="E178" s="45"/>
      <c r="F178" s="45"/>
      <c r="G178" s="144"/>
      <c r="H178" s="45"/>
      <c r="I178" s="45"/>
      <c r="J178" s="45"/>
      <c r="K178" s="45"/>
    </row>
    <row r="179" spans="2:11" x14ac:dyDescent="0.35">
      <c r="B179" s="45"/>
      <c r="C179" s="45"/>
      <c r="D179" s="45"/>
      <c r="E179" s="45"/>
      <c r="F179" s="45"/>
      <c r="G179" s="144"/>
      <c r="H179" s="45"/>
      <c r="I179" s="45"/>
      <c r="J179" s="45"/>
      <c r="K179" s="45"/>
    </row>
    <row r="180" spans="2:11" x14ac:dyDescent="0.35">
      <c r="B180" s="45"/>
      <c r="C180" s="45"/>
      <c r="D180" s="45"/>
      <c r="E180" s="45"/>
      <c r="F180" s="45"/>
      <c r="G180" s="144"/>
      <c r="H180" s="45"/>
      <c r="I180" s="45"/>
      <c r="J180" s="45"/>
      <c r="K180" s="45"/>
    </row>
    <row r="181" spans="2:11" x14ac:dyDescent="0.35">
      <c r="B181" s="45"/>
      <c r="C181" s="45"/>
      <c r="D181" s="45"/>
      <c r="E181" s="45"/>
      <c r="F181" s="45"/>
      <c r="G181" s="144"/>
      <c r="H181" s="45"/>
      <c r="I181" s="45"/>
      <c r="J181" s="45"/>
      <c r="K181" s="45"/>
    </row>
    <row r="182" spans="2:11" x14ac:dyDescent="0.35">
      <c r="B182" s="45"/>
      <c r="C182" s="45"/>
      <c r="D182" s="45"/>
      <c r="E182" s="45"/>
      <c r="F182" s="45"/>
      <c r="G182" s="144"/>
      <c r="H182" s="45"/>
      <c r="I182" s="45"/>
      <c r="J182" s="45"/>
      <c r="K182" s="45"/>
    </row>
    <row r="183" spans="2:11" x14ac:dyDescent="0.35">
      <c r="B183" s="45"/>
      <c r="C183" s="45"/>
      <c r="D183" s="45"/>
      <c r="E183" s="45"/>
      <c r="F183" s="45"/>
      <c r="G183" s="144"/>
      <c r="H183" s="45"/>
      <c r="I183" s="45"/>
      <c r="J183" s="45"/>
      <c r="K183" s="45"/>
    </row>
    <row r="184" spans="2:11" x14ac:dyDescent="0.35">
      <c r="B184" s="45"/>
      <c r="C184" s="45"/>
      <c r="D184" s="45"/>
      <c r="E184" s="45"/>
      <c r="F184" s="45"/>
      <c r="G184" s="144"/>
      <c r="H184" s="45"/>
      <c r="I184" s="45"/>
      <c r="J184" s="45"/>
      <c r="K184" s="45"/>
    </row>
    <row r="185" spans="2:11" x14ac:dyDescent="0.35">
      <c r="B185" s="45"/>
      <c r="C185" s="45"/>
      <c r="D185" s="45"/>
      <c r="E185" s="45"/>
      <c r="F185" s="45"/>
      <c r="G185" s="144"/>
      <c r="H185" s="45"/>
      <c r="I185" s="45"/>
      <c r="J185" s="45"/>
      <c r="K185" s="45"/>
    </row>
    <row r="186" spans="2:11" x14ac:dyDescent="0.35">
      <c r="B186" s="45"/>
      <c r="C186" s="45"/>
      <c r="D186" s="45"/>
      <c r="E186" s="45"/>
      <c r="F186" s="45"/>
      <c r="G186" s="144"/>
      <c r="H186" s="45"/>
      <c r="I186" s="45"/>
      <c r="J186" s="45"/>
      <c r="K186" s="45"/>
    </row>
    <row r="187" spans="2:11" x14ac:dyDescent="0.35">
      <c r="B187" s="45"/>
      <c r="C187" s="45"/>
      <c r="D187" s="45"/>
      <c r="E187" s="45"/>
      <c r="F187" s="45"/>
      <c r="G187" s="144"/>
      <c r="H187" s="45"/>
      <c r="I187" s="45"/>
      <c r="J187" s="45"/>
      <c r="K187" s="45"/>
    </row>
    <row r="188" spans="2:11" x14ac:dyDescent="0.35">
      <c r="B188" s="45"/>
      <c r="C188" s="45"/>
      <c r="D188" s="45"/>
      <c r="E188" s="45"/>
      <c r="F188" s="45"/>
      <c r="G188" s="144"/>
      <c r="H188" s="45"/>
      <c r="I188" s="45"/>
      <c r="J188" s="45"/>
      <c r="K188" s="45"/>
    </row>
    <row r="189" spans="2:11" x14ac:dyDescent="0.35">
      <c r="B189" s="45"/>
      <c r="C189" s="45"/>
      <c r="D189" s="45"/>
      <c r="E189" s="45"/>
      <c r="F189" s="45"/>
      <c r="G189" s="144"/>
      <c r="H189" s="45"/>
      <c r="I189" s="45"/>
      <c r="J189" s="45"/>
      <c r="K189" s="45"/>
    </row>
    <row r="190" spans="2:11" x14ac:dyDescent="0.35">
      <c r="B190" s="45"/>
      <c r="C190" s="45"/>
      <c r="D190" s="45"/>
      <c r="E190" s="45"/>
      <c r="F190" s="45"/>
      <c r="G190" s="144"/>
      <c r="H190" s="45"/>
      <c r="I190" s="45"/>
      <c r="J190" s="45"/>
      <c r="K190" s="45"/>
    </row>
    <row r="191" spans="2:11" x14ac:dyDescent="0.35">
      <c r="B191" s="45"/>
      <c r="C191" s="45"/>
      <c r="D191" s="45"/>
      <c r="E191" s="45"/>
      <c r="F191" s="45"/>
      <c r="G191" s="144"/>
      <c r="H191" s="45"/>
      <c r="I191" s="45"/>
      <c r="J191" s="45"/>
      <c r="K191" s="45"/>
    </row>
    <row r="192" spans="2:11" x14ac:dyDescent="0.35">
      <c r="B192" s="45"/>
      <c r="C192" s="45"/>
      <c r="D192" s="45"/>
      <c r="E192" s="45"/>
      <c r="F192" s="45"/>
      <c r="G192" s="144"/>
      <c r="H192" s="45"/>
      <c r="I192" s="45"/>
      <c r="J192" s="45"/>
      <c r="K192" s="45"/>
    </row>
    <row r="193" spans="2:11" x14ac:dyDescent="0.35">
      <c r="B193" s="45"/>
      <c r="C193" s="45"/>
      <c r="D193" s="45"/>
      <c r="E193" s="45"/>
      <c r="F193" s="45"/>
      <c r="G193" s="144"/>
      <c r="H193" s="45"/>
      <c r="I193" s="45"/>
      <c r="J193" s="45"/>
      <c r="K193" s="45"/>
    </row>
    <row r="194" spans="2:11" x14ac:dyDescent="0.35">
      <c r="B194" s="45"/>
      <c r="C194" s="45"/>
      <c r="D194" s="45"/>
      <c r="E194" s="45"/>
      <c r="F194" s="45"/>
      <c r="G194" s="144"/>
      <c r="H194" s="45"/>
      <c r="I194" s="45"/>
      <c r="J194" s="45"/>
      <c r="K194" s="45"/>
    </row>
    <row r="195" spans="2:11" x14ac:dyDescent="0.35">
      <c r="B195" s="45"/>
      <c r="C195" s="45"/>
      <c r="D195" s="45"/>
      <c r="E195" s="45"/>
      <c r="F195" s="45"/>
      <c r="G195" s="144"/>
      <c r="H195" s="45"/>
      <c r="I195" s="45"/>
      <c r="J195" s="45"/>
      <c r="K195" s="45"/>
    </row>
    <row r="196" spans="2:11" x14ac:dyDescent="0.35">
      <c r="B196" s="45"/>
      <c r="C196" s="45"/>
      <c r="D196" s="45"/>
      <c r="E196" s="45"/>
      <c r="F196" s="45"/>
      <c r="G196" s="144"/>
      <c r="H196" s="45"/>
      <c r="I196" s="45"/>
      <c r="J196" s="45"/>
      <c r="K196" s="45"/>
    </row>
    <row r="197" spans="2:11" x14ac:dyDescent="0.35">
      <c r="B197" s="45"/>
      <c r="C197" s="45"/>
      <c r="D197" s="45"/>
      <c r="E197" s="45"/>
      <c r="F197" s="45"/>
      <c r="G197" s="144"/>
      <c r="H197" s="45"/>
      <c r="I197" s="45"/>
      <c r="J197" s="45"/>
      <c r="K197" s="45"/>
    </row>
    <row r="198" spans="2:11" x14ac:dyDescent="0.35">
      <c r="B198" s="45"/>
      <c r="C198" s="45"/>
      <c r="D198" s="45"/>
      <c r="E198" s="45"/>
      <c r="F198" s="45"/>
      <c r="G198" s="144"/>
      <c r="H198" s="45"/>
      <c r="I198" s="45"/>
      <c r="J198" s="45"/>
      <c r="K198" s="45"/>
    </row>
    <row r="199" spans="2:11" x14ac:dyDescent="0.35">
      <c r="B199" s="45"/>
      <c r="C199" s="45"/>
      <c r="D199" s="45"/>
      <c r="E199" s="45"/>
      <c r="F199" s="45"/>
      <c r="G199" s="144"/>
      <c r="H199" s="45"/>
      <c r="I199" s="45"/>
      <c r="J199" s="45"/>
      <c r="K199" s="45"/>
    </row>
    <row r="200" spans="2:11" x14ac:dyDescent="0.35">
      <c r="B200" s="45"/>
      <c r="C200" s="45"/>
      <c r="D200" s="45"/>
      <c r="E200" s="45"/>
      <c r="F200" s="45"/>
      <c r="G200" s="144"/>
      <c r="H200" s="45"/>
      <c r="I200" s="45"/>
      <c r="J200" s="45"/>
      <c r="K200" s="45"/>
    </row>
    <row r="201" spans="2:11" x14ac:dyDescent="0.35">
      <c r="B201" s="45"/>
      <c r="C201" s="45"/>
      <c r="D201" s="45"/>
      <c r="E201" s="45"/>
      <c r="F201" s="45"/>
      <c r="G201" s="144"/>
      <c r="H201" s="45"/>
      <c r="I201" s="45"/>
      <c r="J201" s="45"/>
      <c r="K201" s="45"/>
    </row>
    <row r="202" spans="2:11" x14ac:dyDescent="0.35">
      <c r="B202" s="45"/>
      <c r="C202" s="45"/>
      <c r="D202" s="45"/>
      <c r="E202" s="45"/>
      <c r="F202" s="45"/>
      <c r="G202" s="144"/>
      <c r="H202" s="45"/>
      <c r="I202" s="45"/>
      <c r="J202" s="45"/>
      <c r="K202" s="45"/>
    </row>
    <row r="203" spans="2:11" x14ac:dyDescent="0.35">
      <c r="B203" s="45"/>
      <c r="C203" s="45"/>
      <c r="D203" s="45"/>
      <c r="E203" s="45"/>
      <c r="F203" s="45"/>
      <c r="G203" s="144"/>
      <c r="H203" s="45"/>
      <c r="I203" s="45"/>
      <c r="J203" s="45"/>
      <c r="K203" s="45"/>
    </row>
    <row r="204" spans="2:11" x14ac:dyDescent="0.35">
      <c r="B204" s="45"/>
      <c r="C204" s="45"/>
      <c r="D204" s="45"/>
      <c r="E204" s="45"/>
      <c r="F204" s="45"/>
      <c r="G204" s="144"/>
      <c r="H204" s="45"/>
      <c r="I204" s="45"/>
      <c r="J204" s="45"/>
      <c r="K204" s="45"/>
    </row>
    <row r="205" spans="2:11" x14ac:dyDescent="0.35">
      <c r="B205" s="45"/>
      <c r="C205" s="45"/>
      <c r="D205" s="45"/>
      <c r="E205" s="45"/>
      <c r="F205" s="45"/>
      <c r="G205" s="144"/>
      <c r="H205" s="45"/>
      <c r="I205" s="45"/>
      <c r="J205" s="45"/>
      <c r="K205" s="45"/>
    </row>
    <row r="206" spans="2:11" x14ac:dyDescent="0.35">
      <c r="B206" s="45"/>
      <c r="C206" s="45"/>
      <c r="D206" s="45"/>
      <c r="E206" s="45"/>
      <c r="F206" s="45"/>
      <c r="G206" s="144"/>
      <c r="H206" s="45"/>
      <c r="I206" s="45"/>
      <c r="J206" s="45"/>
      <c r="K206" s="45"/>
    </row>
    <row r="207" spans="2:11" x14ac:dyDescent="0.35">
      <c r="B207" s="45"/>
      <c r="C207" s="45"/>
      <c r="D207" s="45"/>
      <c r="E207" s="45"/>
      <c r="F207" s="45"/>
      <c r="G207" s="144"/>
      <c r="H207" s="45"/>
      <c r="I207" s="45"/>
      <c r="J207" s="45"/>
      <c r="K207" s="45"/>
    </row>
    <row r="208" spans="2:11" x14ac:dyDescent="0.35">
      <c r="B208" s="45"/>
      <c r="C208" s="45"/>
      <c r="D208" s="45"/>
      <c r="E208" s="45"/>
      <c r="F208" s="45"/>
      <c r="G208" s="144"/>
      <c r="H208" s="45"/>
      <c r="I208" s="45"/>
      <c r="J208" s="45"/>
      <c r="K208" s="45"/>
    </row>
    <row r="209" spans="2:11" x14ac:dyDescent="0.35">
      <c r="B209" s="45"/>
      <c r="C209" s="45"/>
      <c r="D209" s="45"/>
      <c r="E209" s="45"/>
      <c r="F209" s="45"/>
      <c r="G209" s="144"/>
      <c r="H209" s="45"/>
      <c r="I209" s="45"/>
      <c r="J209" s="45"/>
      <c r="K209" s="45"/>
    </row>
    <row r="210" spans="2:11" x14ac:dyDescent="0.35">
      <c r="B210" s="45"/>
      <c r="C210" s="45"/>
      <c r="D210" s="45"/>
      <c r="E210" s="45"/>
      <c r="F210" s="45"/>
      <c r="G210" s="144"/>
      <c r="H210" s="45"/>
      <c r="I210" s="45"/>
      <c r="J210" s="45"/>
      <c r="K210" s="45"/>
    </row>
    <row r="211" spans="2:11" x14ac:dyDescent="0.35">
      <c r="B211" s="45"/>
      <c r="C211" s="45"/>
      <c r="D211" s="45"/>
      <c r="E211" s="45"/>
      <c r="F211" s="45"/>
      <c r="G211" s="144"/>
      <c r="H211" s="45"/>
      <c r="I211" s="45"/>
      <c r="J211" s="45"/>
      <c r="K211" s="45"/>
    </row>
    <row r="212" spans="2:11" x14ac:dyDescent="0.35">
      <c r="B212" s="45"/>
      <c r="C212" s="45"/>
      <c r="D212" s="45"/>
      <c r="E212" s="45"/>
      <c r="F212" s="45"/>
      <c r="G212" s="144"/>
      <c r="H212" s="45"/>
      <c r="I212" s="45"/>
      <c r="J212" s="45"/>
      <c r="K212" s="45"/>
    </row>
    <row r="213" spans="2:11" x14ac:dyDescent="0.35">
      <c r="B213" s="45"/>
      <c r="C213" s="45"/>
      <c r="D213" s="45"/>
      <c r="E213" s="45"/>
      <c r="F213" s="45"/>
      <c r="G213" s="144"/>
      <c r="H213" s="45"/>
      <c r="I213" s="45"/>
      <c r="J213" s="45"/>
      <c r="K213" s="45"/>
    </row>
    <row r="214" spans="2:11" x14ac:dyDescent="0.35">
      <c r="B214" s="45"/>
      <c r="C214" s="45"/>
      <c r="D214" s="45"/>
      <c r="E214" s="45"/>
      <c r="F214" s="45"/>
      <c r="G214" s="144"/>
      <c r="H214" s="45"/>
      <c r="I214" s="45"/>
      <c r="J214" s="45"/>
      <c r="K214" s="45"/>
    </row>
    <row r="215" spans="2:11" x14ac:dyDescent="0.35">
      <c r="B215" s="45"/>
      <c r="C215" s="45"/>
      <c r="D215" s="45"/>
      <c r="E215" s="45"/>
      <c r="F215" s="45"/>
      <c r="G215" s="144"/>
      <c r="H215" s="45"/>
      <c r="I215" s="45"/>
      <c r="J215" s="45"/>
      <c r="K215" s="45"/>
    </row>
    <row r="216" spans="2:11" x14ac:dyDescent="0.35">
      <c r="B216" s="45"/>
      <c r="C216" s="45"/>
      <c r="D216" s="45"/>
      <c r="E216" s="45"/>
      <c r="F216" s="45"/>
      <c r="G216" s="144"/>
      <c r="H216" s="45"/>
      <c r="I216" s="45"/>
      <c r="J216" s="45"/>
      <c r="K216" s="45"/>
    </row>
    <row r="217" spans="2:11" x14ac:dyDescent="0.35">
      <c r="B217" s="45"/>
      <c r="C217" s="45"/>
      <c r="D217" s="45"/>
      <c r="E217" s="45"/>
      <c r="F217" s="45"/>
      <c r="G217" s="144"/>
      <c r="H217" s="45"/>
      <c r="I217" s="45"/>
      <c r="J217" s="45"/>
      <c r="K217" s="45"/>
    </row>
    <row r="218" spans="2:11" x14ac:dyDescent="0.35">
      <c r="B218" s="45"/>
      <c r="C218" s="45"/>
      <c r="D218" s="45"/>
      <c r="E218" s="45"/>
      <c r="F218" s="45"/>
      <c r="G218" s="144"/>
      <c r="H218" s="45"/>
      <c r="I218" s="45"/>
      <c r="J218" s="45"/>
      <c r="K218" s="45"/>
    </row>
    <row r="219" spans="2:11" x14ac:dyDescent="0.35">
      <c r="B219" s="45"/>
      <c r="C219" s="45"/>
      <c r="D219" s="45"/>
      <c r="E219" s="45"/>
      <c r="F219" s="45"/>
      <c r="G219" s="144"/>
      <c r="H219" s="45"/>
      <c r="I219" s="45"/>
      <c r="J219" s="45"/>
      <c r="K219" s="45"/>
    </row>
    <row r="220" spans="2:11" x14ac:dyDescent="0.35">
      <c r="B220" s="45"/>
      <c r="C220" s="45"/>
      <c r="D220" s="45"/>
      <c r="E220" s="45"/>
      <c r="F220" s="45"/>
      <c r="G220" s="144"/>
      <c r="H220" s="45"/>
      <c r="I220" s="45"/>
      <c r="J220" s="45"/>
      <c r="K220" s="45"/>
    </row>
    <row r="221" spans="2:11" x14ac:dyDescent="0.35">
      <c r="B221" s="45"/>
      <c r="C221" s="45"/>
      <c r="D221" s="45"/>
      <c r="E221" s="45"/>
      <c r="F221" s="45"/>
      <c r="G221" s="144"/>
      <c r="H221" s="45"/>
      <c r="I221" s="45"/>
      <c r="J221" s="45"/>
      <c r="K221" s="45"/>
    </row>
    <row r="222" spans="2:11" x14ac:dyDescent="0.35">
      <c r="B222" s="45"/>
      <c r="C222" s="45"/>
      <c r="D222" s="45"/>
      <c r="E222" s="45"/>
      <c r="F222" s="45"/>
      <c r="G222" s="144"/>
      <c r="H222" s="45"/>
      <c r="I222" s="45"/>
      <c r="J222" s="45"/>
      <c r="K222" s="45"/>
    </row>
    <row r="223" spans="2:11" x14ac:dyDescent="0.35">
      <c r="B223" s="45"/>
      <c r="C223" s="45"/>
      <c r="D223" s="45"/>
      <c r="E223" s="45"/>
      <c r="F223" s="45"/>
      <c r="G223" s="144"/>
      <c r="H223" s="45"/>
      <c r="I223" s="45"/>
      <c r="J223" s="45"/>
      <c r="K223" s="45"/>
    </row>
    <row r="224" spans="2:11" x14ac:dyDescent="0.35">
      <c r="B224" s="45"/>
      <c r="C224" s="45"/>
      <c r="D224" s="45"/>
      <c r="E224" s="45"/>
      <c r="F224" s="45"/>
      <c r="G224" s="144"/>
      <c r="H224" s="45"/>
      <c r="I224" s="45"/>
      <c r="J224" s="45"/>
      <c r="K224" s="45"/>
    </row>
    <row r="225" spans="2:11" x14ac:dyDescent="0.35">
      <c r="B225" s="45"/>
      <c r="C225" s="45"/>
      <c r="D225" s="45"/>
      <c r="E225" s="45"/>
      <c r="F225" s="45"/>
      <c r="G225" s="144"/>
      <c r="H225" s="45"/>
      <c r="I225" s="45"/>
      <c r="J225" s="45"/>
      <c r="K225" s="45"/>
    </row>
    <row r="226" spans="2:11" x14ac:dyDescent="0.35">
      <c r="B226" s="45"/>
      <c r="C226" s="45"/>
      <c r="D226" s="45"/>
      <c r="E226" s="45"/>
      <c r="F226" s="45"/>
      <c r="G226" s="144"/>
      <c r="H226" s="45"/>
      <c r="I226" s="45"/>
      <c r="J226" s="45"/>
      <c r="K226" s="45"/>
    </row>
    <row r="227" spans="2:11" x14ac:dyDescent="0.35">
      <c r="B227" s="45"/>
      <c r="C227" s="45"/>
      <c r="D227" s="45"/>
      <c r="E227" s="45"/>
      <c r="F227" s="45"/>
      <c r="G227" s="144"/>
      <c r="H227" s="45"/>
      <c r="I227" s="45"/>
      <c r="J227" s="45"/>
      <c r="K227" s="45"/>
    </row>
    <row r="228" spans="2:11" x14ac:dyDescent="0.35">
      <c r="B228" s="45"/>
      <c r="C228" s="45"/>
      <c r="D228" s="45"/>
      <c r="E228" s="45"/>
      <c r="F228" s="45"/>
      <c r="G228" s="144"/>
      <c r="H228" s="45"/>
      <c r="I228" s="45"/>
      <c r="J228" s="45"/>
      <c r="K228" s="45"/>
    </row>
    <row r="229" spans="2:11" x14ac:dyDescent="0.35">
      <c r="B229" s="45"/>
      <c r="C229" s="45"/>
      <c r="D229" s="45"/>
      <c r="E229" s="45"/>
      <c r="F229" s="45"/>
      <c r="G229" s="144"/>
      <c r="H229" s="45"/>
      <c r="I229" s="45"/>
      <c r="J229" s="45"/>
      <c r="K229" s="45"/>
    </row>
    <row r="230" spans="2:11" x14ac:dyDescent="0.35">
      <c r="B230" s="45"/>
      <c r="C230" s="45"/>
      <c r="D230" s="45"/>
      <c r="E230" s="45"/>
      <c r="F230" s="45"/>
      <c r="G230" s="144"/>
      <c r="H230" s="45"/>
      <c r="I230" s="45"/>
      <c r="J230" s="45"/>
      <c r="K230" s="45"/>
    </row>
    <row r="231" spans="2:11" x14ac:dyDescent="0.35">
      <c r="B231" s="45"/>
      <c r="C231" s="45"/>
      <c r="D231" s="45"/>
      <c r="E231" s="45"/>
      <c r="F231" s="45"/>
      <c r="G231" s="144"/>
      <c r="H231" s="45"/>
      <c r="I231" s="45"/>
      <c r="J231" s="45"/>
      <c r="K231" s="45"/>
    </row>
    <row r="232" spans="2:11" x14ac:dyDescent="0.35">
      <c r="B232" s="45"/>
      <c r="C232" s="45"/>
      <c r="D232" s="45"/>
      <c r="E232" s="45"/>
      <c r="F232" s="45"/>
      <c r="G232" s="144"/>
      <c r="H232" s="45"/>
      <c r="I232" s="45"/>
      <c r="J232" s="45"/>
      <c r="K232" s="45"/>
    </row>
    <row r="233" spans="2:11" x14ac:dyDescent="0.35">
      <c r="B233" s="45"/>
      <c r="C233" s="45"/>
      <c r="D233" s="45"/>
      <c r="E233" s="45"/>
      <c r="F233" s="45"/>
      <c r="G233" s="144"/>
      <c r="H233" s="45"/>
      <c r="I233" s="45"/>
      <c r="J233" s="45"/>
      <c r="K233" s="45"/>
    </row>
    <row r="234" spans="2:11" x14ac:dyDescent="0.35">
      <c r="B234" s="45"/>
      <c r="C234" s="45"/>
      <c r="D234" s="45"/>
      <c r="E234" s="45"/>
      <c r="F234" s="45"/>
      <c r="G234" s="144"/>
      <c r="H234" s="45"/>
      <c r="I234" s="45"/>
      <c r="J234" s="45"/>
      <c r="K234" s="45"/>
    </row>
    <row r="235" spans="2:11" x14ac:dyDescent="0.35">
      <c r="B235" s="45"/>
      <c r="C235" s="45"/>
      <c r="D235" s="45"/>
      <c r="E235" s="45"/>
      <c r="F235" s="45"/>
      <c r="G235" s="144"/>
      <c r="H235" s="45"/>
      <c r="I235" s="45"/>
      <c r="J235" s="45"/>
      <c r="K235" s="45"/>
    </row>
    <row r="236" spans="2:11" x14ac:dyDescent="0.35">
      <c r="B236" s="45"/>
      <c r="C236" s="45"/>
      <c r="D236" s="45"/>
      <c r="E236" s="45"/>
      <c r="F236" s="45"/>
      <c r="G236" s="144"/>
      <c r="H236" s="45"/>
      <c r="I236" s="45"/>
      <c r="J236" s="45"/>
      <c r="K236" s="45"/>
    </row>
    <row r="237" spans="2:11" x14ac:dyDescent="0.35">
      <c r="B237" s="45"/>
      <c r="C237" s="45"/>
      <c r="D237" s="45"/>
      <c r="E237" s="45"/>
      <c r="F237" s="45"/>
      <c r="G237" s="144"/>
      <c r="H237" s="45"/>
      <c r="I237" s="45"/>
      <c r="J237" s="45"/>
      <c r="K237" s="45"/>
    </row>
    <row r="238" spans="2:11" x14ac:dyDescent="0.35">
      <c r="B238" s="45"/>
      <c r="C238" s="45"/>
      <c r="D238" s="45"/>
      <c r="E238" s="45"/>
      <c r="F238" s="45"/>
      <c r="G238" s="144"/>
      <c r="H238" s="45"/>
      <c r="I238" s="45"/>
      <c r="J238" s="45"/>
      <c r="K238" s="45"/>
    </row>
    <row r="239" spans="2:11" x14ac:dyDescent="0.35">
      <c r="B239" s="45"/>
      <c r="C239" s="45"/>
      <c r="D239" s="45"/>
      <c r="E239" s="45"/>
      <c r="F239" s="45"/>
      <c r="G239" s="144"/>
      <c r="H239" s="45"/>
      <c r="I239" s="45"/>
      <c r="J239" s="45"/>
      <c r="K239" s="45"/>
    </row>
    <row r="240" spans="2:11" x14ac:dyDescent="0.35">
      <c r="B240" s="45"/>
      <c r="C240" s="45"/>
      <c r="D240" s="45"/>
      <c r="E240" s="45"/>
      <c r="F240" s="45"/>
      <c r="G240" s="144"/>
      <c r="H240" s="45"/>
      <c r="I240" s="45"/>
      <c r="J240" s="45"/>
      <c r="K240" s="45"/>
    </row>
    <row r="241" spans="2:11" x14ac:dyDescent="0.35">
      <c r="B241" s="45"/>
      <c r="C241" s="45"/>
      <c r="D241" s="45"/>
      <c r="E241" s="45"/>
      <c r="F241" s="45"/>
      <c r="G241" s="144"/>
      <c r="H241" s="45"/>
      <c r="I241" s="45"/>
      <c r="J241" s="45"/>
      <c r="K241" s="45"/>
    </row>
    <row r="242" spans="2:11" x14ac:dyDescent="0.35">
      <c r="B242" s="45"/>
      <c r="C242" s="45"/>
      <c r="D242" s="45"/>
      <c r="E242" s="45"/>
      <c r="F242" s="45"/>
      <c r="G242" s="144"/>
      <c r="H242" s="45"/>
      <c r="I242" s="45"/>
      <c r="J242" s="45"/>
      <c r="K242" s="45"/>
    </row>
    <row r="243" spans="2:11" x14ac:dyDescent="0.35">
      <c r="B243" s="45"/>
      <c r="C243" s="45"/>
      <c r="D243" s="45"/>
      <c r="E243" s="45"/>
      <c r="F243" s="45"/>
      <c r="G243" s="144"/>
      <c r="H243" s="45"/>
      <c r="I243" s="45"/>
      <c r="J243" s="45"/>
      <c r="K243" s="45"/>
    </row>
    <row r="244" spans="2:11" x14ac:dyDescent="0.35">
      <c r="B244" s="45"/>
      <c r="C244" s="45"/>
      <c r="D244" s="45"/>
      <c r="E244" s="45"/>
      <c r="F244" s="45"/>
      <c r="G244" s="144"/>
      <c r="H244" s="45"/>
      <c r="I244" s="45"/>
      <c r="J244" s="45"/>
      <c r="K244" s="45"/>
    </row>
    <row r="245" spans="2:11" x14ac:dyDescent="0.35">
      <c r="B245" s="45"/>
      <c r="C245" s="45"/>
      <c r="D245" s="45"/>
      <c r="E245" s="45"/>
      <c r="F245" s="45"/>
      <c r="G245" s="144"/>
      <c r="H245" s="45"/>
      <c r="I245" s="45"/>
      <c r="J245" s="45"/>
      <c r="K245" s="45"/>
    </row>
    <row r="246" spans="2:11" x14ac:dyDescent="0.35">
      <c r="B246" s="45"/>
      <c r="C246" s="45"/>
      <c r="D246" s="45"/>
      <c r="E246" s="45"/>
      <c r="F246" s="45"/>
      <c r="G246" s="144"/>
      <c r="H246" s="45"/>
      <c r="I246" s="45"/>
      <c r="J246" s="45"/>
      <c r="K246" s="45"/>
    </row>
    <row r="247" spans="2:11" x14ac:dyDescent="0.35">
      <c r="B247" s="45"/>
      <c r="C247" s="45"/>
      <c r="D247" s="45"/>
      <c r="E247" s="45"/>
      <c r="F247" s="45"/>
      <c r="G247" s="144"/>
      <c r="H247" s="45"/>
      <c r="I247" s="45"/>
      <c r="J247" s="45"/>
      <c r="K247" s="45"/>
    </row>
    <row r="248" spans="2:11" x14ac:dyDescent="0.35">
      <c r="B248" s="45"/>
      <c r="C248" s="45"/>
      <c r="D248" s="45"/>
      <c r="E248" s="45"/>
      <c r="F248" s="45"/>
      <c r="G248" s="144"/>
      <c r="H248" s="45"/>
      <c r="I248" s="45"/>
      <c r="J248" s="45"/>
      <c r="K248" s="45"/>
    </row>
    <row r="249" spans="2:11" x14ac:dyDescent="0.35">
      <c r="B249" s="45"/>
      <c r="C249" s="45"/>
      <c r="D249" s="45"/>
      <c r="E249" s="45"/>
      <c r="F249" s="45"/>
      <c r="G249" s="144"/>
      <c r="H249" s="45"/>
      <c r="I249" s="45"/>
      <c r="J249" s="45"/>
      <c r="K249" s="45"/>
    </row>
    <row r="250" spans="2:11" x14ac:dyDescent="0.35">
      <c r="B250" s="45"/>
      <c r="C250" s="45"/>
      <c r="D250" s="45"/>
      <c r="E250" s="45"/>
      <c r="F250" s="45"/>
      <c r="G250" s="144"/>
      <c r="H250" s="45"/>
      <c r="I250" s="45"/>
      <c r="J250" s="45"/>
      <c r="K250" s="45"/>
    </row>
    <row r="251" spans="2:11" x14ac:dyDescent="0.35">
      <c r="B251" s="45"/>
      <c r="C251" s="45"/>
      <c r="D251" s="45"/>
      <c r="E251" s="45"/>
      <c r="F251" s="45"/>
      <c r="G251" s="144"/>
      <c r="H251" s="45"/>
      <c r="I251" s="45"/>
      <c r="J251" s="45"/>
      <c r="K251" s="45"/>
    </row>
    <row r="252" spans="2:11" x14ac:dyDescent="0.35">
      <c r="B252" s="45"/>
      <c r="C252" s="45"/>
      <c r="D252" s="45"/>
      <c r="E252" s="45"/>
      <c r="F252" s="45"/>
      <c r="G252" s="144"/>
      <c r="H252" s="45"/>
      <c r="I252" s="45"/>
      <c r="J252" s="45"/>
      <c r="K252" s="45"/>
    </row>
    <row r="253" spans="2:11" x14ac:dyDescent="0.35">
      <c r="B253" s="45"/>
      <c r="C253" s="45"/>
      <c r="D253" s="45"/>
      <c r="E253" s="45"/>
      <c r="F253" s="45"/>
      <c r="G253" s="144"/>
      <c r="H253" s="45"/>
      <c r="I253" s="45"/>
      <c r="J253" s="45"/>
      <c r="K253" s="45"/>
    </row>
    <row r="254" spans="2:11" x14ac:dyDescent="0.35">
      <c r="B254" s="45"/>
      <c r="C254" s="45"/>
      <c r="D254" s="45"/>
      <c r="E254" s="45"/>
      <c r="F254" s="45"/>
      <c r="G254" s="144"/>
      <c r="H254" s="45"/>
      <c r="I254" s="45"/>
      <c r="J254" s="45"/>
      <c r="K254" s="45"/>
    </row>
    <row r="255" spans="2:11" x14ac:dyDescent="0.35">
      <c r="B255" s="45"/>
      <c r="C255" s="45"/>
      <c r="D255" s="45"/>
      <c r="E255" s="45"/>
      <c r="F255" s="45"/>
      <c r="G255" s="144"/>
      <c r="H255" s="45"/>
      <c r="I255" s="45"/>
      <c r="J255" s="45"/>
      <c r="K255" s="45"/>
    </row>
    <row r="256" spans="2:11" x14ac:dyDescent="0.35">
      <c r="B256" s="45"/>
      <c r="C256" s="45"/>
      <c r="D256" s="45"/>
      <c r="E256" s="45"/>
      <c r="F256" s="45"/>
      <c r="G256" s="144"/>
      <c r="H256" s="45"/>
      <c r="I256" s="45"/>
      <c r="J256" s="45"/>
      <c r="K256" s="45"/>
    </row>
    <row r="257" spans="2:11" x14ac:dyDescent="0.35">
      <c r="B257" s="45"/>
      <c r="C257" s="45"/>
      <c r="D257" s="45"/>
      <c r="E257" s="45"/>
      <c r="F257" s="45"/>
      <c r="G257" s="144"/>
      <c r="H257" s="45"/>
      <c r="I257" s="45"/>
      <c r="J257" s="45"/>
      <c r="K257" s="45"/>
    </row>
    <row r="258" spans="2:11" x14ac:dyDescent="0.35">
      <c r="B258" s="45"/>
      <c r="C258" s="45"/>
      <c r="D258" s="45"/>
      <c r="E258" s="45"/>
      <c r="F258" s="45"/>
      <c r="G258" s="144"/>
      <c r="H258" s="45"/>
      <c r="I258" s="45"/>
      <c r="J258" s="45"/>
      <c r="K258" s="45"/>
    </row>
    <row r="259" spans="2:11" x14ac:dyDescent="0.35">
      <c r="B259" s="45"/>
      <c r="C259" s="45"/>
      <c r="D259" s="45"/>
      <c r="E259" s="45"/>
      <c r="F259" s="45"/>
      <c r="G259" s="144"/>
      <c r="H259" s="45"/>
      <c r="I259" s="45"/>
      <c r="J259" s="45"/>
      <c r="K259" s="45"/>
    </row>
    <row r="260" spans="2:11" x14ac:dyDescent="0.35">
      <c r="B260" s="45"/>
      <c r="C260" s="45"/>
      <c r="D260" s="45"/>
      <c r="E260" s="45"/>
      <c r="F260" s="45"/>
      <c r="G260" s="144"/>
      <c r="H260" s="45"/>
      <c r="I260" s="45"/>
      <c r="J260" s="45"/>
      <c r="K260" s="45"/>
    </row>
    <row r="261" spans="2:11" x14ac:dyDescent="0.35">
      <c r="B261" s="45"/>
      <c r="C261" s="45"/>
      <c r="D261" s="45"/>
      <c r="E261" s="45"/>
      <c r="F261" s="45"/>
      <c r="G261" s="144"/>
      <c r="H261" s="45"/>
      <c r="I261" s="45"/>
      <c r="J261" s="45"/>
      <c r="K261" s="45"/>
    </row>
    <row r="262" spans="2:11" x14ac:dyDescent="0.35">
      <c r="B262" s="45"/>
      <c r="C262" s="45"/>
      <c r="D262" s="45"/>
      <c r="E262" s="45"/>
      <c r="F262" s="45"/>
      <c r="G262" s="144"/>
      <c r="H262" s="45"/>
      <c r="I262" s="45"/>
      <c r="J262" s="45"/>
      <c r="K262" s="45"/>
    </row>
    <row r="263" spans="2:11" x14ac:dyDescent="0.35">
      <c r="B263" s="45"/>
      <c r="C263" s="45"/>
      <c r="D263" s="45"/>
      <c r="E263" s="45"/>
      <c r="F263" s="45"/>
      <c r="G263" s="144"/>
      <c r="H263" s="45"/>
      <c r="I263" s="45"/>
      <c r="J263" s="45"/>
      <c r="K263" s="45"/>
    </row>
    <row r="264" spans="2:11" x14ac:dyDescent="0.35">
      <c r="B264" s="45"/>
      <c r="C264" s="45"/>
      <c r="D264" s="45"/>
      <c r="E264" s="45"/>
      <c r="F264" s="45"/>
      <c r="G264" s="144"/>
      <c r="H264" s="45"/>
      <c r="I264" s="45"/>
      <c r="J264" s="45"/>
      <c r="K264" s="45"/>
    </row>
    <row r="265" spans="2:11" x14ac:dyDescent="0.35">
      <c r="B265" s="45"/>
      <c r="C265" s="45"/>
      <c r="D265" s="45"/>
      <c r="E265" s="45"/>
      <c r="F265" s="45"/>
      <c r="G265" s="144"/>
      <c r="H265" s="45"/>
      <c r="I265" s="45"/>
      <c r="J265" s="45"/>
      <c r="K265" s="45"/>
    </row>
    <row r="266" spans="2:11" x14ac:dyDescent="0.35">
      <c r="B266" s="45"/>
      <c r="C266" s="45"/>
      <c r="D266" s="45"/>
      <c r="E266" s="45"/>
      <c r="F266" s="45"/>
      <c r="G266" s="144"/>
      <c r="H266" s="45"/>
      <c r="I266" s="45"/>
      <c r="J266" s="45"/>
      <c r="K266" s="45"/>
    </row>
    <row r="267" spans="2:11" x14ac:dyDescent="0.35">
      <c r="B267" s="45"/>
      <c r="C267" s="45"/>
      <c r="D267" s="45"/>
      <c r="E267" s="45"/>
      <c r="F267" s="45"/>
      <c r="G267" s="144"/>
      <c r="H267" s="45"/>
      <c r="I267" s="45"/>
      <c r="J267" s="45"/>
      <c r="K267" s="45"/>
    </row>
    <row r="268" spans="2:11" x14ac:dyDescent="0.35">
      <c r="B268" s="45"/>
      <c r="C268" s="45"/>
      <c r="D268" s="45"/>
      <c r="E268" s="45"/>
      <c r="F268" s="45"/>
      <c r="G268" s="144"/>
      <c r="H268" s="45"/>
      <c r="I268" s="45"/>
      <c r="J268" s="45"/>
      <c r="K268" s="45"/>
    </row>
    <row r="269" spans="2:11" x14ac:dyDescent="0.35">
      <c r="B269" s="45"/>
      <c r="C269" s="45"/>
      <c r="D269" s="45"/>
      <c r="E269" s="45"/>
      <c r="F269" s="45"/>
      <c r="G269" s="144"/>
      <c r="H269" s="45"/>
      <c r="I269" s="45"/>
      <c r="J269" s="45"/>
      <c r="K269" s="45"/>
    </row>
    <row r="270" spans="2:11" x14ac:dyDescent="0.35">
      <c r="B270" s="45"/>
      <c r="C270" s="45"/>
      <c r="D270" s="45"/>
      <c r="E270" s="45"/>
      <c r="F270" s="45"/>
      <c r="G270" s="144"/>
      <c r="H270" s="45"/>
      <c r="I270" s="45"/>
      <c r="J270" s="45"/>
      <c r="K270" s="45"/>
    </row>
    <row r="271" spans="2:11" x14ac:dyDescent="0.35">
      <c r="B271" s="45"/>
      <c r="C271" s="45"/>
      <c r="D271" s="45"/>
      <c r="E271" s="45"/>
      <c r="F271" s="45"/>
      <c r="G271" s="144"/>
      <c r="H271" s="45"/>
      <c r="I271" s="45"/>
      <c r="J271" s="45"/>
      <c r="K271" s="45"/>
    </row>
    <row r="272" spans="2:11" x14ac:dyDescent="0.35">
      <c r="B272" s="45"/>
      <c r="C272" s="45"/>
      <c r="D272" s="45"/>
      <c r="E272" s="45"/>
      <c r="F272" s="45"/>
      <c r="G272" s="144"/>
      <c r="H272" s="45"/>
      <c r="I272" s="45"/>
      <c r="J272" s="45"/>
      <c r="K272" s="45"/>
    </row>
    <row r="273" spans="2:11" x14ac:dyDescent="0.35">
      <c r="B273" s="45"/>
      <c r="C273" s="45"/>
      <c r="D273" s="45"/>
      <c r="E273" s="45"/>
      <c r="F273" s="45"/>
      <c r="G273" s="144"/>
      <c r="H273" s="45"/>
      <c r="I273" s="45"/>
      <c r="J273" s="45"/>
      <c r="K273" s="45"/>
    </row>
    <row r="274" spans="2:11" x14ac:dyDescent="0.35">
      <c r="B274" s="45"/>
      <c r="C274" s="45"/>
      <c r="D274" s="45"/>
      <c r="E274" s="45"/>
      <c r="F274" s="45"/>
      <c r="G274" s="144"/>
      <c r="H274" s="45"/>
      <c r="I274" s="45"/>
      <c r="J274" s="45"/>
      <c r="K274" s="45"/>
    </row>
    <row r="275" spans="2:11" x14ac:dyDescent="0.35">
      <c r="B275" s="45"/>
      <c r="C275" s="45"/>
      <c r="D275" s="45"/>
      <c r="E275" s="45"/>
      <c r="F275" s="45"/>
      <c r="G275" s="144"/>
      <c r="H275" s="45"/>
      <c r="I275" s="45"/>
      <c r="J275" s="45"/>
      <c r="K275" s="45"/>
    </row>
    <row r="276" spans="2:11" x14ac:dyDescent="0.35">
      <c r="B276" s="45"/>
      <c r="C276" s="45"/>
      <c r="D276" s="45"/>
      <c r="E276" s="45"/>
      <c r="F276" s="45"/>
      <c r="G276" s="144"/>
      <c r="H276" s="45"/>
      <c r="I276" s="45"/>
      <c r="J276" s="45"/>
      <c r="K276" s="45"/>
    </row>
    <row r="277" spans="2:11" x14ac:dyDescent="0.35">
      <c r="B277" s="45"/>
      <c r="C277" s="45"/>
      <c r="D277" s="45"/>
      <c r="E277" s="45"/>
      <c r="F277" s="45"/>
      <c r="G277" s="144"/>
      <c r="H277" s="45"/>
      <c r="I277" s="45"/>
      <c r="J277" s="45"/>
      <c r="K277" s="45"/>
    </row>
    <row r="278" spans="2:11" x14ac:dyDescent="0.35">
      <c r="B278" s="45"/>
      <c r="C278" s="45"/>
      <c r="D278" s="45"/>
      <c r="E278" s="45"/>
      <c r="F278" s="45"/>
      <c r="G278" s="144"/>
      <c r="H278" s="45"/>
      <c r="I278" s="45"/>
      <c r="J278" s="45"/>
      <c r="K278" s="45"/>
    </row>
    <row r="279" spans="2:11" x14ac:dyDescent="0.35">
      <c r="B279" s="45"/>
      <c r="C279" s="45"/>
      <c r="D279" s="45"/>
      <c r="E279" s="45"/>
      <c r="F279" s="45"/>
      <c r="G279" s="144"/>
      <c r="H279" s="45"/>
      <c r="I279" s="45"/>
      <c r="J279" s="45"/>
      <c r="K279" s="45"/>
    </row>
    <row r="280" spans="2:11" x14ac:dyDescent="0.35">
      <c r="B280" s="45"/>
      <c r="C280" s="45"/>
      <c r="D280" s="45"/>
      <c r="E280" s="45"/>
      <c r="F280" s="45"/>
      <c r="G280" s="144"/>
      <c r="H280" s="45"/>
      <c r="I280" s="45"/>
      <c r="J280" s="45"/>
      <c r="K280" s="45"/>
    </row>
    <row r="281" spans="2:11" x14ac:dyDescent="0.35">
      <c r="B281" s="45"/>
      <c r="C281" s="45"/>
      <c r="D281" s="45"/>
      <c r="E281" s="45"/>
      <c r="F281" s="45"/>
      <c r="G281" s="144"/>
      <c r="H281" s="45"/>
      <c r="I281" s="45"/>
      <c r="J281" s="45"/>
      <c r="K281" s="45"/>
    </row>
    <row r="282" spans="2:11" x14ac:dyDescent="0.35">
      <c r="B282" s="45"/>
      <c r="C282" s="45"/>
      <c r="D282" s="45"/>
      <c r="E282" s="45"/>
      <c r="F282" s="45"/>
      <c r="G282" s="144"/>
      <c r="H282" s="45"/>
      <c r="I282" s="45"/>
      <c r="J282" s="45"/>
      <c r="K282" s="45"/>
    </row>
    <row r="283" spans="2:11" x14ac:dyDescent="0.35">
      <c r="B283" s="45"/>
      <c r="C283" s="45"/>
      <c r="D283" s="45"/>
      <c r="E283" s="45"/>
      <c r="F283" s="45"/>
      <c r="G283" s="144"/>
      <c r="H283" s="45"/>
      <c r="I283" s="45"/>
      <c r="J283" s="45"/>
      <c r="K283" s="45"/>
    </row>
    <row r="284" spans="2:11" x14ac:dyDescent="0.35">
      <c r="B284" s="45"/>
      <c r="C284" s="45"/>
      <c r="D284" s="45"/>
      <c r="E284" s="45"/>
      <c r="F284" s="45"/>
      <c r="G284" s="144"/>
      <c r="H284" s="45"/>
      <c r="I284" s="45"/>
      <c r="J284" s="45"/>
      <c r="K284" s="45"/>
    </row>
    <row r="285" spans="2:11" x14ac:dyDescent="0.35">
      <c r="B285" s="45"/>
      <c r="C285" s="45"/>
      <c r="D285" s="45"/>
      <c r="E285" s="45"/>
      <c r="F285" s="45"/>
      <c r="G285" s="144"/>
      <c r="H285" s="45"/>
      <c r="I285" s="45"/>
      <c r="J285" s="45"/>
      <c r="K285" s="45"/>
    </row>
    <row r="286" spans="2:11" x14ac:dyDescent="0.35">
      <c r="B286" s="45"/>
      <c r="C286" s="45"/>
      <c r="D286" s="45"/>
      <c r="E286" s="45"/>
      <c r="F286" s="45"/>
      <c r="G286" s="144"/>
      <c r="H286" s="45"/>
      <c r="I286" s="45"/>
      <c r="J286" s="45"/>
      <c r="K286" s="45"/>
    </row>
    <row r="287" spans="2:11" x14ac:dyDescent="0.35">
      <c r="B287" s="45"/>
      <c r="C287" s="45"/>
      <c r="D287" s="45"/>
      <c r="E287" s="45"/>
      <c r="F287" s="45"/>
      <c r="G287" s="144"/>
      <c r="H287" s="45"/>
      <c r="I287" s="45"/>
      <c r="J287" s="45"/>
      <c r="K287" s="45"/>
    </row>
    <row r="288" spans="2:11" x14ac:dyDescent="0.35">
      <c r="B288" s="45"/>
      <c r="C288" s="45"/>
      <c r="D288" s="45"/>
      <c r="E288" s="45"/>
      <c r="F288" s="45"/>
      <c r="G288" s="144"/>
      <c r="H288" s="45"/>
      <c r="I288" s="45"/>
      <c r="J288" s="45"/>
      <c r="K288" s="45"/>
    </row>
    <row r="289" spans="3:3" x14ac:dyDescent="0.35">
      <c r="C289" s="44"/>
    </row>
    <row r="290" spans="3:3" x14ac:dyDescent="0.35">
      <c r="C290" s="44"/>
    </row>
  </sheetData>
  <mergeCells count="21">
    <mergeCell ref="C41:J41"/>
    <mergeCell ref="C47:J47"/>
    <mergeCell ref="C9:C10"/>
    <mergeCell ref="D9:D10"/>
    <mergeCell ref="C38:G38"/>
    <mergeCell ref="I38:J38"/>
    <mergeCell ref="E9:E10"/>
    <mergeCell ref="F9:F10"/>
    <mergeCell ref="G9:G10"/>
    <mergeCell ref="H9:H10"/>
    <mergeCell ref="I9:I10"/>
    <mergeCell ref="J9:J10"/>
    <mergeCell ref="C40:J40"/>
    <mergeCell ref="C43:J43"/>
    <mergeCell ref="C46:J46"/>
    <mergeCell ref="C44:J44"/>
    <mergeCell ref="C3:J3"/>
    <mergeCell ref="C4:J4"/>
    <mergeCell ref="C5:J5"/>
    <mergeCell ref="C6:J6"/>
    <mergeCell ref="C7:J7"/>
  </mergeCells>
  <dataValidations count="2">
    <dataValidation type="list" allowBlank="1" showInputMessage="1" showErrorMessage="1" sqref="I22:I31 I37:I39" xr:uid="{2EEA6B05-BD65-4524-88FF-3225A0B1E5A4}">
      <formula1>$J$46:$J$47</formula1>
    </dataValidation>
    <dataValidation type="list" allowBlank="1" showInputMessage="1" showErrorMessage="1" sqref="I32:I36" xr:uid="{4EEB212D-2CD2-49F7-AA0F-5552B0A11BCA}">
      <formula1>$J$57:$J$58</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1FA09-2508-4DF0-A33F-221DBF3BE74D}">
  <dimension ref="A1:AA80"/>
  <sheetViews>
    <sheetView topLeftCell="A20" zoomScale="60" zoomScaleNormal="60" workbookViewId="0">
      <selection activeCell="C24" sqref="C24"/>
    </sheetView>
  </sheetViews>
  <sheetFormatPr defaultColWidth="9.1796875" defaultRowHeight="14.5" x14ac:dyDescent="0.35"/>
  <cols>
    <col min="1" max="1" width="3.54296875" style="38" customWidth="1"/>
    <col min="2" max="2" width="116.54296875" style="40" bestFit="1" customWidth="1"/>
    <col min="3" max="3" width="16" style="40" customWidth="1"/>
    <col min="4" max="5" width="15.7265625" style="40" bestFit="1" customWidth="1"/>
    <col min="6" max="6" width="82.7265625" style="40" customWidth="1"/>
    <col min="7" max="7" width="11.453125" style="40" customWidth="1"/>
    <col min="8" max="8" width="43.26953125" style="40" customWidth="1"/>
    <col min="9" max="11" width="11.453125" style="40" customWidth="1"/>
    <col min="12" max="12" width="53.453125" style="40" customWidth="1"/>
    <col min="13" max="19" width="11.453125" style="40" customWidth="1"/>
    <col min="20" max="21" width="11.453125" style="38" customWidth="1"/>
    <col min="22" max="22" width="6" style="2" customWidth="1"/>
    <col min="23" max="258" width="9.1796875" style="38"/>
    <col min="259" max="259" width="3.54296875" style="38" customWidth="1"/>
    <col min="260" max="260" width="16.54296875" style="38" customWidth="1"/>
    <col min="261" max="261" width="13.81640625" style="38" customWidth="1"/>
    <col min="262" max="262" width="14.54296875" style="38" customWidth="1"/>
    <col min="263" max="263" width="13.54296875" style="38" customWidth="1"/>
    <col min="264" max="264" width="12.54296875" style="38" customWidth="1"/>
    <col min="265" max="265" width="12.453125" style="38" customWidth="1"/>
    <col min="266" max="266" width="13.1796875" style="38" customWidth="1"/>
    <col min="267" max="267" width="12.54296875" style="38" customWidth="1"/>
    <col min="268" max="268" width="13.54296875" style="38" customWidth="1"/>
    <col min="269" max="270" width="10.54296875" style="38" customWidth="1"/>
    <col min="271" max="271" width="10.81640625" style="38" customWidth="1"/>
    <col min="272" max="272" width="11.453125" style="38" customWidth="1"/>
    <col min="273" max="274" width="16.453125" style="38" customWidth="1"/>
    <col min="275" max="275" width="5.54296875" style="38" customWidth="1"/>
    <col min="276" max="514" width="9.1796875" style="38"/>
    <col min="515" max="515" width="3.54296875" style="38" customWidth="1"/>
    <col min="516" max="516" width="16.54296875" style="38" customWidth="1"/>
    <col min="517" max="517" width="13.81640625" style="38" customWidth="1"/>
    <col min="518" max="518" width="14.54296875" style="38" customWidth="1"/>
    <col min="519" max="519" width="13.54296875" style="38" customWidth="1"/>
    <col min="520" max="520" width="12.54296875" style="38" customWidth="1"/>
    <col min="521" max="521" width="12.453125" style="38" customWidth="1"/>
    <col min="522" max="522" width="13.1796875" style="38" customWidth="1"/>
    <col min="523" max="523" width="12.54296875" style="38" customWidth="1"/>
    <col min="524" max="524" width="13.54296875" style="38" customWidth="1"/>
    <col min="525" max="526" width="10.54296875" style="38" customWidth="1"/>
    <col min="527" max="527" width="10.81640625" style="38" customWidth="1"/>
    <col min="528" max="528" width="11.453125" style="38" customWidth="1"/>
    <col min="529" max="530" width="16.453125" style="38" customWidth="1"/>
    <col min="531" max="531" width="5.54296875" style="38" customWidth="1"/>
    <col min="532" max="770" width="9.1796875" style="38"/>
    <col min="771" max="771" width="3.54296875" style="38" customWidth="1"/>
    <col min="772" max="772" width="16.54296875" style="38" customWidth="1"/>
    <col min="773" max="773" width="13.81640625" style="38" customWidth="1"/>
    <col min="774" max="774" width="14.54296875" style="38" customWidth="1"/>
    <col min="775" max="775" width="13.54296875" style="38" customWidth="1"/>
    <col min="776" max="776" width="12.54296875" style="38" customWidth="1"/>
    <col min="777" max="777" width="12.453125" style="38" customWidth="1"/>
    <col min="778" max="778" width="13.1796875" style="38" customWidth="1"/>
    <col min="779" max="779" width="12.54296875" style="38" customWidth="1"/>
    <col min="780" max="780" width="13.54296875" style="38" customWidth="1"/>
    <col min="781" max="782" width="10.54296875" style="38" customWidth="1"/>
    <col min="783" max="783" width="10.81640625" style="38" customWidth="1"/>
    <col min="784" max="784" width="11.453125" style="38" customWidth="1"/>
    <col min="785" max="786" width="16.453125" style="38" customWidth="1"/>
    <col min="787" max="787" width="5.54296875" style="38" customWidth="1"/>
    <col min="788" max="1026" width="9.1796875" style="38"/>
    <col min="1027" max="1027" width="3.54296875" style="38" customWidth="1"/>
    <col min="1028" max="1028" width="16.54296875" style="38" customWidth="1"/>
    <col min="1029" max="1029" width="13.81640625" style="38" customWidth="1"/>
    <col min="1030" max="1030" width="14.54296875" style="38" customWidth="1"/>
    <col min="1031" max="1031" width="13.54296875" style="38" customWidth="1"/>
    <col min="1032" max="1032" width="12.54296875" style="38" customWidth="1"/>
    <col min="1033" max="1033" width="12.453125" style="38" customWidth="1"/>
    <col min="1034" max="1034" width="13.1796875" style="38" customWidth="1"/>
    <col min="1035" max="1035" width="12.54296875" style="38" customWidth="1"/>
    <col min="1036" max="1036" width="13.54296875" style="38" customWidth="1"/>
    <col min="1037" max="1038" width="10.54296875" style="38" customWidth="1"/>
    <col min="1039" max="1039" width="10.81640625" style="38" customWidth="1"/>
    <col min="1040" max="1040" width="11.453125" style="38" customWidth="1"/>
    <col min="1041" max="1042" width="16.453125" style="38" customWidth="1"/>
    <col min="1043" max="1043" width="5.54296875" style="38" customWidth="1"/>
    <col min="1044" max="1282" width="9.1796875" style="38"/>
    <col min="1283" max="1283" width="3.54296875" style="38" customWidth="1"/>
    <col min="1284" max="1284" width="16.54296875" style="38" customWidth="1"/>
    <col min="1285" max="1285" width="13.81640625" style="38" customWidth="1"/>
    <col min="1286" max="1286" width="14.54296875" style="38" customWidth="1"/>
    <col min="1287" max="1287" width="13.54296875" style="38" customWidth="1"/>
    <col min="1288" max="1288" width="12.54296875" style="38" customWidth="1"/>
    <col min="1289" max="1289" width="12.453125" style="38" customWidth="1"/>
    <col min="1290" max="1290" width="13.1796875" style="38" customWidth="1"/>
    <col min="1291" max="1291" width="12.54296875" style="38" customWidth="1"/>
    <col min="1292" max="1292" width="13.54296875" style="38" customWidth="1"/>
    <col min="1293" max="1294" width="10.54296875" style="38" customWidth="1"/>
    <col min="1295" max="1295" width="10.81640625" style="38" customWidth="1"/>
    <col min="1296" max="1296" width="11.453125" style="38" customWidth="1"/>
    <col min="1297" max="1298" width="16.453125" style="38" customWidth="1"/>
    <col min="1299" max="1299" width="5.54296875" style="38" customWidth="1"/>
    <col min="1300" max="1538" width="9.1796875" style="38"/>
    <col min="1539" max="1539" width="3.54296875" style="38" customWidth="1"/>
    <col min="1540" max="1540" width="16.54296875" style="38" customWidth="1"/>
    <col min="1541" max="1541" width="13.81640625" style="38" customWidth="1"/>
    <col min="1542" max="1542" width="14.54296875" style="38" customWidth="1"/>
    <col min="1543" max="1543" width="13.54296875" style="38" customWidth="1"/>
    <col min="1544" max="1544" width="12.54296875" style="38" customWidth="1"/>
    <col min="1545" max="1545" width="12.453125" style="38" customWidth="1"/>
    <col min="1546" max="1546" width="13.1796875" style="38" customWidth="1"/>
    <col min="1547" max="1547" width="12.54296875" style="38" customWidth="1"/>
    <col min="1548" max="1548" width="13.54296875" style="38" customWidth="1"/>
    <col min="1549" max="1550" width="10.54296875" style="38" customWidth="1"/>
    <col min="1551" max="1551" width="10.81640625" style="38" customWidth="1"/>
    <col min="1552" max="1552" width="11.453125" style="38" customWidth="1"/>
    <col min="1553" max="1554" width="16.453125" style="38" customWidth="1"/>
    <col min="1555" max="1555" width="5.54296875" style="38" customWidth="1"/>
    <col min="1556" max="1794" width="9.1796875" style="38"/>
    <col min="1795" max="1795" width="3.54296875" style="38" customWidth="1"/>
    <col min="1796" max="1796" width="16.54296875" style="38" customWidth="1"/>
    <col min="1797" max="1797" width="13.81640625" style="38" customWidth="1"/>
    <col min="1798" max="1798" width="14.54296875" style="38" customWidth="1"/>
    <col min="1799" max="1799" width="13.54296875" style="38" customWidth="1"/>
    <col min="1800" max="1800" width="12.54296875" style="38" customWidth="1"/>
    <col min="1801" max="1801" width="12.453125" style="38" customWidth="1"/>
    <col min="1802" max="1802" width="13.1796875" style="38" customWidth="1"/>
    <col min="1803" max="1803" width="12.54296875" style="38" customWidth="1"/>
    <col min="1804" max="1804" width="13.54296875" style="38" customWidth="1"/>
    <col min="1805" max="1806" width="10.54296875" style="38" customWidth="1"/>
    <col min="1807" max="1807" width="10.81640625" style="38" customWidth="1"/>
    <col min="1808" max="1808" width="11.453125" style="38" customWidth="1"/>
    <col min="1809" max="1810" width="16.453125" style="38" customWidth="1"/>
    <col min="1811" max="1811" width="5.54296875" style="38" customWidth="1"/>
    <col min="1812" max="2050" width="9.1796875" style="38"/>
    <col min="2051" max="2051" width="3.54296875" style="38" customWidth="1"/>
    <col min="2052" max="2052" width="16.54296875" style="38" customWidth="1"/>
    <col min="2053" max="2053" width="13.81640625" style="38" customWidth="1"/>
    <col min="2054" max="2054" width="14.54296875" style="38" customWidth="1"/>
    <col min="2055" max="2055" width="13.54296875" style="38" customWidth="1"/>
    <col min="2056" max="2056" width="12.54296875" style="38" customWidth="1"/>
    <col min="2057" max="2057" width="12.453125" style="38" customWidth="1"/>
    <col min="2058" max="2058" width="13.1796875" style="38" customWidth="1"/>
    <col min="2059" max="2059" width="12.54296875" style="38" customWidth="1"/>
    <col min="2060" max="2060" width="13.54296875" style="38" customWidth="1"/>
    <col min="2061" max="2062" width="10.54296875" style="38" customWidth="1"/>
    <col min="2063" max="2063" width="10.81640625" style="38" customWidth="1"/>
    <col min="2064" max="2064" width="11.453125" style="38" customWidth="1"/>
    <col min="2065" max="2066" width="16.453125" style="38" customWidth="1"/>
    <col min="2067" max="2067" width="5.54296875" style="38" customWidth="1"/>
    <col min="2068" max="2306" width="9.1796875" style="38"/>
    <col min="2307" max="2307" width="3.54296875" style="38" customWidth="1"/>
    <col min="2308" max="2308" width="16.54296875" style="38" customWidth="1"/>
    <col min="2309" max="2309" width="13.81640625" style="38" customWidth="1"/>
    <col min="2310" max="2310" width="14.54296875" style="38" customWidth="1"/>
    <col min="2311" max="2311" width="13.54296875" style="38" customWidth="1"/>
    <col min="2312" max="2312" width="12.54296875" style="38" customWidth="1"/>
    <col min="2313" max="2313" width="12.453125" style="38" customWidth="1"/>
    <col min="2314" max="2314" width="13.1796875" style="38" customWidth="1"/>
    <col min="2315" max="2315" width="12.54296875" style="38" customWidth="1"/>
    <col min="2316" max="2316" width="13.54296875" style="38" customWidth="1"/>
    <col min="2317" max="2318" width="10.54296875" style="38" customWidth="1"/>
    <col min="2319" max="2319" width="10.81640625" style="38" customWidth="1"/>
    <col min="2320" max="2320" width="11.453125" style="38" customWidth="1"/>
    <col min="2321" max="2322" width="16.453125" style="38" customWidth="1"/>
    <col min="2323" max="2323" width="5.54296875" style="38" customWidth="1"/>
    <col min="2324" max="2562" width="9.1796875" style="38"/>
    <col min="2563" max="2563" width="3.54296875" style="38" customWidth="1"/>
    <col min="2564" max="2564" width="16.54296875" style="38" customWidth="1"/>
    <col min="2565" max="2565" width="13.81640625" style="38" customWidth="1"/>
    <col min="2566" max="2566" width="14.54296875" style="38" customWidth="1"/>
    <col min="2567" max="2567" width="13.54296875" style="38" customWidth="1"/>
    <col min="2568" max="2568" width="12.54296875" style="38" customWidth="1"/>
    <col min="2569" max="2569" width="12.453125" style="38" customWidth="1"/>
    <col min="2570" max="2570" width="13.1796875" style="38" customWidth="1"/>
    <col min="2571" max="2571" width="12.54296875" style="38" customWidth="1"/>
    <col min="2572" max="2572" width="13.54296875" style="38" customWidth="1"/>
    <col min="2573" max="2574" width="10.54296875" style="38" customWidth="1"/>
    <col min="2575" max="2575" width="10.81640625" style="38" customWidth="1"/>
    <col min="2576" max="2576" width="11.453125" style="38" customWidth="1"/>
    <col min="2577" max="2578" width="16.453125" style="38" customWidth="1"/>
    <col min="2579" max="2579" width="5.54296875" style="38" customWidth="1"/>
    <col min="2580" max="2818" width="9.1796875" style="38"/>
    <col min="2819" max="2819" width="3.54296875" style="38" customWidth="1"/>
    <col min="2820" max="2820" width="16.54296875" style="38" customWidth="1"/>
    <col min="2821" max="2821" width="13.81640625" style="38" customWidth="1"/>
    <col min="2822" max="2822" width="14.54296875" style="38" customWidth="1"/>
    <col min="2823" max="2823" width="13.54296875" style="38" customWidth="1"/>
    <col min="2824" max="2824" width="12.54296875" style="38" customWidth="1"/>
    <col min="2825" max="2825" width="12.453125" style="38" customWidth="1"/>
    <col min="2826" max="2826" width="13.1796875" style="38" customWidth="1"/>
    <col min="2827" max="2827" width="12.54296875" style="38" customWidth="1"/>
    <col min="2828" max="2828" width="13.54296875" style="38" customWidth="1"/>
    <col min="2829" max="2830" width="10.54296875" style="38" customWidth="1"/>
    <col min="2831" max="2831" width="10.81640625" style="38" customWidth="1"/>
    <col min="2832" max="2832" width="11.453125" style="38" customWidth="1"/>
    <col min="2833" max="2834" width="16.453125" style="38" customWidth="1"/>
    <col min="2835" max="2835" width="5.54296875" style="38" customWidth="1"/>
    <col min="2836" max="3074" width="9.1796875" style="38"/>
    <col min="3075" max="3075" width="3.54296875" style="38" customWidth="1"/>
    <col min="3076" max="3076" width="16.54296875" style="38" customWidth="1"/>
    <col min="3077" max="3077" width="13.81640625" style="38" customWidth="1"/>
    <col min="3078" max="3078" width="14.54296875" style="38" customWidth="1"/>
    <col min="3079" max="3079" width="13.54296875" style="38" customWidth="1"/>
    <col min="3080" max="3080" width="12.54296875" style="38" customWidth="1"/>
    <col min="3081" max="3081" width="12.453125" style="38" customWidth="1"/>
    <col min="3082" max="3082" width="13.1796875" style="38" customWidth="1"/>
    <col min="3083" max="3083" width="12.54296875" style="38" customWidth="1"/>
    <col min="3084" max="3084" width="13.54296875" style="38" customWidth="1"/>
    <col min="3085" max="3086" width="10.54296875" style="38" customWidth="1"/>
    <col min="3087" max="3087" width="10.81640625" style="38" customWidth="1"/>
    <col min="3088" max="3088" width="11.453125" style="38" customWidth="1"/>
    <col min="3089" max="3090" width="16.453125" style="38" customWidth="1"/>
    <col min="3091" max="3091" width="5.54296875" style="38" customWidth="1"/>
    <col min="3092" max="3330" width="9.1796875" style="38"/>
    <col min="3331" max="3331" width="3.54296875" style="38" customWidth="1"/>
    <col min="3332" max="3332" width="16.54296875" style="38" customWidth="1"/>
    <col min="3333" max="3333" width="13.81640625" style="38" customWidth="1"/>
    <col min="3334" max="3334" width="14.54296875" style="38" customWidth="1"/>
    <col min="3335" max="3335" width="13.54296875" style="38" customWidth="1"/>
    <col min="3336" max="3336" width="12.54296875" style="38" customWidth="1"/>
    <col min="3337" max="3337" width="12.453125" style="38" customWidth="1"/>
    <col min="3338" max="3338" width="13.1796875" style="38" customWidth="1"/>
    <col min="3339" max="3339" width="12.54296875" style="38" customWidth="1"/>
    <col min="3340" max="3340" width="13.54296875" style="38" customWidth="1"/>
    <col min="3341" max="3342" width="10.54296875" style="38" customWidth="1"/>
    <col min="3343" max="3343" width="10.81640625" style="38" customWidth="1"/>
    <col min="3344" max="3344" width="11.453125" style="38" customWidth="1"/>
    <col min="3345" max="3346" width="16.453125" style="38" customWidth="1"/>
    <col min="3347" max="3347" width="5.54296875" style="38" customWidth="1"/>
    <col min="3348" max="3586" width="9.1796875" style="38"/>
    <col min="3587" max="3587" width="3.54296875" style="38" customWidth="1"/>
    <col min="3588" max="3588" width="16.54296875" style="38" customWidth="1"/>
    <col min="3589" max="3589" width="13.81640625" style="38" customWidth="1"/>
    <col min="3590" max="3590" width="14.54296875" style="38" customWidth="1"/>
    <col min="3591" max="3591" width="13.54296875" style="38" customWidth="1"/>
    <col min="3592" max="3592" width="12.54296875" style="38" customWidth="1"/>
    <col min="3593" max="3593" width="12.453125" style="38" customWidth="1"/>
    <col min="3594" max="3594" width="13.1796875" style="38" customWidth="1"/>
    <col min="3595" max="3595" width="12.54296875" style="38" customWidth="1"/>
    <col min="3596" max="3596" width="13.54296875" style="38" customWidth="1"/>
    <col min="3597" max="3598" width="10.54296875" style="38" customWidth="1"/>
    <col min="3599" max="3599" width="10.81640625" style="38" customWidth="1"/>
    <col min="3600" max="3600" width="11.453125" style="38" customWidth="1"/>
    <col min="3601" max="3602" width="16.453125" style="38" customWidth="1"/>
    <col min="3603" max="3603" width="5.54296875" style="38" customWidth="1"/>
    <col min="3604" max="3842" width="9.1796875" style="38"/>
    <col min="3843" max="3843" width="3.54296875" style="38" customWidth="1"/>
    <col min="3844" max="3844" width="16.54296875" style="38" customWidth="1"/>
    <col min="3845" max="3845" width="13.81640625" style="38" customWidth="1"/>
    <col min="3846" max="3846" width="14.54296875" style="38" customWidth="1"/>
    <col min="3847" max="3847" width="13.54296875" style="38" customWidth="1"/>
    <col min="3848" max="3848" width="12.54296875" style="38" customWidth="1"/>
    <col min="3849" max="3849" width="12.453125" style="38" customWidth="1"/>
    <col min="3850" max="3850" width="13.1796875" style="38" customWidth="1"/>
    <col min="3851" max="3851" width="12.54296875" style="38" customWidth="1"/>
    <col min="3852" max="3852" width="13.54296875" style="38" customWidth="1"/>
    <col min="3853" max="3854" width="10.54296875" style="38" customWidth="1"/>
    <col min="3855" max="3855" width="10.81640625" style="38" customWidth="1"/>
    <col min="3856" max="3856" width="11.453125" style="38" customWidth="1"/>
    <col min="3857" max="3858" width="16.453125" style="38" customWidth="1"/>
    <col min="3859" max="3859" width="5.54296875" style="38" customWidth="1"/>
    <col min="3860" max="4098" width="9.1796875" style="38"/>
    <col min="4099" max="4099" width="3.54296875" style="38" customWidth="1"/>
    <col min="4100" max="4100" width="16.54296875" style="38" customWidth="1"/>
    <col min="4101" max="4101" width="13.81640625" style="38" customWidth="1"/>
    <col min="4102" max="4102" width="14.54296875" style="38" customWidth="1"/>
    <col min="4103" max="4103" width="13.54296875" style="38" customWidth="1"/>
    <col min="4104" max="4104" width="12.54296875" style="38" customWidth="1"/>
    <col min="4105" max="4105" width="12.453125" style="38" customWidth="1"/>
    <col min="4106" max="4106" width="13.1796875" style="38" customWidth="1"/>
    <col min="4107" max="4107" width="12.54296875" style="38" customWidth="1"/>
    <col min="4108" max="4108" width="13.54296875" style="38" customWidth="1"/>
    <col min="4109" max="4110" width="10.54296875" style="38" customWidth="1"/>
    <col min="4111" max="4111" width="10.81640625" style="38" customWidth="1"/>
    <col min="4112" max="4112" width="11.453125" style="38" customWidth="1"/>
    <col min="4113" max="4114" width="16.453125" style="38" customWidth="1"/>
    <col min="4115" max="4115" width="5.54296875" style="38" customWidth="1"/>
    <col min="4116" max="4354" width="9.1796875" style="38"/>
    <col min="4355" max="4355" width="3.54296875" style="38" customWidth="1"/>
    <col min="4356" max="4356" width="16.54296875" style="38" customWidth="1"/>
    <col min="4357" max="4357" width="13.81640625" style="38" customWidth="1"/>
    <col min="4358" max="4358" width="14.54296875" style="38" customWidth="1"/>
    <col min="4359" max="4359" width="13.54296875" style="38" customWidth="1"/>
    <col min="4360" max="4360" width="12.54296875" style="38" customWidth="1"/>
    <col min="4361" max="4361" width="12.453125" style="38" customWidth="1"/>
    <col min="4362" max="4362" width="13.1796875" style="38" customWidth="1"/>
    <col min="4363" max="4363" width="12.54296875" style="38" customWidth="1"/>
    <col min="4364" max="4364" width="13.54296875" style="38" customWidth="1"/>
    <col min="4365" max="4366" width="10.54296875" style="38" customWidth="1"/>
    <col min="4367" max="4367" width="10.81640625" style="38" customWidth="1"/>
    <col min="4368" max="4368" width="11.453125" style="38" customWidth="1"/>
    <col min="4369" max="4370" width="16.453125" style="38" customWidth="1"/>
    <col min="4371" max="4371" width="5.54296875" style="38" customWidth="1"/>
    <col min="4372" max="4610" width="9.1796875" style="38"/>
    <col min="4611" max="4611" width="3.54296875" style="38" customWidth="1"/>
    <col min="4612" max="4612" width="16.54296875" style="38" customWidth="1"/>
    <col min="4613" max="4613" width="13.81640625" style="38" customWidth="1"/>
    <col min="4614" max="4614" width="14.54296875" style="38" customWidth="1"/>
    <col min="4615" max="4615" width="13.54296875" style="38" customWidth="1"/>
    <col min="4616" max="4616" width="12.54296875" style="38" customWidth="1"/>
    <col min="4617" max="4617" width="12.453125" style="38" customWidth="1"/>
    <col min="4618" max="4618" width="13.1796875" style="38" customWidth="1"/>
    <col min="4619" max="4619" width="12.54296875" style="38" customWidth="1"/>
    <col min="4620" max="4620" width="13.54296875" style="38" customWidth="1"/>
    <col min="4621" max="4622" width="10.54296875" style="38" customWidth="1"/>
    <col min="4623" max="4623" width="10.81640625" style="38" customWidth="1"/>
    <col min="4624" max="4624" width="11.453125" style="38" customWidth="1"/>
    <col min="4625" max="4626" width="16.453125" style="38" customWidth="1"/>
    <col min="4627" max="4627" width="5.54296875" style="38" customWidth="1"/>
    <col min="4628" max="4866" width="9.1796875" style="38"/>
    <col min="4867" max="4867" width="3.54296875" style="38" customWidth="1"/>
    <col min="4868" max="4868" width="16.54296875" style="38" customWidth="1"/>
    <col min="4869" max="4869" width="13.81640625" style="38" customWidth="1"/>
    <col min="4870" max="4870" width="14.54296875" style="38" customWidth="1"/>
    <col min="4871" max="4871" width="13.54296875" style="38" customWidth="1"/>
    <col min="4872" max="4872" width="12.54296875" style="38" customWidth="1"/>
    <col min="4873" max="4873" width="12.453125" style="38" customWidth="1"/>
    <col min="4874" max="4874" width="13.1796875" style="38" customWidth="1"/>
    <col min="4875" max="4875" width="12.54296875" style="38" customWidth="1"/>
    <col min="4876" max="4876" width="13.54296875" style="38" customWidth="1"/>
    <col min="4877" max="4878" width="10.54296875" style="38" customWidth="1"/>
    <col min="4879" max="4879" width="10.81640625" style="38" customWidth="1"/>
    <col min="4880" max="4880" width="11.453125" style="38" customWidth="1"/>
    <col min="4881" max="4882" width="16.453125" style="38" customWidth="1"/>
    <col min="4883" max="4883" width="5.54296875" style="38" customWidth="1"/>
    <col min="4884" max="5122" width="9.1796875" style="38"/>
    <col min="5123" max="5123" width="3.54296875" style="38" customWidth="1"/>
    <col min="5124" max="5124" width="16.54296875" style="38" customWidth="1"/>
    <col min="5125" max="5125" width="13.81640625" style="38" customWidth="1"/>
    <col min="5126" max="5126" width="14.54296875" style="38" customWidth="1"/>
    <col min="5127" max="5127" width="13.54296875" style="38" customWidth="1"/>
    <col min="5128" max="5128" width="12.54296875" style="38" customWidth="1"/>
    <col min="5129" max="5129" width="12.453125" style="38" customWidth="1"/>
    <col min="5130" max="5130" width="13.1796875" style="38" customWidth="1"/>
    <col min="5131" max="5131" width="12.54296875" style="38" customWidth="1"/>
    <col min="5132" max="5132" width="13.54296875" style="38" customWidth="1"/>
    <col min="5133" max="5134" width="10.54296875" style="38" customWidth="1"/>
    <col min="5135" max="5135" width="10.81640625" style="38" customWidth="1"/>
    <col min="5136" max="5136" width="11.453125" style="38" customWidth="1"/>
    <col min="5137" max="5138" width="16.453125" style="38" customWidth="1"/>
    <col min="5139" max="5139" width="5.54296875" style="38" customWidth="1"/>
    <col min="5140" max="5378" width="9.1796875" style="38"/>
    <col min="5379" max="5379" width="3.54296875" style="38" customWidth="1"/>
    <col min="5380" max="5380" width="16.54296875" style="38" customWidth="1"/>
    <col min="5381" max="5381" width="13.81640625" style="38" customWidth="1"/>
    <col min="5382" max="5382" width="14.54296875" style="38" customWidth="1"/>
    <col min="5383" max="5383" width="13.54296875" style="38" customWidth="1"/>
    <col min="5384" max="5384" width="12.54296875" style="38" customWidth="1"/>
    <col min="5385" max="5385" width="12.453125" style="38" customWidth="1"/>
    <col min="5386" max="5386" width="13.1796875" style="38" customWidth="1"/>
    <col min="5387" max="5387" width="12.54296875" style="38" customWidth="1"/>
    <col min="5388" max="5388" width="13.54296875" style="38" customWidth="1"/>
    <col min="5389" max="5390" width="10.54296875" style="38" customWidth="1"/>
    <col min="5391" max="5391" width="10.81640625" style="38" customWidth="1"/>
    <col min="5392" max="5392" width="11.453125" style="38" customWidth="1"/>
    <col min="5393" max="5394" width="16.453125" style="38" customWidth="1"/>
    <col min="5395" max="5395" width="5.54296875" style="38" customWidth="1"/>
    <col min="5396" max="5634" width="9.1796875" style="38"/>
    <col min="5635" max="5635" width="3.54296875" style="38" customWidth="1"/>
    <col min="5636" max="5636" width="16.54296875" style="38" customWidth="1"/>
    <col min="5637" max="5637" width="13.81640625" style="38" customWidth="1"/>
    <col min="5638" max="5638" width="14.54296875" style="38" customWidth="1"/>
    <col min="5639" max="5639" width="13.54296875" style="38" customWidth="1"/>
    <col min="5640" max="5640" width="12.54296875" style="38" customWidth="1"/>
    <col min="5641" max="5641" width="12.453125" style="38" customWidth="1"/>
    <col min="5642" max="5642" width="13.1796875" style="38" customWidth="1"/>
    <col min="5643" max="5643" width="12.54296875" style="38" customWidth="1"/>
    <col min="5644" max="5644" width="13.54296875" style="38" customWidth="1"/>
    <col min="5645" max="5646" width="10.54296875" style="38" customWidth="1"/>
    <col min="5647" max="5647" width="10.81640625" style="38" customWidth="1"/>
    <col min="5648" max="5648" width="11.453125" style="38" customWidth="1"/>
    <col min="5649" max="5650" width="16.453125" style="38" customWidth="1"/>
    <col min="5651" max="5651" width="5.54296875" style="38" customWidth="1"/>
    <col min="5652" max="5890" width="9.1796875" style="38"/>
    <col min="5891" max="5891" width="3.54296875" style="38" customWidth="1"/>
    <col min="5892" max="5892" width="16.54296875" style="38" customWidth="1"/>
    <col min="5893" max="5893" width="13.81640625" style="38" customWidth="1"/>
    <col min="5894" max="5894" width="14.54296875" style="38" customWidth="1"/>
    <col min="5895" max="5895" width="13.54296875" style="38" customWidth="1"/>
    <col min="5896" max="5896" width="12.54296875" style="38" customWidth="1"/>
    <col min="5897" max="5897" width="12.453125" style="38" customWidth="1"/>
    <col min="5898" max="5898" width="13.1796875" style="38" customWidth="1"/>
    <col min="5899" max="5899" width="12.54296875" style="38" customWidth="1"/>
    <col min="5900" max="5900" width="13.54296875" style="38" customWidth="1"/>
    <col min="5901" max="5902" width="10.54296875" style="38" customWidth="1"/>
    <col min="5903" max="5903" width="10.81640625" style="38" customWidth="1"/>
    <col min="5904" max="5904" width="11.453125" style="38" customWidth="1"/>
    <col min="5905" max="5906" width="16.453125" style="38" customWidth="1"/>
    <col min="5907" max="5907" width="5.54296875" style="38" customWidth="1"/>
    <col min="5908" max="6146" width="9.1796875" style="38"/>
    <col min="6147" max="6147" width="3.54296875" style="38" customWidth="1"/>
    <col min="6148" max="6148" width="16.54296875" style="38" customWidth="1"/>
    <col min="6149" max="6149" width="13.81640625" style="38" customWidth="1"/>
    <col min="6150" max="6150" width="14.54296875" style="38" customWidth="1"/>
    <col min="6151" max="6151" width="13.54296875" style="38" customWidth="1"/>
    <col min="6152" max="6152" width="12.54296875" style="38" customWidth="1"/>
    <col min="6153" max="6153" width="12.453125" style="38" customWidth="1"/>
    <col min="6154" max="6154" width="13.1796875" style="38" customWidth="1"/>
    <col min="6155" max="6155" width="12.54296875" style="38" customWidth="1"/>
    <col min="6156" max="6156" width="13.54296875" style="38" customWidth="1"/>
    <col min="6157" max="6158" width="10.54296875" style="38" customWidth="1"/>
    <col min="6159" max="6159" width="10.81640625" style="38" customWidth="1"/>
    <col min="6160" max="6160" width="11.453125" style="38" customWidth="1"/>
    <col min="6161" max="6162" width="16.453125" style="38" customWidth="1"/>
    <col min="6163" max="6163" width="5.54296875" style="38" customWidth="1"/>
    <col min="6164" max="6402" width="9.1796875" style="38"/>
    <col min="6403" max="6403" width="3.54296875" style="38" customWidth="1"/>
    <col min="6404" max="6404" width="16.54296875" style="38" customWidth="1"/>
    <col min="6405" max="6405" width="13.81640625" style="38" customWidth="1"/>
    <col min="6406" max="6406" width="14.54296875" style="38" customWidth="1"/>
    <col min="6407" max="6407" width="13.54296875" style="38" customWidth="1"/>
    <col min="6408" max="6408" width="12.54296875" style="38" customWidth="1"/>
    <col min="6409" max="6409" width="12.453125" style="38" customWidth="1"/>
    <col min="6410" max="6410" width="13.1796875" style="38" customWidth="1"/>
    <col min="6411" max="6411" width="12.54296875" style="38" customWidth="1"/>
    <col min="6412" max="6412" width="13.54296875" style="38" customWidth="1"/>
    <col min="6413" max="6414" width="10.54296875" style="38" customWidth="1"/>
    <col min="6415" max="6415" width="10.81640625" style="38" customWidth="1"/>
    <col min="6416" max="6416" width="11.453125" style="38" customWidth="1"/>
    <col min="6417" max="6418" width="16.453125" style="38" customWidth="1"/>
    <col min="6419" max="6419" width="5.54296875" style="38" customWidth="1"/>
    <col min="6420" max="6658" width="9.1796875" style="38"/>
    <col min="6659" max="6659" width="3.54296875" style="38" customWidth="1"/>
    <col min="6660" max="6660" width="16.54296875" style="38" customWidth="1"/>
    <col min="6661" max="6661" width="13.81640625" style="38" customWidth="1"/>
    <col min="6662" max="6662" width="14.54296875" style="38" customWidth="1"/>
    <col min="6663" max="6663" width="13.54296875" style="38" customWidth="1"/>
    <col min="6664" max="6664" width="12.54296875" style="38" customWidth="1"/>
    <col min="6665" max="6665" width="12.453125" style="38" customWidth="1"/>
    <col min="6666" max="6666" width="13.1796875" style="38" customWidth="1"/>
    <col min="6667" max="6667" width="12.54296875" style="38" customWidth="1"/>
    <col min="6668" max="6668" width="13.54296875" style="38" customWidth="1"/>
    <col min="6669" max="6670" width="10.54296875" style="38" customWidth="1"/>
    <col min="6671" max="6671" width="10.81640625" style="38" customWidth="1"/>
    <col min="6672" max="6672" width="11.453125" style="38" customWidth="1"/>
    <col min="6673" max="6674" width="16.453125" style="38" customWidth="1"/>
    <col min="6675" max="6675" width="5.54296875" style="38" customWidth="1"/>
    <col min="6676" max="6914" width="9.1796875" style="38"/>
    <col min="6915" max="6915" width="3.54296875" style="38" customWidth="1"/>
    <col min="6916" max="6916" width="16.54296875" style="38" customWidth="1"/>
    <col min="6917" max="6917" width="13.81640625" style="38" customWidth="1"/>
    <col min="6918" max="6918" width="14.54296875" style="38" customWidth="1"/>
    <col min="6919" max="6919" width="13.54296875" style="38" customWidth="1"/>
    <col min="6920" max="6920" width="12.54296875" style="38" customWidth="1"/>
    <col min="6921" max="6921" width="12.453125" style="38" customWidth="1"/>
    <col min="6922" max="6922" width="13.1796875" style="38" customWidth="1"/>
    <col min="6923" max="6923" width="12.54296875" style="38" customWidth="1"/>
    <col min="6924" max="6924" width="13.54296875" style="38" customWidth="1"/>
    <col min="6925" max="6926" width="10.54296875" style="38" customWidth="1"/>
    <col min="6927" max="6927" width="10.81640625" style="38" customWidth="1"/>
    <col min="6928" max="6928" width="11.453125" style="38" customWidth="1"/>
    <col min="6929" max="6930" width="16.453125" style="38" customWidth="1"/>
    <col min="6931" max="6931" width="5.54296875" style="38" customWidth="1"/>
    <col min="6932" max="7170" width="9.1796875" style="38"/>
    <col min="7171" max="7171" width="3.54296875" style="38" customWidth="1"/>
    <col min="7172" max="7172" width="16.54296875" style="38" customWidth="1"/>
    <col min="7173" max="7173" width="13.81640625" style="38" customWidth="1"/>
    <col min="7174" max="7174" width="14.54296875" style="38" customWidth="1"/>
    <col min="7175" max="7175" width="13.54296875" style="38" customWidth="1"/>
    <col min="7176" max="7176" width="12.54296875" style="38" customWidth="1"/>
    <col min="7177" max="7177" width="12.453125" style="38" customWidth="1"/>
    <col min="7178" max="7178" width="13.1796875" style="38" customWidth="1"/>
    <col min="7179" max="7179" width="12.54296875" style="38" customWidth="1"/>
    <col min="7180" max="7180" width="13.54296875" style="38" customWidth="1"/>
    <col min="7181" max="7182" width="10.54296875" style="38" customWidth="1"/>
    <col min="7183" max="7183" width="10.81640625" style="38" customWidth="1"/>
    <col min="7184" max="7184" width="11.453125" style="38" customWidth="1"/>
    <col min="7185" max="7186" width="16.453125" style="38" customWidth="1"/>
    <col min="7187" max="7187" width="5.54296875" style="38" customWidth="1"/>
    <col min="7188" max="7426" width="9.1796875" style="38"/>
    <col min="7427" max="7427" width="3.54296875" style="38" customWidth="1"/>
    <col min="7428" max="7428" width="16.54296875" style="38" customWidth="1"/>
    <col min="7429" max="7429" width="13.81640625" style="38" customWidth="1"/>
    <col min="7430" max="7430" width="14.54296875" style="38" customWidth="1"/>
    <col min="7431" max="7431" width="13.54296875" style="38" customWidth="1"/>
    <col min="7432" max="7432" width="12.54296875" style="38" customWidth="1"/>
    <col min="7433" max="7433" width="12.453125" style="38" customWidth="1"/>
    <col min="7434" max="7434" width="13.1796875" style="38" customWidth="1"/>
    <col min="7435" max="7435" width="12.54296875" style="38" customWidth="1"/>
    <col min="7436" max="7436" width="13.54296875" style="38" customWidth="1"/>
    <col min="7437" max="7438" width="10.54296875" style="38" customWidth="1"/>
    <col min="7439" max="7439" width="10.81640625" style="38" customWidth="1"/>
    <col min="7440" max="7440" width="11.453125" style="38" customWidth="1"/>
    <col min="7441" max="7442" width="16.453125" style="38" customWidth="1"/>
    <col min="7443" max="7443" width="5.54296875" style="38" customWidth="1"/>
    <col min="7444" max="7682" width="9.1796875" style="38"/>
    <col min="7683" max="7683" width="3.54296875" style="38" customWidth="1"/>
    <col min="7684" max="7684" width="16.54296875" style="38" customWidth="1"/>
    <col min="7685" max="7685" width="13.81640625" style="38" customWidth="1"/>
    <col min="7686" max="7686" width="14.54296875" style="38" customWidth="1"/>
    <col min="7687" max="7687" width="13.54296875" style="38" customWidth="1"/>
    <col min="7688" max="7688" width="12.54296875" style="38" customWidth="1"/>
    <col min="7689" max="7689" width="12.453125" style="38" customWidth="1"/>
    <col min="7690" max="7690" width="13.1796875" style="38" customWidth="1"/>
    <col min="7691" max="7691" width="12.54296875" style="38" customWidth="1"/>
    <col min="7692" max="7692" width="13.54296875" style="38" customWidth="1"/>
    <col min="7693" max="7694" width="10.54296875" style="38" customWidth="1"/>
    <col min="7695" max="7695" width="10.81640625" style="38" customWidth="1"/>
    <col min="7696" max="7696" width="11.453125" style="38" customWidth="1"/>
    <col min="7697" max="7698" width="16.453125" style="38" customWidth="1"/>
    <col min="7699" max="7699" width="5.54296875" style="38" customWidth="1"/>
    <col min="7700" max="7938" width="9.1796875" style="38"/>
    <col min="7939" max="7939" width="3.54296875" style="38" customWidth="1"/>
    <col min="7940" max="7940" width="16.54296875" style="38" customWidth="1"/>
    <col min="7941" max="7941" width="13.81640625" style="38" customWidth="1"/>
    <col min="7942" max="7942" width="14.54296875" style="38" customWidth="1"/>
    <col min="7943" max="7943" width="13.54296875" style="38" customWidth="1"/>
    <col min="7944" max="7944" width="12.54296875" style="38" customWidth="1"/>
    <col min="7945" max="7945" width="12.453125" style="38" customWidth="1"/>
    <col min="7946" max="7946" width="13.1796875" style="38" customWidth="1"/>
    <col min="7947" max="7947" width="12.54296875" style="38" customWidth="1"/>
    <col min="7948" max="7948" width="13.54296875" style="38" customWidth="1"/>
    <col min="7949" max="7950" width="10.54296875" style="38" customWidth="1"/>
    <col min="7951" max="7951" width="10.81640625" style="38" customWidth="1"/>
    <col min="7952" max="7952" width="11.453125" style="38" customWidth="1"/>
    <col min="7953" max="7954" width="16.453125" style="38" customWidth="1"/>
    <col min="7955" max="7955" width="5.54296875" style="38" customWidth="1"/>
    <col min="7956" max="8194" width="9.1796875" style="38"/>
    <col min="8195" max="8195" width="3.54296875" style="38" customWidth="1"/>
    <col min="8196" max="8196" width="16.54296875" style="38" customWidth="1"/>
    <col min="8197" max="8197" width="13.81640625" style="38" customWidth="1"/>
    <col min="8198" max="8198" width="14.54296875" style="38" customWidth="1"/>
    <col min="8199" max="8199" width="13.54296875" style="38" customWidth="1"/>
    <col min="8200" max="8200" width="12.54296875" style="38" customWidth="1"/>
    <col min="8201" max="8201" width="12.453125" style="38" customWidth="1"/>
    <col min="8202" max="8202" width="13.1796875" style="38" customWidth="1"/>
    <col min="8203" max="8203" width="12.54296875" style="38" customWidth="1"/>
    <col min="8204" max="8204" width="13.54296875" style="38" customWidth="1"/>
    <col min="8205" max="8206" width="10.54296875" style="38" customWidth="1"/>
    <col min="8207" max="8207" width="10.81640625" style="38" customWidth="1"/>
    <col min="8208" max="8208" width="11.453125" style="38" customWidth="1"/>
    <col min="8209" max="8210" width="16.453125" style="38" customWidth="1"/>
    <col min="8211" max="8211" width="5.54296875" style="38" customWidth="1"/>
    <col min="8212" max="8450" width="9.1796875" style="38"/>
    <col min="8451" max="8451" width="3.54296875" style="38" customWidth="1"/>
    <col min="8452" max="8452" width="16.54296875" style="38" customWidth="1"/>
    <col min="8453" max="8453" width="13.81640625" style="38" customWidth="1"/>
    <col min="8454" max="8454" width="14.54296875" style="38" customWidth="1"/>
    <col min="8455" max="8455" width="13.54296875" style="38" customWidth="1"/>
    <col min="8456" max="8456" width="12.54296875" style="38" customWidth="1"/>
    <col min="8457" max="8457" width="12.453125" style="38" customWidth="1"/>
    <col min="8458" max="8458" width="13.1796875" style="38" customWidth="1"/>
    <col min="8459" max="8459" width="12.54296875" style="38" customWidth="1"/>
    <col min="8460" max="8460" width="13.54296875" style="38" customWidth="1"/>
    <col min="8461" max="8462" width="10.54296875" style="38" customWidth="1"/>
    <col min="8463" max="8463" width="10.81640625" style="38" customWidth="1"/>
    <col min="8464" max="8464" width="11.453125" style="38" customWidth="1"/>
    <col min="8465" max="8466" width="16.453125" style="38" customWidth="1"/>
    <col min="8467" max="8467" width="5.54296875" style="38" customWidth="1"/>
    <col min="8468" max="8706" width="9.1796875" style="38"/>
    <col min="8707" max="8707" width="3.54296875" style="38" customWidth="1"/>
    <col min="8708" max="8708" width="16.54296875" style="38" customWidth="1"/>
    <col min="8709" max="8709" width="13.81640625" style="38" customWidth="1"/>
    <col min="8710" max="8710" width="14.54296875" style="38" customWidth="1"/>
    <col min="8711" max="8711" width="13.54296875" style="38" customWidth="1"/>
    <col min="8712" max="8712" width="12.54296875" style="38" customWidth="1"/>
    <col min="8713" max="8713" width="12.453125" style="38" customWidth="1"/>
    <col min="8714" max="8714" width="13.1796875" style="38" customWidth="1"/>
    <col min="8715" max="8715" width="12.54296875" style="38" customWidth="1"/>
    <col min="8716" max="8716" width="13.54296875" style="38" customWidth="1"/>
    <col min="8717" max="8718" width="10.54296875" style="38" customWidth="1"/>
    <col min="8719" max="8719" width="10.81640625" style="38" customWidth="1"/>
    <col min="8720" max="8720" width="11.453125" style="38" customWidth="1"/>
    <col min="8721" max="8722" width="16.453125" style="38" customWidth="1"/>
    <col min="8723" max="8723" width="5.54296875" style="38" customWidth="1"/>
    <col min="8724" max="8962" width="9.1796875" style="38"/>
    <col min="8963" max="8963" width="3.54296875" style="38" customWidth="1"/>
    <col min="8964" max="8964" width="16.54296875" style="38" customWidth="1"/>
    <col min="8965" max="8965" width="13.81640625" style="38" customWidth="1"/>
    <col min="8966" max="8966" width="14.54296875" style="38" customWidth="1"/>
    <col min="8967" max="8967" width="13.54296875" style="38" customWidth="1"/>
    <col min="8968" max="8968" width="12.54296875" style="38" customWidth="1"/>
    <col min="8969" max="8969" width="12.453125" style="38" customWidth="1"/>
    <col min="8970" max="8970" width="13.1796875" style="38" customWidth="1"/>
    <col min="8971" max="8971" width="12.54296875" style="38" customWidth="1"/>
    <col min="8972" max="8972" width="13.54296875" style="38" customWidth="1"/>
    <col min="8973" max="8974" width="10.54296875" style="38" customWidth="1"/>
    <col min="8975" max="8975" width="10.81640625" style="38" customWidth="1"/>
    <col min="8976" max="8976" width="11.453125" style="38" customWidth="1"/>
    <col min="8977" max="8978" width="16.453125" style="38" customWidth="1"/>
    <col min="8979" max="8979" width="5.54296875" style="38" customWidth="1"/>
    <col min="8980" max="9218" width="9.1796875" style="38"/>
    <col min="9219" max="9219" width="3.54296875" style="38" customWidth="1"/>
    <col min="9220" max="9220" width="16.54296875" style="38" customWidth="1"/>
    <col min="9221" max="9221" width="13.81640625" style="38" customWidth="1"/>
    <col min="9222" max="9222" width="14.54296875" style="38" customWidth="1"/>
    <col min="9223" max="9223" width="13.54296875" style="38" customWidth="1"/>
    <col min="9224" max="9224" width="12.54296875" style="38" customWidth="1"/>
    <col min="9225" max="9225" width="12.453125" style="38" customWidth="1"/>
    <col min="9226" max="9226" width="13.1796875" style="38" customWidth="1"/>
    <col min="9227" max="9227" width="12.54296875" style="38" customWidth="1"/>
    <col min="9228" max="9228" width="13.54296875" style="38" customWidth="1"/>
    <col min="9229" max="9230" width="10.54296875" style="38" customWidth="1"/>
    <col min="9231" max="9231" width="10.81640625" style="38" customWidth="1"/>
    <col min="9232" max="9232" width="11.453125" style="38" customWidth="1"/>
    <col min="9233" max="9234" width="16.453125" style="38" customWidth="1"/>
    <col min="9235" max="9235" width="5.54296875" style="38" customWidth="1"/>
    <col min="9236" max="9474" width="9.1796875" style="38"/>
    <col min="9475" max="9475" width="3.54296875" style="38" customWidth="1"/>
    <col min="9476" max="9476" width="16.54296875" style="38" customWidth="1"/>
    <col min="9477" max="9477" width="13.81640625" style="38" customWidth="1"/>
    <col min="9478" max="9478" width="14.54296875" style="38" customWidth="1"/>
    <col min="9479" max="9479" width="13.54296875" style="38" customWidth="1"/>
    <col min="9480" max="9480" width="12.54296875" style="38" customWidth="1"/>
    <col min="9481" max="9481" width="12.453125" style="38" customWidth="1"/>
    <col min="9482" max="9482" width="13.1796875" style="38" customWidth="1"/>
    <col min="9483" max="9483" width="12.54296875" style="38" customWidth="1"/>
    <col min="9484" max="9484" width="13.54296875" style="38" customWidth="1"/>
    <col min="9485" max="9486" width="10.54296875" style="38" customWidth="1"/>
    <col min="9487" max="9487" width="10.81640625" style="38" customWidth="1"/>
    <col min="9488" max="9488" width="11.453125" style="38" customWidth="1"/>
    <col min="9489" max="9490" width="16.453125" style="38" customWidth="1"/>
    <col min="9491" max="9491" width="5.54296875" style="38" customWidth="1"/>
    <col min="9492" max="9730" width="9.1796875" style="38"/>
    <col min="9731" max="9731" width="3.54296875" style="38" customWidth="1"/>
    <col min="9732" max="9732" width="16.54296875" style="38" customWidth="1"/>
    <col min="9733" max="9733" width="13.81640625" style="38" customWidth="1"/>
    <col min="9734" max="9734" width="14.54296875" style="38" customWidth="1"/>
    <col min="9735" max="9735" width="13.54296875" style="38" customWidth="1"/>
    <col min="9736" max="9736" width="12.54296875" style="38" customWidth="1"/>
    <col min="9737" max="9737" width="12.453125" style="38" customWidth="1"/>
    <col min="9738" max="9738" width="13.1796875" style="38" customWidth="1"/>
    <col min="9739" max="9739" width="12.54296875" style="38" customWidth="1"/>
    <col min="9740" max="9740" width="13.54296875" style="38" customWidth="1"/>
    <col min="9741" max="9742" width="10.54296875" style="38" customWidth="1"/>
    <col min="9743" max="9743" width="10.81640625" style="38" customWidth="1"/>
    <col min="9744" max="9744" width="11.453125" style="38" customWidth="1"/>
    <col min="9745" max="9746" width="16.453125" style="38" customWidth="1"/>
    <col min="9747" max="9747" width="5.54296875" style="38" customWidth="1"/>
    <col min="9748" max="9986" width="9.1796875" style="38"/>
    <col min="9987" max="9987" width="3.54296875" style="38" customWidth="1"/>
    <col min="9988" max="9988" width="16.54296875" style="38" customWidth="1"/>
    <col min="9989" max="9989" width="13.81640625" style="38" customWidth="1"/>
    <col min="9990" max="9990" width="14.54296875" style="38" customWidth="1"/>
    <col min="9991" max="9991" width="13.54296875" style="38" customWidth="1"/>
    <col min="9992" max="9992" width="12.54296875" style="38" customWidth="1"/>
    <col min="9993" max="9993" width="12.453125" style="38" customWidth="1"/>
    <col min="9994" max="9994" width="13.1796875" style="38" customWidth="1"/>
    <col min="9995" max="9995" width="12.54296875" style="38" customWidth="1"/>
    <col min="9996" max="9996" width="13.54296875" style="38" customWidth="1"/>
    <col min="9997" max="9998" width="10.54296875" style="38" customWidth="1"/>
    <col min="9999" max="9999" width="10.81640625" style="38" customWidth="1"/>
    <col min="10000" max="10000" width="11.453125" style="38" customWidth="1"/>
    <col min="10001" max="10002" width="16.453125" style="38" customWidth="1"/>
    <col min="10003" max="10003" width="5.54296875" style="38" customWidth="1"/>
    <col min="10004" max="10242" width="9.1796875" style="38"/>
    <col min="10243" max="10243" width="3.54296875" style="38" customWidth="1"/>
    <col min="10244" max="10244" width="16.54296875" style="38" customWidth="1"/>
    <col min="10245" max="10245" width="13.81640625" style="38" customWidth="1"/>
    <col min="10246" max="10246" width="14.54296875" style="38" customWidth="1"/>
    <col min="10247" max="10247" width="13.54296875" style="38" customWidth="1"/>
    <col min="10248" max="10248" width="12.54296875" style="38" customWidth="1"/>
    <col min="10249" max="10249" width="12.453125" style="38" customWidth="1"/>
    <col min="10250" max="10250" width="13.1796875" style="38" customWidth="1"/>
    <col min="10251" max="10251" width="12.54296875" style="38" customWidth="1"/>
    <col min="10252" max="10252" width="13.54296875" style="38" customWidth="1"/>
    <col min="10253" max="10254" width="10.54296875" style="38" customWidth="1"/>
    <col min="10255" max="10255" width="10.81640625" style="38" customWidth="1"/>
    <col min="10256" max="10256" width="11.453125" style="38" customWidth="1"/>
    <col min="10257" max="10258" width="16.453125" style="38" customWidth="1"/>
    <col min="10259" max="10259" width="5.54296875" style="38" customWidth="1"/>
    <col min="10260" max="10498" width="9.1796875" style="38"/>
    <col min="10499" max="10499" width="3.54296875" style="38" customWidth="1"/>
    <col min="10500" max="10500" width="16.54296875" style="38" customWidth="1"/>
    <col min="10501" max="10501" width="13.81640625" style="38" customWidth="1"/>
    <col min="10502" max="10502" width="14.54296875" style="38" customWidth="1"/>
    <col min="10503" max="10503" width="13.54296875" style="38" customWidth="1"/>
    <col min="10504" max="10504" width="12.54296875" style="38" customWidth="1"/>
    <col min="10505" max="10505" width="12.453125" style="38" customWidth="1"/>
    <col min="10506" max="10506" width="13.1796875" style="38" customWidth="1"/>
    <col min="10507" max="10507" width="12.54296875" style="38" customWidth="1"/>
    <col min="10508" max="10508" width="13.54296875" style="38" customWidth="1"/>
    <col min="10509" max="10510" width="10.54296875" style="38" customWidth="1"/>
    <col min="10511" max="10511" width="10.81640625" style="38" customWidth="1"/>
    <col min="10512" max="10512" width="11.453125" style="38" customWidth="1"/>
    <col min="10513" max="10514" width="16.453125" style="38" customWidth="1"/>
    <col min="10515" max="10515" width="5.54296875" style="38" customWidth="1"/>
    <col min="10516" max="10754" width="9.1796875" style="38"/>
    <col min="10755" max="10755" width="3.54296875" style="38" customWidth="1"/>
    <col min="10756" max="10756" width="16.54296875" style="38" customWidth="1"/>
    <col min="10757" max="10757" width="13.81640625" style="38" customWidth="1"/>
    <col min="10758" max="10758" width="14.54296875" style="38" customWidth="1"/>
    <col min="10759" max="10759" width="13.54296875" style="38" customWidth="1"/>
    <col min="10760" max="10760" width="12.54296875" style="38" customWidth="1"/>
    <col min="10761" max="10761" width="12.453125" style="38" customWidth="1"/>
    <col min="10762" max="10762" width="13.1796875" style="38" customWidth="1"/>
    <col min="10763" max="10763" width="12.54296875" style="38" customWidth="1"/>
    <col min="10764" max="10764" width="13.54296875" style="38" customWidth="1"/>
    <col min="10765" max="10766" width="10.54296875" style="38" customWidth="1"/>
    <col min="10767" max="10767" width="10.81640625" style="38" customWidth="1"/>
    <col min="10768" max="10768" width="11.453125" style="38" customWidth="1"/>
    <col min="10769" max="10770" width="16.453125" style="38" customWidth="1"/>
    <col min="10771" max="10771" width="5.54296875" style="38" customWidth="1"/>
    <col min="10772" max="11010" width="9.1796875" style="38"/>
    <col min="11011" max="11011" width="3.54296875" style="38" customWidth="1"/>
    <col min="11012" max="11012" width="16.54296875" style="38" customWidth="1"/>
    <col min="11013" max="11013" width="13.81640625" style="38" customWidth="1"/>
    <col min="11014" max="11014" width="14.54296875" style="38" customWidth="1"/>
    <col min="11015" max="11015" width="13.54296875" style="38" customWidth="1"/>
    <col min="11016" max="11016" width="12.54296875" style="38" customWidth="1"/>
    <col min="11017" max="11017" width="12.453125" style="38" customWidth="1"/>
    <col min="11018" max="11018" width="13.1796875" style="38" customWidth="1"/>
    <col min="11019" max="11019" width="12.54296875" style="38" customWidth="1"/>
    <col min="11020" max="11020" width="13.54296875" style="38" customWidth="1"/>
    <col min="11021" max="11022" width="10.54296875" style="38" customWidth="1"/>
    <col min="11023" max="11023" width="10.81640625" style="38" customWidth="1"/>
    <col min="11024" max="11024" width="11.453125" style="38" customWidth="1"/>
    <col min="11025" max="11026" width="16.453125" style="38" customWidth="1"/>
    <col min="11027" max="11027" width="5.54296875" style="38" customWidth="1"/>
    <col min="11028" max="11266" width="9.1796875" style="38"/>
    <col min="11267" max="11267" width="3.54296875" style="38" customWidth="1"/>
    <col min="11268" max="11268" width="16.54296875" style="38" customWidth="1"/>
    <col min="11269" max="11269" width="13.81640625" style="38" customWidth="1"/>
    <col min="11270" max="11270" width="14.54296875" style="38" customWidth="1"/>
    <col min="11271" max="11271" width="13.54296875" style="38" customWidth="1"/>
    <col min="11272" max="11272" width="12.54296875" style="38" customWidth="1"/>
    <col min="11273" max="11273" width="12.453125" style="38" customWidth="1"/>
    <col min="11274" max="11274" width="13.1796875" style="38" customWidth="1"/>
    <col min="11275" max="11275" width="12.54296875" style="38" customWidth="1"/>
    <col min="11276" max="11276" width="13.54296875" style="38" customWidth="1"/>
    <col min="11277" max="11278" width="10.54296875" style="38" customWidth="1"/>
    <col min="11279" max="11279" width="10.81640625" style="38" customWidth="1"/>
    <col min="11280" max="11280" width="11.453125" style="38" customWidth="1"/>
    <col min="11281" max="11282" width="16.453125" style="38" customWidth="1"/>
    <col min="11283" max="11283" width="5.54296875" style="38" customWidth="1"/>
    <col min="11284" max="11522" width="9.1796875" style="38"/>
    <col min="11523" max="11523" width="3.54296875" style="38" customWidth="1"/>
    <col min="11524" max="11524" width="16.54296875" style="38" customWidth="1"/>
    <col min="11525" max="11525" width="13.81640625" style="38" customWidth="1"/>
    <col min="11526" max="11526" width="14.54296875" style="38" customWidth="1"/>
    <col min="11527" max="11527" width="13.54296875" style="38" customWidth="1"/>
    <col min="11528" max="11528" width="12.54296875" style="38" customWidth="1"/>
    <col min="11529" max="11529" width="12.453125" style="38" customWidth="1"/>
    <col min="11530" max="11530" width="13.1796875" style="38" customWidth="1"/>
    <col min="11531" max="11531" width="12.54296875" style="38" customWidth="1"/>
    <col min="11532" max="11532" width="13.54296875" style="38" customWidth="1"/>
    <col min="11533" max="11534" width="10.54296875" style="38" customWidth="1"/>
    <col min="11535" max="11535" width="10.81640625" style="38" customWidth="1"/>
    <col min="11536" max="11536" width="11.453125" style="38" customWidth="1"/>
    <col min="11537" max="11538" width="16.453125" style="38" customWidth="1"/>
    <col min="11539" max="11539" width="5.54296875" style="38" customWidth="1"/>
    <col min="11540" max="11778" width="9.1796875" style="38"/>
    <col min="11779" max="11779" width="3.54296875" style="38" customWidth="1"/>
    <col min="11780" max="11780" width="16.54296875" style="38" customWidth="1"/>
    <col min="11781" max="11781" width="13.81640625" style="38" customWidth="1"/>
    <col min="11782" max="11782" width="14.54296875" style="38" customWidth="1"/>
    <col min="11783" max="11783" width="13.54296875" style="38" customWidth="1"/>
    <col min="11784" max="11784" width="12.54296875" style="38" customWidth="1"/>
    <col min="11785" max="11785" width="12.453125" style="38" customWidth="1"/>
    <col min="11786" max="11786" width="13.1796875" style="38" customWidth="1"/>
    <col min="11787" max="11787" width="12.54296875" style="38" customWidth="1"/>
    <col min="11788" max="11788" width="13.54296875" style="38" customWidth="1"/>
    <col min="11789" max="11790" width="10.54296875" style="38" customWidth="1"/>
    <col min="11791" max="11791" width="10.81640625" style="38" customWidth="1"/>
    <col min="11792" max="11792" width="11.453125" style="38" customWidth="1"/>
    <col min="11793" max="11794" width="16.453125" style="38" customWidth="1"/>
    <col min="11795" max="11795" width="5.54296875" style="38" customWidth="1"/>
    <col min="11796" max="12034" width="9.1796875" style="38"/>
    <col min="12035" max="12035" width="3.54296875" style="38" customWidth="1"/>
    <col min="12036" max="12036" width="16.54296875" style="38" customWidth="1"/>
    <col min="12037" max="12037" width="13.81640625" style="38" customWidth="1"/>
    <col min="12038" max="12038" width="14.54296875" style="38" customWidth="1"/>
    <col min="12039" max="12039" width="13.54296875" style="38" customWidth="1"/>
    <col min="12040" max="12040" width="12.54296875" style="38" customWidth="1"/>
    <col min="12041" max="12041" width="12.453125" style="38" customWidth="1"/>
    <col min="12042" max="12042" width="13.1796875" style="38" customWidth="1"/>
    <col min="12043" max="12043" width="12.54296875" style="38" customWidth="1"/>
    <col min="12044" max="12044" width="13.54296875" style="38" customWidth="1"/>
    <col min="12045" max="12046" width="10.54296875" style="38" customWidth="1"/>
    <col min="12047" max="12047" width="10.81640625" style="38" customWidth="1"/>
    <col min="12048" max="12048" width="11.453125" style="38" customWidth="1"/>
    <col min="12049" max="12050" width="16.453125" style="38" customWidth="1"/>
    <col min="12051" max="12051" width="5.54296875" style="38" customWidth="1"/>
    <col min="12052" max="12290" width="9.1796875" style="38"/>
    <col min="12291" max="12291" width="3.54296875" style="38" customWidth="1"/>
    <col min="12292" max="12292" width="16.54296875" style="38" customWidth="1"/>
    <col min="12293" max="12293" width="13.81640625" style="38" customWidth="1"/>
    <col min="12294" max="12294" width="14.54296875" style="38" customWidth="1"/>
    <col min="12295" max="12295" width="13.54296875" style="38" customWidth="1"/>
    <col min="12296" max="12296" width="12.54296875" style="38" customWidth="1"/>
    <col min="12297" max="12297" width="12.453125" style="38" customWidth="1"/>
    <col min="12298" max="12298" width="13.1796875" style="38" customWidth="1"/>
    <col min="12299" max="12299" width="12.54296875" style="38" customWidth="1"/>
    <col min="12300" max="12300" width="13.54296875" style="38" customWidth="1"/>
    <col min="12301" max="12302" width="10.54296875" style="38" customWidth="1"/>
    <col min="12303" max="12303" width="10.81640625" style="38" customWidth="1"/>
    <col min="12304" max="12304" width="11.453125" style="38" customWidth="1"/>
    <col min="12305" max="12306" width="16.453125" style="38" customWidth="1"/>
    <col min="12307" max="12307" width="5.54296875" style="38" customWidth="1"/>
    <col min="12308" max="12546" width="9.1796875" style="38"/>
    <col min="12547" max="12547" width="3.54296875" style="38" customWidth="1"/>
    <col min="12548" max="12548" width="16.54296875" style="38" customWidth="1"/>
    <col min="12549" max="12549" width="13.81640625" style="38" customWidth="1"/>
    <col min="12550" max="12550" width="14.54296875" style="38" customWidth="1"/>
    <col min="12551" max="12551" width="13.54296875" style="38" customWidth="1"/>
    <col min="12552" max="12552" width="12.54296875" style="38" customWidth="1"/>
    <col min="12553" max="12553" width="12.453125" style="38" customWidth="1"/>
    <col min="12554" max="12554" width="13.1796875" style="38" customWidth="1"/>
    <col min="12555" max="12555" width="12.54296875" style="38" customWidth="1"/>
    <col min="12556" max="12556" width="13.54296875" style="38" customWidth="1"/>
    <col min="12557" max="12558" width="10.54296875" style="38" customWidth="1"/>
    <col min="12559" max="12559" width="10.81640625" style="38" customWidth="1"/>
    <col min="12560" max="12560" width="11.453125" style="38" customWidth="1"/>
    <col min="12561" max="12562" width="16.453125" style="38" customWidth="1"/>
    <col min="12563" max="12563" width="5.54296875" style="38" customWidth="1"/>
    <col min="12564" max="12802" width="9.1796875" style="38"/>
    <col min="12803" max="12803" width="3.54296875" style="38" customWidth="1"/>
    <col min="12804" max="12804" width="16.54296875" style="38" customWidth="1"/>
    <col min="12805" max="12805" width="13.81640625" style="38" customWidth="1"/>
    <col min="12806" max="12806" width="14.54296875" style="38" customWidth="1"/>
    <col min="12807" max="12807" width="13.54296875" style="38" customWidth="1"/>
    <col min="12808" max="12808" width="12.54296875" style="38" customWidth="1"/>
    <col min="12809" max="12809" width="12.453125" style="38" customWidth="1"/>
    <col min="12810" max="12810" width="13.1796875" style="38" customWidth="1"/>
    <col min="12811" max="12811" width="12.54296875" style="38" customWidth="1"/>
    <col min="12812" max="12812" width="13.54296875" style="38" customWidth="1"/>
    <col min="12813" max="12814" width="10.54296875" style="38" customWidth="1"/>
    <col min="12815" max="12815" width="10.81640625" style="38" customWidth="1"/>
    <col min="12816" max="12816" width="11.453125" style="38" customWidth="1"/>
    <col min="12817" max="12818" width="16.453125" style="38" customWidth="1"/>
    <col min="12819" max="12819" width="5.54296875" style="38" customWidth="1"/>
    <col min="12820" max="13058" width="9.1796875" style="38"/>
    <col min="13059" max="13059" width="3.54296875" style="38" customWidth="1"/>
    <col min="13060" max="13060" width="16.54296875" style="38" customWidth="1"/>
    <col min="13061" max="13061" width="13.81640625" style="38" customWidth="1"/>
    <col min="13062" max="13062" width="14.54296875" style="38" customWidth="1"/>
    <col min="13063" max="13063" width="13.54296875" style="38" customWidth="1"/>
    <col min="13064" max="13064" width="12.54296875" style="38" customWidth="1"/>
    <col min="13065" max="13065" width="12.453125" style="38" customWidth="1"/>
    <col min="13066" max="13066" width="13.1796875" style="38" customWidth="1"/>
    <col min="13067" max="13067" width="12.54296875" style="38" customWidth="1"/>
    <col min="13068" max="13068" width="13.54296875" style="38" customWidth="1"/>
    <col min="13069" max="13070" width="10.54296875" style="38" customWidth="1"/>
    <col min="13071" max="13071" width="10.81640625" style="38" customWidth="1"/>
    <col min="13072" max="13072" width="11.453125" style="38" customWidth="1"/>
    <col min="13073" max="13074" width="16.453125" style="38" customWidth="1"/>
    <col min="13075" max="13075" width="5.54296875" style="38" customWidth="1"/>
    <col min="13076" max="13314" width="9.1796875" style="38"/>
    <col min="13315" max="13315" width="3.54296875" style="38" customWidth="1"/>
    <col min="13316" max="13316" width="16.54296875" style="38" customWidth="1"/>
    <col min="13317" max="13317" width="13.81640625" style="38" customWidth="1"/>
    <col min="13318" max="13318" width="14.54296875" style="38" customWidth="1"/>
    <col min="13319" max="13319" width="13.54296875" style="38" customWidth="1"/>
    <col min="13320" max="13320" width="12.54296875" style="38" customWidth="1"/>
    <col min="13321" max="13321" width="12.453125" style="38" customWidth="1"/>
    <col min="13322" max="13322" width="13.1796875" style="38" customWidth="1"/>
    <col min="13323" max="13323" width="12.54296875" style="38" customWidth="1"/>
    <col min="13324" max="13324" width="13.54296875" style="38" customWidth="1"/>
    <col min="13325" max="13326" width="10.54296875" style="38" customWidth="1"/>
    <col min="13327" max="13327" width="10.81640625" style="38" customWidth="1"/>
    <col min="13328" max="13328" width="11.453125" style="38" customWidth="1"/>
    <col min="13329" max="13330" width="16.453125" style="38" customWidth="1"/>
    <col min="13331" max="13331" width="5.54296875" style="38" customWidth="1"/>
    <col min="13332" max="13570" width="9.1796875" style="38"/>
    <col min="13571" max="13571" width="3.54296875" style="38" customWidth="1"/>
    <col min="13572" max="13572" width="16.54296875" style="38" customWidth="1"/>
    <col min="13573" max="13573" width="13.81640625" style="38" customWidth="1"/>
    <col min="13574" max="13574" width="14.54296875" style="38" customWidth="1"/>
    <col min="13575" max="13575" width="13.54296875" style="38" customWidth="1"/>
    <col min="13576" max="13576" width="12.54296875" style="38" customWidth="1"/>
    <col min="13577" max="13577" width="12.453125" style="38" customWidth="1"/>
    <col min="13578" max="13578" width="13.1796875" style="38" customWidth="1"/>
    <col min="13579" max="13579" width="12.54296875" style="38" customWidth="1"/>
    <col min="13580" max="13580" width="13.54296875" style="38" customWidth="1"/>
    <col min="13581" max="13582" width="10.54296875" style="38" customWidth="1"/>
    <col min="13583" max="13583" width="10.81640625" style="38" customWidth="1"/>
    <col min="13584" max="13584" width="11.453125" style="38" customWidth="1"/>
    <col min="13585" max="13586" width="16.453125" style="38" customWidth="1"/>
    <col min="13587" max="13587" width="5.54296875" style="38" customWidth="1"/>
    <col min="13588" max="13826" width="9.1796875" style="38"/>
    <col min="13827" max="13827" width="3.54296875" style="38" customWidth="1"/>
    <col min="13828" max="13828" width="16.54296875" style="38" customWidth="1"/>
    <col min="13829" max="13829" width="13.81640625" style="38" customWidth="1"/>
    <col min="13830" max="13830" width="14.54296875" style="38" customWidth="1"/>
    <col min="13831" max="13831" width="13.54296875" style="38" customWidth="1"/>
    <col min="13832" max="13832" width="12.54296875" style="38" customWidth="1"/>
    <col min="13833" max="13833" width="12.453125" style="38" customWidth="1"/>
    <col min="13834" max="13834" width="13.1796875" style="38" customWidth="1"/>
    <col min="13835" max="13835" width="12.54296875" style="38" customWidth="1"/>
    <col min="13836" max="13836" width="13.54296875" style="38" customWidth="1"/>
    <col min="13837" max="13838" width="10.54296875" style="38" customWidth="1"/>
    <col min="13839" max="13839" width="10.81640625" style="38" customWidth="1"/>
    <col min="13840" max="13840" width="11.453125" style="38" customWidth="1"/>
    <col min="13841" max="13842" width="16.453125" style="38" customWidth="1"/>
    <col min="13843" max="13843" width="5.54296875" style="38" customWidth="1"/>
    <col min="13844" max="14082" width="9.1796875" style="38"/>
    <col min="14083" max="14083" width="3.54296875" style="38" customWidth="1"/>
    <col min="14084" max="14084" width="16.54296875" style="38" customWidth="1"/>
    <col min="14085" max="14085" width="13.81640625" style="38" customWidth="1"/>
    <col min="14086" max="14086" width="14.54296875" style="38" customWidth="1"/>
    <col min="14087" max="14087" width="13.54296875" style="38" customWidth="1"/>
    <col min="14088" max="14088" width="12.54296875" style="38" customWidth="1"/>
    <col min="14089" max="14089" width="12.453125" style="38" customWidth="1"/>
    <col min="14090" max="14090" width="13.1796875" style="38" customWidth="1"/>
    <col min="14091" max="14091" width="12.54296875" style="38" customWidth="1"/>
    <col min="14092" max="14092" width="13.54296875" style="38" customWidth="1"/>
    <col min="14093" max="14094" width="10.54296875" style="38" customWidth="1"/>
    <col min="14095" max="14095" width="10.81640625" style="38" customWidth="1"/>
    <col min="14096" max="14096" width="11.453125" style="38" customWidth="1"/>
    <col min="14097" max="14098" width="16.453125" style="38" customWidth="1"/>
    <col min="14099" max="14099" width="5.54296875" style="38" customWidth="1"/>
    <col min="14100" max="14338" width="9.1796875" style="38"/>
    <col min="14339" max="14339" width="3.54296875" style="38" customWidth="1"/>
    <col min="14340" max="14340" width="16.54296875" style="38" customWidth="1"/>
    <col min="14341" max="14341" width="13.81640625" style="38" customWidth="1"/>
    <col min="14342" max="14342" width="14.54296875" style="38" customWidth="1"/>
    <col min="14343" max="14343" width="13.54296875" style="38" customWidth="1"/>
    <col min="14344" max="14344" width="12.54296875" style="38" customWidth="1"/>
    <col min="14345" max="14345" width="12.453125" style="38" customWidth="1"/>
    <col min="14346" max="14346" width="13.1796875" style="38" customWidth="1"/>
    <col min="14347" max="14347" width="12.54296875" style="38" customWidth="1"/>
    <col min="14348" max="14348" width="13.54296875" style="38" customWidth="1"/>
    <col min="14349" max="14350" width="10.54296875" style="38" customWidth="1"/>
    <col min="14351" max="14351" width="10.81640625" style="38" customWidth="1"/>
    <col min="14352" max="14352" width="11.453125" style="38" customWidth="1"/>
    <col min="14353" max="14354" width="16.453125" style="38" customWidth="1"/>
    <col min="14355" max="14355" width="5.54296875" style="38" customWidth="1"/>
    <col min="14356" max="14594" width="9.1796875" style="38"/>
    <col min="14595" max="14595" width="3.54296875" style="38" customWidth="1"/>
    <col min="14596" max="14596" width="16.54296875" style="38" customWidth="1"/>
    <col min="14597" max="14597" width="13.81640625" style="38" customWidth="1"/>
    <col min="14598" max="14598" width="14.54296875" style="38" customWidth="1"/>
    <col min="14599" max="14599" width="13.54296875" style="38" customWidth="1"/>
    <col min="14600" max="14600" width="12.54296875" style="38" customWidth="1"/>
    <col min="14601" max="14601" width="12.453125" style="38" customWidth="1"/>
    <col min="14602" max="14602" width="13.1796875" style="38" customWidth="1"/>
    <col min="14603" max="14603" width="12.54296875" style="38" customWidth="1"/>
    <col min="14604" max="14604" width="13.54296875" style="38" customWidth="1"/>
    <col min="14605" max="14606" width="10.54296875" style="38" customWidth="1"/>
    <col min="14607" max="14607" width="10.81640625" style="38" customWidth="1"/>
    <col min="14608" max="14608" width="11.453125" style="38" customWidth="1"/>
    <col min="14609" max="14610" width="16.453125" style="38" customWidth="1"/>
    <col min="14611" max="14611" width="5.54296875" style="38" customWidth="1"/>
    <col min="14612" max="14850" width="9.1796875" style="38"/>
    <col min="14851" max="14851" width="3.54296875" style="38" customWidth="1"/>
    <col min="14852" max="14852" width="16.54296875" style="38" customWidth="1"/>
    <col min="14853" max="14853" width="13.81640625" style="38" customWidth="1"/>
    <col min="14854" max="14854" width="14.54296875" style="38" customWidth="1"/>
    <col min="14855" max="14855" width="13.54296875" style="38" customWidth="1"/>
    <col min="14856" max="14856" width="12.54296875" style="38" customWidth="1"/>
    <col min="14857" max="14857" width="12.453125" style="38" customWidth="1"/>
    <col min="14858" max="14858" width="13.1796875" style="38" customWidth="1"/>
    <col min="14859" max="14859" width="12.54296875" style="38" customWidth="1"/>
    <col min="14860" max="14860" width="13.54296875" style="38" customWidth="1"/>
    <col min="14861" max="14862" width="10.54296875" style="38" customWidth="1"/>
    <col min="14863" max="14863" width="10.81640625" style="38" customWidth="1"/>
    <col min="14864" max="14864" width="11.453125" style="38" customWidth="1"/>
    <col min="14865" max="14866" width="16.453125" style="38" customWidth="1"/>
    <col min="14867" max="14867" width="5.54296875" style="38" customWidth="1"/>
    <col min="14868" max="15106" width="9.1796875" style="38"/>
    <col min="15107" max="15107" width="3.54296875" style="38" customWidth="1"/>
    <col min="15108" max="15108" width="16.54296875" style="38" customWidth="1"/>
    <col min="15109" max="15109" width="13.81640625" style="38" customWidth="1"/>
    <col min="15110" max="15110" width="14.54296875" style="38" customWidth="1"/>
    <col min="15111" max="15111" width="13.54296875" style="38" customWidth="1"/>
    <col min="15112" max="15112" width="12.54296875" style="38" customWidth="1"/>
    <col min="15113" max="15113" width="12.453125" style="38" customWidth="1"/>
    <col min="15114" max="15114" width="13.1796875" style="38" customWidth="1"/>
    <col min="15115" max="15115" width="12.54296875" style="38" customWidth="1"/>
    <col min="15116" max="15116" width="13.54296875" style="38" customWidth="1"/>
    <col min="15117" max="15118" width="10.54296875" style="38" customWidth="1"/>
    <col min="15119" max="15119" width="10.81640625" style="38" customWidth="1"/>
    <col min="15120" max="15120" width="11.453125" style="38" customWidth="1"/>
    <col min="15121" max="15122" width="16.453125" style="38" customWidth="1"/>
    <col min="15123" max="15123" width="5.54296875" style="38" customWidth="1"/>
    <col min="15124" max="15362" width="9.1796875" style="38"/>
    <col min="15363" max="15363" width="3.54296875" style="38" customWidth="1"/>
    <col min="15364" max="15364" width="16.54296875" style="38" customWidth="1"/>
    <col min="15365" max="15365" width="13.81640625" style="38" customWidth="1"/>
    <col min="15366" max="15366" width="14.54296875" style="38" customWidth="1"/>
    <col min="15367" max="15367" width="13.54296875" style="38" customWidth="1"/>
    <col min="15368" max="15368" width="12.54296875" style="38" customWidth="1"/>
    <col min="15369" max="15369" width="12.453125" style="38" customWidth="1"/>
    <col min="15370" max="15370" width="13.1796875" style="38" customWidth="1"/>
    <col min="15371" max="15371" width="12.54296875" style="38" customWidth="1"/>
    <col min="15372" max="15372" width="13.54296875" style="38" customWidth="1"/>
    <col min="15373" max="15374" width="10.54296875" style="38" customWidth="1"/>
    <col min="15375" max="15375" width="10.81640625" style="38" customWidth="1"/>
    <col min="15376" max="15376" width="11.453125" style="38" customWidth="1"/>
    <col min="15377" max="15378" width="16.453125" style="38" customWidth="1"/>
    <col min="15379" max="15379" width="5.54296875" style="38" customWidth="1"/>
    <col min="15380" max="15618" width="9.1796875" style="38"/>
    <col min="15619" max="15619" width="3.54296875" style="38" customWidth="1"/>
    <col min="15620" max="15620" width="16.54296875" style="38" customWidth="1"/>
    <col min="15621" max="15621" width="13.81640625" style="38" customWidth="1"/>
    <col min="15622" max="15622" width="14.54296875" style="38" customWidth="1"/>
    <col min="15623" max="15623" width="13.54296875" style="38" customWidth="1"/>
    <col min="15624" max="15624" width="12.54296875" style="38" customWidth="1"/>
    <col min="15625" max="15625" width="12.453125" style="38" customWidth="1"/>
    <col min="15626" max="15626" width="13.1796875" style="38" customWidth="1"/>
    <col min="15627" max="15627" width="12.54296875" style="38" customWidth="1"/>
    <col min="15628" max="15628" width="13.54296875" style="38" customWidth="1"/>
    <col min="15629" max="15630" width="10.54296875" style="38" customWidth="1"/>
    <col min="15631" max="15631" width="10.81640625" style="38" customWidth="1"/>
    <col min="15632" max="15632" width="11.453125" style="38" customWidth="1"/>
    <col min="15633" max="15634" width="16.453125" style="38" customWidth="1"/>
    <col min="15635" max="15635" width="5.54296875" style="38" customWidth="1"/>
    <col min="15636" max="15874" width="9.1796875" style="38"/>
    <col min="15875" max="15875" width="3.54296875" style="38" customWidth="1"/>
    <col min="15876" max="15876" width="16.54296875" style="38" customWidth="1"/>
    <col min="15877" max="15877" width="13.81640625" style="38" customWidth="1"/>
    <col min="15878" max="15878" width="14.54296875" style="38" customWidth="1"/>
    <col min="15879" max="15879" width="13.54296875" style="38" customWidth="1"/>
    <col min="15880" max="15880" width="12.54296875" style="38" customWidth="1"/>
    <col min="15881" max="15881" width="12.453125" style="38" customWidth="1"/>
    <col min="15882" max="15882" width="13.1796875" style="38" customWidth="1"/>
    <col min="15883" max="15883" width="12.54296875" style="38" customWidth="1"/>
    <col min="15884" max="15884" width="13.54296875" style="38" customWidth="1"/>
    <col min="15885" max="15886" width="10.54296875" style="38" customWidth="1"/>
    <col min="15887" max="15887" width="10.81640625" style="38" customWidth="1"/>
    <col min="15888" max="15888" width="11.453125" style="38" customWidth="1"/>
    <col min="15889" max="15890" width="16.453125" style="38" customWidth="1"/>
    <col min="15891" max="15891" width="5.54296875" style="38" customWidth="1"/>
    <col min="15892" max="16130" width="9.1796875" style="38"/>
    <col min="16131" max="16131" width="3.54296875" style="38" customWidth="1"/>
    <col min="16132" max="16132" width="16.54296875" style="38" customWidth="1"/>
    <col min="16133" max="16133" width="13.81640625" style="38" customWidth="1"/>
    <col min="16134" max="16134" width="14.54296875" style="38" customWidth="1"/>
    <col min="16135" max="16135" width="13.54296875" style="38" customWidth="1"/>
    <col min="16136" max="16136" width="12.54296875" style="38" customWidth="1"/>
    <col min="16137" max="16137" width="12.453125" style="38" customWidth="1"/>
    <col min="16138" max="16138" width="13.1796875" style="38" customWidth="1"/>
    <col min="16139" max="16139" width="12.54296875" style="38" customWidth="1"/>
    <col min="16140" max="16140" width="13.54296875" style="38" customWidth="1"/>
    <col min="16141" max="16142" width="10.54296875" style="38" customWidth="1"/>
    <col min="16143" max="16143" width="10.81640625" style="38" customWidth="1"/>
    <col min="16144" max="16144" width="11.453125" style="38" customWidth="1"/>
    <col min="16145" max="16146" width="16.453125" style="38" customWidth="1"/>
    <col min="16147" max="16147" width="5.54296875" style="38" customWidth="1"/>
    <col min="16148" max="16384" width="9.1796875" style="38"/>
  </cols>
  <sheetData>
    <row r="1" spans="1:27" s="2" customFormat="1" x14ac:dyDescent="0.35">
      <c r="A1" s="27"/>
      <c r="B1" s="1"/>
      <c r="C1" s="1"/>
      <c r="D1" s="1"/>
      <c r="E1" s="1"/>
      <c r="F1" s="1"/>
      <c r="G1" s="1"/>
      <c r="H1" s="1"/>
      <c r="I1" s="1"/>
      <c r="J1" s="1"/>
      <c r="K1" s="1"/>
      <c r="L1" s="1"/>
      <c r="M1" s="1"/>
      <c r="N1" s="1"/>
      <c r="O1" s="1"/>
      <c r="W1" s="38"/>
      <c r="X1" s="38"/>
      <c r="Y1" s="38"/>
    </row>
    <row r="2" spans="1:27" s="2" customFormat="1" x14ac:dyDescent="0.35">
      <c r="A2" s="27"/>
      <c r="B2" s="232"/>
      <c r="C2" s="232"/>
      <c r="D2" s="232"/>
      <c r="E2" s="232"/>
      <c r="F2" s="232"/>
      <c r="G2" s="232"/>
      <c r="H2" s="232"/>
      <c r="I2" s="232"/>
      <c r="J2" s="232"/>
      <c r="K2" s="232"/>
      <c r="L2" s="232"/>
      <c r="M2" s="232"/>
      <c r="N2" s="3"/>
      <c r="O2" s="3"/>
      <c r="P2" s="3"/>
      <c r="Q2" s="3"/>
      <c r="R2" s="3"/>
      <c r="S2" s="3"/>
      <c r="T2" s="3"/>
      <c r="U2" s="3"/>
      <c r="V2" s="3"/>
      <c r="W2" s="38"/>
      <c r="X2" s="38"/>
      <c r="Y2" s="38"/>
      <c r="Z2" s="30"/>
      <c r="AA2" s="30"/>
    </row>
    <row r="3" spans="1:27" s="2" customFormat="1" ht="20" x14ac:dyDescent="0.35">
      <c r="A3" s="27"/>
      <c r="B3" s="223" t="s">
        <v>10</v>
      </c>
      <c r="C3" s="223"/>
      <c r="D3" s="223"/>
      <c r="E3" s="223"/>
      <c r="F3" s="223"/>
      <c r="G3" s="223"/>
      <c r="H3" s="223"/>
      <c r="I3" s="223"/>
      <c r="J3" s="223"/>
      <c r="K3" s="223"/>
      <c r="L3" s="223"/>
      <c r="M3" s="223"/>
      <c r="N3" s="223"/>
      <c r="O3" s="223"/>
      <c r="P3" s="223"/>
      <c r="Q3" s="223"/>
      <c r="R3" s="223"/>
      <c r="S3" s="223"/>
      <c r="T3" s="223"/>
      <c r="U3" s="223"/>
      <c r="V3" s="41"/>
      <c r="W3" s="38"/>
      <c r="X3" s="38"/>
      <c r="Y3" s="38"/>
      <c r="Z3" s="31"/>
      <c r="AA3" s="31"/>
    </row>
    <row r="4" spans="1:27" s="2" customFormat="1" ht="18" x14ac:dyDescent="0.35">
      <c r="A4" s="27"/>
      <c r="B4" s="224" t="s">
        <v>275</v>
      </c>
      <c r="C4" s="224"/>
      <c r="D4" s="224"/>
      <c r="E4" s="224"/>
      <c r="F4" s="224"/>
      <c r="G4" s="224"/>
      <c r="H4" s="224"/>
      <c r="I4" s="224"/>
      <c r="J4" s="224"/>
      <c r="K4" s="224"/>
      <c r="L4" s="224"/>
      <c r="M4" s="224"/>
      <c r="N4" s="224"/>
      <c r="O4" s="224"/>
      <c r="P4" s="224"/>
      <c r="Q4" s="224"/>
      <c r="R4" s="224"/>
      <c r="S4" s="224"/>
      <c r="T4" s="224"/>
      <c r="U4" s="224"/>
      <c r="V4" s="41"/>
      <c r="W4" s="38"/>
      <c r="X4" s="38"/>
      <c r="Y4" s="38"/>
      <c r="Z4" s="32"/>
      <c r="AA4" s="32"/>
    </row>
    <row r="5" spans="1:27" s="2" customFormat="1" x14ac:dyDescent="0.35">
      <c r="A5" s="27"/>
      <c r="B5" s="225" t="s">
        <v>354</v>
      </c>
      <c r="C5" s="225"/>
      <c r="D5" s="225"/>
      <c r="E5" s="225"/>
      <c r="F5" s="225"/>
      <c r="G5" s="225"/>
      <c r="H5" s="225"/>
      <c r="I5" s="225"/>
      <c r="J5" s="225"/>
      <c r="K5" s="225"/>
      <c r="L5" s="225"/>
      <c r="M5" s="225"/>
      <c r="N5" s="225"/>
      <c r="O5" s="225"/>
      <c r="P5" s="225"/>
      <c r="Q5" s="225"/>
      <c r="R5" s="225"/>
      <c r="S5" s="225"/>
      <c r="T5" s="225"/>
      <c r="U5" s="225"/>
      <c r="V5" s="41"/>
      <c r="W5" s="38"/>
      <c r="X5" s="38"/>
      <c r="Y5" s="38"/>
      <c r="Z5" s="33"/>
      <c r="AA5" s="33"/>
    </row>
    <row r="6" spans="1:27" s="2" customFormat="1" x14ac:dyDescent="0.35">
      <c r="A6" s="27"/>
      <c r="B6" s="226" t="s">
        <v>2</v>
      </c>
      <c r="C6" s="226"/>
      <c r="D6" s="226"/>
      <c r="E6" s="226"/>
      <c r="F6" s="226"/>
      <c r="G6" s="226"/>
      <c r="H6" s="226"/>
      <c r="I6" s="226"/>
      <c r="J6" s="226"/>
      <c r="K6" s="226"/>
      <c r="L6" s="226"/>
      <c r="M6" s="226"/>
      <c r="N6" s="226"/>
      <c r="O6" s="226"/>
      <c r="P6" s="226"/>
      <c r="Q6" s="226"/>
      <c r="R6" s="226"/>
      <c r="S6" s="226"/>
      <c r="T6" s="226"/>
      <c r="U6" s="226"/>
      <c r="V6" s="41"/>
      <c r="W6" s="38"/>
      <c r="X6" s="38"/>
      <c r="Y6" s="38"/>
      <c r="Z6" s="30"/>
      <c r="AA6" s="30"/>
    </row>
    <row r="7" spans="1:27" s="2" customFormat="1" ht="15.5" x14ac:dyDescent="0.35">
      <c r="A7" s="68"/>
      <c r="B7" s="260" t="s">
        <v>12</v>
      </c>
      <c r="C7" s="260"/>
      <c r="D7" s="260"/>
      <c r="E7" s="260"/>
      <c r="F7" s="260"/>
      <c r="G7" s="260"/>
      <c r="H7" s="260"/>
      <c r="I7" s="260"/>
      <c r="J7" s="260"/>
      <c r="K7" s="260"/>
      <c r="L7" s="260"/>
      <c r="M7" s="260"/>
      <c r="N7" s="260"/>
      <c r="O7" s="260"/>
      <c r="P7" s="260"/>
      <c r="Q7" s="260"/>
      <c r="R7" s="260"/>
      <c r="S7" s="260"/>
      <c r="T7" s="260"/>
      <c r="U7" s="260"/>
      <c r="V7" s="41"/>
      <c r="W7" s="38"/>
      <c r="X7" s="38"/>
      <c r="Y7" s="38"/>
      <c r="Z7" s="34"/>
      <c r="AA7" s="34"/>
    </row>
    <row r="8" spans="1:27" s="2" customFormat="1" ht="15.5" x14ac:dyDescent="0.35">
      <c r="A8" s="68"/>
      <c r="B8" s="69"/>
      <c r="C8" s="69"/>
      <c r="D8" s="69"/>
      <c r="E8" s="69"/>
      <c r="F8" s="69"/>
      <c r="G8" s="69"/>
      <c r="H8" s="69"/>
      <c r="I8" s="69"/>
      <c r="J8" s="69"/>
      <c r="K8" s="69"/>
      <c r="L8" s="69"/>
      <c r="M8" s="69"/>
      <c r="N8" s="69"/>
      <c r="O8" s="69"/>
      <c r="P8" s="69"/>
      <c r="Q8" s="69"/>
      <c r="R8" s="69"/>
      <c r="S8" s="69"/>
      <c r="T8" s="69"/>
      <c r="U8" s="69"/>
      <c r="V8" s="41"/>
      <c r="W8" s="38"/>
      <c r="X8" s="38"/>
      <c r="Y8" s="38"/>
      <c r="Z8" s="35"/>
      <c r="AA8" s="35"/>
    </row>
    <row r="9" spans="1:27" s="2" customFormat="1" ht="15.75" customHeight="1" x14ac:dyDescent="0.35">
      <c r="A9" s="68"/>
      <c r="B9" s="29" t="s">
        <v>276</v>
      </c>
      <c r="C9" s="24"/>
      <c r="D9" s="24"/>
      <c r="E9" s="24"/>
      <c r="F9" s="24"/>
      <c r="G9" s="24"/>
      <c r="H9" s="24"/>
      <c r="I9" s="24"/>
      <c r="J9" s="24"/>
      <c r="K9" s="24"/>
      <c r="L9" s="24"/>
      <c r="M9" s="24"/>
      <c r="N9" s="24"/>
      <c r="O9" s="24"/>
      <c r="P9" s="24"/>
      <c r="Q9" s="24"/>
      <c r="R9" s="24"/>
      <c r="S9" s="24"/>
      <c r="T9" s="24"/>
      <c r="U9" s="24"/>
      <c r="V9" s="24"/>
      <c r="W9" s="38"/>
      <c r="X9" s="38"/>
      <c r="Y9" s="38"/>
      <c r="Z9" s="36"/>
      <c r="AA9" s="36"/>
    </row>
    <row r="10" spans="1:27" s="2" customFormat="1" ht="0.75" customHeight="1" x14ac:dyDescent="0.35">
      <c r="A10" s="68"/>
      <c r="B10" s="29"/>
      <c r="C10" s="24"/>
      <c r="D10" s="24"/>
      <c r="E10" s="24"/>
      <c r="F10" s="24"/>
      <c r="G10" s="24"/>
      <c r="H10" s="24"/>
      <c r="I10" s="24"/>
      <c r="J10" s="24"/>
      <c r="K10" s="24"/>
      <c r="L10" s="24"/>
      <c r="M10" s="24"/>
      <c r="N10" s="24"/>
      <c r="O10" s="24"/>
      <c r="P10" s="24"/>
      <c r="Q10" s="24"/>
      <c r="R10" s="24"/>
      <c r="S10" s="24"/>
      <c r="T10" s="24"/>
      <c r="U10" s="24"/>
      <c r="V10" s="41"/>
      <c r="W10" s="38"/>
      <c r="X10" s="38"/>
      <c r="Y10" s="38"/>
      <c r="Z10" s="36"/>
      <c r="AA10" s="36"/>
    </row>
    <row r="11" spans="1:27" ht="204.75" customHeight="1" x14ac:dyDescent="0.35">
      <c r="A11" s="70"/>
      <c r="B11" s="261" t="s">
        <v>420</v>
      </c>
      <c r="C11" s="261"/>
      <c r="D11" s="261"/>
      <c r="E11" s="261"/>
      <c r="F11" s="261"/>
      <c r="G11" s="261"/>
      <c r="H11" s="261"/>
      <c r="I11" s="261"/>
      <c r="J11" s="261"/>
      <c r="K11" s="261"/>
      <c r="L11" s="261"/>
      <c r="M11" s="261"/>
      <c r="N11" s="261"/>
      <c r="O11" s="261"/>
      <c r="P11" s="261"/>
      <c r="Q11" s="261"/>
      <c r="R11" s="261"/>
      <c r="S11" s="261"/>
      <c r="T11" s="261"/>
      <c r="U11" s="261"/>
      <c r="V11" s="41"/>
    </row>
    <row r="12" spans="1:27" ht="15.5" x14ac:dyDescent="0.35">
      <c r="A12" s="70"/>
      <c r="B12" s="71" t="s">
        <v>277</v>
      </c>
      <c r="C12" s="72"/>
      <c r="D12" s="72"/>
      <c r="E12" s="72"/>
      <c r="F12" s="72"/>
      <c r="G12" s="72"/>
      <c r="H12" s="72"/>
      <c r="I12" s="72"/>
      <c r="J12" s="72"/>
      <c r="K12" s="72"/>
      <c r="L12" s="72"/>
      <c r="M12" s="72"/>
      <c r="N12" s="72"/>
      <c r="O12" s="72"/>
      <c r="P12" s="72"/>
      <c r="Q12" s="72"/>
      <c r="R12" s="72"/>
      <c r="S12" s="72"/>
      <c r="T12" s="72"/>
      <c r="U12" s="72"/>
      <c r="V12" s="41"/>
    </row>
    <row r="13" spans="1:27" ht="15.5" x14ac:dyDescent="0.35">
      <c r="A13" s="70"/>
      <c r="B13" s="259" t="s">
        <v>357</v>
      </c>
      <c r="C13" s="259"/>
      <c r="D13" s="259"/>
      <c r="E13" s="259"/>
      <c r="F13" s="259"/>
      <c r="G13" s="259"/>
      <c r="H13" s="259"/>
      <c r="I13" s="259"/>
      <c r="J13" s="259"/>
      <c r="K13" s="259"/>
      <c r="L13" s="259"/>
      <c r="M13" s="259"/>
      <c r="N13" s="259"/>
      <c r="O13" s="259"/>
      <c r="P13" s="259"/>
      <c r="Q13" s="259"/>
      <c r="R13" s="259"/>
      <c r="S13" s="259"/>
      <c r="T13" s="259"/>
      <c r="U13" s="259"/>
      <c r="V13" s="41"/>
    </row>
    <row r="14" spans="1:27" ht="15.5" x14ac:dyDescent="0.35">
      <c r="A14" s="70"/>
      <c r="B14" s="259" t="s">
        <v>278</v>
      </c>
      <c r="C14" s="259"/>
      <c r="D14" s="259"/>
      <c r="E14" s="259"/>
      <c r="F14" s="259"/>
      <c r="G14" s="259"/>
      <c r="H14" s="259"/>
      <c r="I14" s="259"/>
      <c r="J14" s="259"/>
      <c r="K14" s="259"/>
      <c r="L14" s="259"/>
      <c r="M14" s="259"/>
      <c r="N14" s="259"/>
      <c r="O14" s="259"/>
      <c r="P14" s="259"/>
      <c r="Q14" s="259"/>
      <c r="R14" s="259"/>
      <c r="S14" s="259"/>
      <c r="T14" s="259"/>
      <c r="U14" s="259"/>
      <c r="V14" s="41"/>
    </row>
    <row r="15" spans="1:27" ht="15.5" x14ac:dyDescent="0.35">
      <c r="A15" s="70"/>
      <c r="B15" s="259" t="s">
        <v>356</v>
      </c>
      <c r="C15" s="259"/>
      <c r="D15" s="259"/>
      <c r="E15" s="259"/>
      <c r="F15" s="259"/>
      <c r="G15" s="259"/>
      <c r="H15" s="259"/>
      <c r="I15" s="259"/>
      <c r="J15" s="259"/>
      <c r="K15" s="259"/>
      <c r="L15" s="259"/>
      <c r="M15" s="259"/>
      <c r="N15" s="259"/>
      <c r="O15" s="259"/>
      <c r="P15" s="259"/>
      <c r="Q15" s="259"/>
      <c r="R15" s="259"/>
      <c r="S15" s="259"/>
      <c r="T15" s="259"/>
      <c r="U15" s="259"/>
      <c r="V15" s="41"/>
    </row>
    <row r="16" spans="1:27" ht="15.5" x14ac:dyDescent="0.35">
      <c r="A16" s="70"/>
      <c r="B16" s="259" t="s">
        <v>279</v>
      </c>
      <c r="C16" s="259"/>
      <c r="D16" s="259"/>
      <c r="E16" s="259"/>
      <c r="F16" s="259"/>
      <c r="G16" s="259"/>
      <c r="H16" s="259"/>
      <c r="I16" s="259"/>
      <c r="J16" s="259"/>
      <c r="K16" s="259"/>
      <c r="L16" s="259"/>
      <c r="M16" s="259"/>
      <c r="N16" s="259"/>
      <c r="O16" s="259"/>
      <c r="P16" s="259"/>
      <c r="Q16" s="259"/>
      <c r="R16" s="259"/>
      <c r="S16" s="259"/>
      <c r="T16" s="259"/>
      <c r="U16" s="259"/>
      <c r="V16" s="41"/>
    </row>
    <row r="17" spans="1:22" ht="15.5" x14ac:dyDescent="0.35">
      <c r="A17" s="70"/>
      <c r="B17" s="73"/>
      <c r="C17" s="73"/>
      <c r="D17" s="73"/>
      <c r="E17" s="73"/>
      <c r="F17" s="73"/>
      <c r="G17" s="73"/>
      <c r="H17" s="73"/>
      <c r="I17" s="73"/>
      <c r="J17" s="73"/>
      <c r="K17" s="73"/>
      <c r="L17" s="73"/>
      <c r="M17" s="73"/>
      <c r="N17" s="73"/>
      <c r="O17" s="73"/>
      <c r="P17" s="73"/>
      <c r="Q17" s="73"/>
      <c r="R17" s="73"/>
      <c r="S17" s="73"/>
      <c r="T17" s="73"/>
      <c r="U17" s="73"/>
      <c r="V17" s="41"/>
    </row>
    <row r="18" spans="1:22" ht="15.5" x14ac:dyDescent="0.35">
      <c r="A18" s="70"/>
      <c r="B18" s="74"/>
      <c r="C18" s="72"/>
      <c r="D18" s="72"/>
      <c r="E18" s="72"/>
      <c r="F18" s="72"/>
      <c r="G18" s="72"/>
      <c r="H18" s="72"/>
      <c r="I18" s="72"/>
      <c r="J18" s="72"/>
      <c r="K18" s="72"/>
      <c r="L18" s="72"/>
      <c r="M18" s="72"/>
      <c r="N18" s="72"/>
      <c r="O18" s="72"/>
      <c r="P18" s="72"/>
      <c r="Q18" s="72"/>
      <c r="R18" s="72"/>
      <c r="S18" s="72"/>
      <c r="T18" s="72"/>
      <c r="U18" s="72"/>
      <c r="V18" s="42"/>
    </row>
    <row r="19" spans="1:22" ht="15.5" x14ac:dyDescent="0.35">
      <c r="A19" s="70"/>
      <c r="B19" s="29" t="s">
        <v>280</v>
      </c>
      <c r="C19" s="75"/>
      <c r="D19" s="75"/>
      <c r="E19" s="75"/>
      <c r="F19" s="75"/>
      <c r="G19" s="75"/>
      <c r="H19" s="75"/>
      <c r="I19" s="75"/>
      <c r="J19" s="75"/>
      <c r="K19" s="75"/>
      <c r="L19" s="75"/>
      <c r="M19" s="76"/>
      <c r="N19" s="76"/>
      <c r="O19" s="76"/>
      <c r="P19" s="76"/>
      <c r="Q19" s="76"/>
      <c r="R19" s="76"/>
      <c r="S19" s="76"/>
      <c r="T19" s="76"/>
      <c r="U19" s="76"/>
      <c r="V19" s="76"/>
    </row>
    <row r="20" spans="1:22" ht="111" customHeight="1" x14ac:dyDescent="0.35">
      <c r="A20" s="70"/>
      <c r="B20" s="259" t="s">
        <v>360</v>
      </c>
      <c r="C20" s="259"/>
      <c r="D20" s="259"/>
      <c r="E20" s="259"/>
      <c r="F20" s="259"/>
      <c r="G20" s="259"/>
      <c r="H20" s="259"/>
      <c r="I20" s="259"/>
      <c r="J20" s="259"/>
      <c r="K20" s="259"/>
      <c r="L20" s="259"/>
      <c r="M20" s="259"/>
      <c r="N20" s="259"/>
      <c r="O20" s="259"/>
      <c r="P20" s="259"/>
      <c r="Q20" s="259"/>
      <c r="R20" s="259"/>
      <c r="S20" s="259"/>
      <c r="T20" s="259"/>
      <c r="U20" s="259"/>
      <c r="V20" s="42"/>
    </row>
    <row r="21" spans="1:22" ht="15.5" x14ac:dyDescent="0.35">
      <c r="A21" s="70"/>
      <c r="B21" s="258" t="s">
        <v>339</v>
      </c>
      <c r="C21" s="258"/>
      <c r="D21" s="258"/>
      <c r="E21" s="258"/>
      <c r="F21" s="258"/>
      <c r="G21" s="258"/>
      <c r="H21" s="258"/>
      <c r="I21" s="258"/>
      <c r="J21" s="258"/>
      <c r="K21" s="258"/>
      <c r="L21" s="258"/>
      <c r="M21" s="258"/>
      <c r="N21" s="258"/>
      <c r="O21" s="258"/>
      <c r="P21" s="258"/>
      <c r="Q21" s="258"/>
      <c r="R21" s="258"/>
      <c r="S21" s="258"/>
      <c r="T21" s="73"/>
      <c r="U21" s="73"/>
      <c r="V21" s="42"/>
    </row>
    <row r="22" spans="1:22" ht="15.5" x14ac:dyDescent="0.35">
      <c r="A22" s="70"/>
      <c r="B22" s="77"/>
      <c r="C22" s="77"/>
      <c r="D22" s="77"/>
      <c r="E22" s="77"/>
      <c r="F22" s="77"/>
      <c r="G22" s="77"/>
      <c r="H22" s="77"/>
      <c r="I22" s="77"/>
      <c r="J22" s="77"/>
      <c r="K22" s="77"/>
      <c r="L22" s="77"/>
      <c r="M22" s="77"/>
      <c r="N22" s="77"/>
      <c r="O22" s="77"/>
      <c r="P22" s="77"/>
      <c r="Q22" s="77"/>
      <c r="R22" s="77"/>
      <c r="S22" s="77"/>
      <c r="T22" s="73"/>
      <c r="U22" s="73"/>
      <c r="V22" s="42"/>
    </row>
    <row r="23" spans="1:22" ht="106" customHeight="1" x14ac:dyDescent="0.35">
      <c r="A23" s="70"/>
      <c r="B23" s="67" t="s">
        <v>372</v>
      </c>
      <c r="C23" s="78" t="str">
        <f>'1. Site Details'!D14</f>
        <v>Aurigene Pharmaceutical Services Ltd - Hyderabad</v>
      </c>
      <c r="D23" s="78" t="str">
        <f>'1. Site Details'!E14</f>
        <v>Integrated Product Development Organization (IPDO) - Hyderabad</v>
      </c>
      <c r="E23" s="78" t="str">
        <f>'1. Site Details'!F14</f>
        <v>Integrated Product Development Organization (IPDO) - Cambridge</v>
      </c>
      <c r="F23" s="78" t="s">
        <v>281</v>
      </c>
      <c r="G23" s="79"/>
      <c r="H23" s="80"/>
      <c r="I23" s="80"/>
      <c r="J23" s="80"/>
      <c r="K23" s="80"/>
      <c r="L23" s="80"/>
      <c r="M23" s="79"/>
      <c r="N23" s="79"/>
      <c r="O23" s="79"/>
      <c r="P23" s="79"/>
      <c r="Q23" s="81"/>
      <c r="R23" s="82"/>
      <c r="S23" s="82"/>
      <c r="T23" s="82"/>
      <c r="U23" s="82"/>
      <c r="V23" s="28"/>
    </row>
    <row r="24" spans="1:22" ht="42.75" customHeight="1" x14ac:dyDescent="0.35">
      <c r="A24" s="70"/>
      <c r="B24" s="83" t="s">
        <v>282</v>
      </c>
      <c r="C24" s="84">
        <v>1848</v>
      </c>
      <c r="D24" s="84">
        <v>1848</v>
      </c>
      <c r="E24" s="84">
        <v>1848</v>
      </c>
      <c r="F24" s="85"/>
      <c r="G24" s="80"/>
      <c r="H24" s="80"/>
      <c r="I24" s="80"/>
      <c r="J24" s="80"/>
      <c r="K24" s="80"/>
      <c r="L24" s="80"/>
      <c r="M24" s="79"/>
      <c r="N24" s="79"/>
      <c r="O24" s="79"/>
      <c r="P24" s="79"/>
      <c r="Q24" s="81"/>
      <c r="R24" s="82"/>
      <c r="S24" s="82"/>
      <c r="T24" s="82"/>
      <c r="U24" s="82"/>
      <c r="V24" s="28"/>
    </row>
    <row r="25" spans="1:22" ht="33.75" customHeight="1" x14ac:dyDescent="0.35">
      <c r="A25" s="70"/>
      <c r="B25" s="86" t="s">
        <v>283</v>
      </c>
      <c r="C25" s="87">
        <v>43</v>
      </c>
      <c r="D25" s="87">
        <v>43</v>
      </c>
      <c r="E25" s="87">
        <v>86</v>
      </c>
      <c r="F25" s="88"/>
      <c r="G25" s="80"/>
      <c r="H25" s="80"/>
      <c r="I25" s="80"/>
      <c r="J25" s="80"/>
      <c r="K25" s="80"/>
      <c r="L25" s="80"/>
      <c r="M25" s="79"/>
      <c r="N25" s="79"/>
      <c r="O25" s="79"/>
      <c r="P25" s="79"/>
      <c r="Q25" s="81"/>
      <c r="R25" s="82"/>
      <c r="S25" s="82"/>
      <c r="T25" s="82"/>
      <c r="U25" s="82"/>
      <c r="V25" s="28"/>
    </row>
    <row r="26" spans="1:22" ht="24.75" customHeight="1" thickBot="1" x14ac:dyDescent="0.4">
      <c r="A26" s="70"/>
      <c r="B26" s="89"/>
      <c r="C26" s="87"/>
      <c r="D26" s="87"/>
      <c r="E26" s="87"/>
      <c r="F26" s="88"/>
      <c r="G26" s="80"/>
      <c r="H26" s="80"/>
      <c r="I26" s="80"/>
      <c r="J26" s="80"/>
      <c r="K26" s="80"/>
      <c r="L26" s="80"/>
      <c r="M26" s="79"/>
      <c r="N26" s="79"/>
      <c r="O26" s="79"/>
      <c r="P26" s="79"/>
      <c r="Q26" s="81"/>
      <c r="R26" s="82"/>
      <c r="S26" s="82"/>
      <c r="T26" s="82"/>
      <c r="U26" s="82"/>
      <c r="V26" s="28"/>
    </row>
    <row r="27" spans="1:22" ht="34.5" customHeight="1" thickBot="1" x14ac:dyDescent="0.4">
      <c r="A27" s="70"/>
      <c r="B27" s="90" t="s">
        <v>284</v>
      </c>
      <c r="C27" s="63">
        <f>C24*C25</f>
        <v>79464</v>
      </c>
      <c r="D27" s="63">
        <f t="shared" ref="D27:E27" si="0">D24*D25</f>
        <v>79464</v>
      </c>
      <c r="E27" s="63">
        <f t="shared" si="0"/>
        <v>158928</v>
      </c>
      <c r="F27" s="64"/>
      <c r="G27" s="80"/>
      <c r="H27" s="80"/>
      <c r="I27" s="80"/>
      <c r="J27" s="80"/>
      <c r="K27" s="80"/>
      <c r="L27" s="80"/>
      <c r="M27" s="79"/>
      <c r="N27" s="79"/>
      <c r="O27" s="79"/>
      <c r="P27" s="79"/>
      <c r="Q27" s="81"/>
      <c r="R27" s="82"/>
      <c r="S27" s="82"/>
      <c r="T27" s="82"/>
      <c r="U27" s="82"/>
      <c r="V27" s="28"/>
    </row>
    <row r="28" spans="1:22" ht="15.5" x14ac:dyDescent="0.35">
      <c r="A28" s="70"/>
      <c r="B28" s="91"/>
      <c r="C28" s="65"/>
      <c r="D28" s="65"/>
      <c r="E28" s="65"/>
      <c r="F28" s="66"/>
      <c r="G28" s="80"/>
      <c r="H28" s="80"/>
      <c r="I28" s="80"/>
      <c r="J28" s="80"/>
      <c r="K28" s="80"/>
      <c r="L28" s="80"/>
      <c r="M28" s="79"/>
      <c r="N28" s="79"/>
      <c r="O28" s="79"/>
      <c r="P28" s="79"/>
      <c r="Q28" s="81"/>
      <c r="R28" s="82"/>
      <c r="S28" s="82"/>
      <c r="T28" s="82"/>
      <c r="U28" s="82"/>
      <c r="V28" s="28"/>
    </row>
    <row r="29" spans="1:22" ht="18.5" x14ac:dyDescent="0.35">
      <c r="A29" s="70"/>
      <c r="B29" s="67" t="s">
        <v>285</v>
      </c>
      <c r="C29" s="78" t="str">
        <f>'1. Site Details'!G14</f>
        <v>Aurigene Pharmaceutical Services Ltd - Hyderabad</v>
      </c>
      <c r="D29" s="78" t="str">
        <f>'1. Site Details'!H14</f>
        <v>Integrated Product Development Organization (IPDO) - Hyderabad</v>
      </c>
      <c r="E29" s="78" t="str">
        <f>'1. Site Details'!I14</f>
        <v>Integrated Product Development Organization (IPDO) - Cambridge</v>
      </c>
      <c r="F29" s="78" t="s">
        <v>281</v>
      </c>
      <c r="G29" s="80"/>
      <c r="H29" s="80"/>
      <c r="I29" s="80"/>
      <c r="J29" s="80"/>
      <c r="K29" s="80"/>
      <c r="L29" s="80"/>
      <c r="M29" s="79"/>
      <c r="N29" s="79"/>
      <c r="O29" s="79"/>
      <c r="P29" s="79"/>
      <c r="Q29" s="81"/>
      <c r="R29" s="82"/>
      <c r="S29" s="82"/>
      <c r="T29" s="82"/>
      <c r="U29" s="82"/>
      <c r="V29" s="28"/>
    </row>
    <row r="30" spans="1:22" ht="42.75" customHeight="1" x14ac:dyDescent="0.35">
      <c r="A30" s="70"/>
      <c r="B30" s="83" t="s">
        <v>282</v>
      </c>
      <c r="C30" s="84">
        <v>1848</v>
      </c>
      <c r="D30" s="84">
        <v>1848</v>
      </c>
      <c r="E30" s="84">
        <v>1848</v>
      </c>
      <c r="F30" s="85"/>
      <c r="G30" s="80"/>
      <c r="H30" s="80"/>
      <c r="I30" s="80"/>
      <c r="J30" s="80"/>
      <c r="K30" s="80"/>
      <c r="L30" s="80"/>
      <c r="M30" s="79"/>
      <c r="N30" s="79"/>
      <c r="O30" s="79"/>
      <c r="P30" s="79"/>
      <c r="Q30" s="81"/>
      <c r="R30" s="82"/>
      <c r="S30" s="82"/>
      <c r="T30" s="82"/>
      <c r="U30" s="82"/>
      <c r="V30" s="28"/>
    </row>
    <row r="31" spans="1:22" ht="27" customHeight="1" x14ac:dyDescent="0.35">
      <c r="A31" s="70"/>
      <c r="B31" s="86" t="s">
        <v>283</v>
      </c>
      <c r="C31" s="87">
        <v>43</v>
      </c>
      <c r="D31" s="87">
        <v>43</v>
      </c>
      <c r="E31" s="87">
        <v>86</v>
      </c>
      <c r="F31" s="88"/>
      <c r="G31" s="80"/>
      <c r="H31" s="80"/>
      <c r="I31" s="80"/>
      <c r="J31" s="80"/>
      <c r="K31" s="80"/>
      <c r="L31" s="80"/>
      <c r="M31" s="79"/>
      <c r="N31" s="79"/>
      <c r="O31" s="79"/>
      <c r="P31" s="79"/>
      <c r="Q31" s="81"/>
      <c r="R31" s="82"/>
      <c r="S31" s="82"/>
      <c r="T31" s="82"/>
      <c r="U31" s="82"/>
      <c r="V31" s="28"/>
    </row>
    <row r="32" spans="1:22" ht="16" thickBot="1" x14ac:dyDescent="0.4">
      <c r="A32" s="70"/>
      <c r="B32" s="89"/>
      <c r="C32" s="87"/>
      <c r="D32" s="87"/>
      <c r="E32" s="87"/>
      <c r="F32" s="88"/>
      <c r="G32" s="80"/>
      <c r="H32" s="80"/>
      <c r="I32" s="80"/>
      <c r="J32" s="80"/>
      <c r="K32" s="80"/>
      <c r="L32" s="80"/>
      <c r="M32" s="79"/>
      <c r="N32" s="79"/>
      <c r="O32" s="79"/>
      <c r="P32" s="79"/>
      <c r="Q32" s="81"/>
      <c r="R32" s="82"/>
      <c r="S32" s="82"/>
      <c r="T32" s="82"/>
      <c r="U32" s="82"/>
      <c r="V32" s="28"/>
    </row>
    <row r="33" spans="1:22" ht="40.5" customHeight="1" thickBot="1" x14ac:dyDescent="0.4">
      <c r="A33" s="70"/>
      <c r="B33" s="90" t="s">
        <v>284</v>
      </c>
      <c r="C33" s="63">
        <f>C30*C31</f>
        <v>79464</v>
      </c>
      <c r="D33" s="63">
        <f t="shared" ref="D33:E33" si="1">D30*D31</f>
        <v>79464</v>
      </c>
      <c r="E33" s="63">
        <f t="shared" si="1"/>
        <v>158928</v>
      </c>
      <c r="F33" s="64"/>
      <c r="G33" s="80"/>
      <c r="H33" s="80"/>
      <c r="I33" s="80"/>
      <c r="J33" s="80"/>
      <c r="K33" s="80"/>
      <c r="L33" s="80"/>
      <c r="M33" s="79"/>
      <c r="N33" s="79"/>
      <c r="O33" s="79"/>
      <c r="P33" s="79"/>
      <c r="Q33" s="81"/>
      <c r="R33" s="82"/>
      <c r="S33" s="82"/>
      <c r="T33" s="82"/>
      <c r="U33" s="82"/>
      <c r="V33" s="28"/>
    </row>
    <row r="34" spans="1:22" ht="16.5" customHeight="1" x14ac:dyDescent="0.35">
      <c r="A34" s="70"/>
      <c r="B34" s="92"/>
      <c r="C34" s="93"/>
      <c r="D34" s="94"/>
      <c r="E34" s="80"/>
      <c r="F34" s="80"/>
      <c r="G34" s="80"/>
      <c r="H34" s="80"/>
      <c r="I34" s="80"/>
      <c r="J34" s="80"/>
      <c r="K34" s="80"/>
      <c r="L34" s="80"/>
      <c r="M34" s="80"/>
      <c r="N34" s="80"/>
      <c r="O34" s="80"/>
      <c r="P34" s="80"/>
      <c r="Q34" s="80"/>
      <c r="R34" s="79"/>
      <c r="S34" s="79"/>
      <c r="T34" s="79"/>
      <c r="U34" s="79"/>
      <c r="V34" s="41"/>
    </row>
    <row r="35" spans="1:22" ht="16.5" customHeight="1" x14ac:dyDescent="0.35">
      <c r="A35" s="70"/>
      <c r="B35" s="95" t="s">
        <v>286</v>
      </c>
      <c r="C35" s="96"/>
      <c r="D35" s="96"/>
      <c r="E35" s="96"/>
      <c r="F35" s="96"/>
      <c r="G35" s="96"/>
      <c r="H35" s="96"/>
      <c r="I35" s="96"/>
      <c r="J35" s="96"/>
      <c r="K35" s="96"/>
      <c r="L35" s="96"/>
      <c r="M35" s="96"/>
      <c r="N35" s="96"/>
      <c r="O35" s="96"/>
      <c r="P35" s="96"/>
      <c r="Q35" s="96"/>
      <c r="R35" s="96"/>
      <c r="S35" s="96"/>
      <c r="T35" s="96"/>
      <c r="U35" s="96"/>
      <c r="V35" s="96"/>
    </row>
    <row r="36" spans="1:22" ht="31.5" customHeight="1" x14ac:dyDescent="0.35">
      <c r="A36" s="70"/>
      <c r="B36" s="263" t="s">
        <v>287</v>
      </c>
      <c r="C36" s="263"/>
      <c r="D36" s="263"/>
      <c r="E36" s="263"/>
      <c r="F36" s="263"/>
      <c r="G36" s="263"/>
      <c r="H36" s="263"/>
      <c r="I36" s="263"/>
      <c r="J36" s="263"/>
      <c r="K36" s="263"/>
      <c r="L36" s="263"/>
      <c r="M36" s="263"/>
      <c r="N36" s="263"/>
      <c r="O36" s="263"/>
      <c r="P36" s="263"/>
      <c r="Q36" s="263"/>
      <c r="R36" s="263"/>
      <c r="S36" s="263"/>
      <c r="T36" s="263"/>
      <c r="U36" s="263"/>
      <c r="V36" s="41"/>
    </row>
    <row r="37" spans="1:22" ht="99" customHeight="1" x14ac:dyDescent="0.35">
      <c r="A37" s="70"/>
      <c r="B37" s="264" t="s">
        <v>552</v>
      </c>
      <c r="C37" s="264"/>
      <c r="D37" s="264"/>
      <c r="E37" s="264"/>
      <c r="F37" s="264"/>
      <c r="G37" s="264"/>
      <c r="H37" s="264"/>
      <c r="I37" s="264"/>
      <c r="J37" s="264"/>
      <c r="K37" s="264"/>
      <c r="L37" s="264"/>
      <c r="M37" s="264"/>
      <c r="N37" s="264"/>
      <c r="O37" s="264"/>
      <c r="P37" s="264"/>
      <c r="Q37" s="264"/>
      <c r="R37" s="264"/>
      <c r="S37" s="264"/>
      <c r="T37" s="264"/>
      <c r="U37" s="264"/>
      <c r="V37" s="41"/>
    </row>
    <row r="38" spans="1:22" ht="16.5" customHeight="1" x14ac:dyDescent="0.35">
      <c r="A38" s="70"/>
      <c r="B38" s="92"/>
      <c r="C38" s="93"/>
      <c r="D38" s="94"/>
      <c r="E38" s="80"/>
      <c r="F38" s="80"/>
      <c r="G38" s="80"/>
      <c r="H38" s="80"/>
      <c r="I38" s="80"/>
      <c r="J38" s="80"/>
      <c r="K38" s="80"/>
      <c r="L38" s="80"/>
      <c r="M38" s="80"/>
      <c r="N38" s="80"/>
      <c r="O38" s="80"/>
      <c r="P38" s="80"/>
      <c r="Q38" s="80"/>
      <c r="R38" s="79"/>
      <c r="S38" s="79"/>
      <c r="T38" s="79"/>
      <c r="U38" s="79"/>
      <c r="V38" s="41"/>
    </row>
    <row r="39" spans="1:22" ht="16.5" customHeight="1" x14ac:dyDescent="0.35">
      <c r="A39" s="70"/>
      <c r="B39" s="95" t="s">
        <v>288</v>
      </c>
      <c r="C39" s="96"/>
      <c r="D39" s="96"/>
      <c r="E39" s="96"/>
      <c r="F39" s="96"/>
      <c r="G39" s="96"/>
      <c r="H39" s="96"/>
      <c r="I39" s="96"/>
      <c r="J39" s="96"/>
      <c r="K39" s="96"/>
      <c r="L39" s="96"/>
      <c r="M39" s="96"/>
      <c r="N39" s="96"/>
      <c r="O39" s="96"/>
      <c r="P39" s="96"/>
      <c r="Q39" s="96"/>
      <c r="R39" s="96"/>
      <c r="S39" s="96"/>
      <c r="T39" s="96"/>
      <c r="U39" s="96"/>
      <c r="V39" s="96"/>
    </row>
    <row r="40" spans="1:22" ht="21.75" customHeight="1" x14ac:dyDescent="0.35">
      <c r="A40" s="70"/>
      <c r="B40" s="263" t="s">
        <v>289</v>
      </c>
      <c r="C40" s="263"/>
      <c r="D40" s="263"/>
      <c r="E40" s="263"/>
      <c r="F40" s="263"/>
      <c r="G40" s="263"/>
      <c r="H40" s="263"/>
      <c r="I40" s="263"/>
      <c r="J40" s="263"/>
      <c r="K40" s="263"/>
      <c r="L40" s="263"/>
      <c r="M40" s="263"/>
      <c r="N40" s="263"/>
      <c r="O40" s="263"/>
      <c r="P40" s="263"/>
      <c r="Q40" s="263"/>
      <c r="R40" s="263"/>
      <c r="S40" s="263"/>
      <c r="T40" s="263"/>
      <c r="U40" s="263"/>
      <c r="V40" s="41"/>
    </row>
    <row r="41" spans="1:22" ht="72.75" customHeight="1" x14ac:dyDescent="0.35">
      <c r="A41" s="70"/>
      <c r="B41" s="262" t="s">
        <v>553</v>
      </c>
      <c r="C41" s="262"/>
      <c r="D41" s="262"/>
      <c r="E41" s="262"/>
      <c r="F41" s="262"/>
      <c r="G41" s="262"/>
      <c r="H41" s="262"/>
      <c r="I41" s="262"/>
      <c r="J41" s="262"/>
      <c r="K41" s="262"/>
      <c r="L41" s="262"/>
      <c r="M41" s="262"/>
      <c r="N41" s="262"/>
      <c r="O41" s="262"/>
      <c r="P41" s="262"/>
      <c r="Q41" s="262"/>
      <c r="R41" s="262"/>
      <c r="S41" s="262"/>
      <c r="T41" s="262"/>
      <c r="U41" s="262"/>
      <c r="V41" s="37"/>
    </row>
    <row r="42" spans="1:22" ht="16.5" customHeight="1" x14ac:dyDescent="0.35">
      <c r="A42" s="70"/>
      <c r="B42" s="92"/>
      <c r="C42" s="93"/>
      <c r="D42" s="94"/>
      <c r="E42" s="80"/>
      <c r="F42" s="80"/>
      <c r="G42" s="80"/>
      <c r="H42" s="80"/>
      <c r="I42" s="80"/>
      <c r="J42" s="80"/>
      <c r="K42" s="80"/>
      <c r="L42" s="80"/>
      <c r="M42" s="80"/>
      <c r="N42" s="80"/>
      <c r="O42" s="80"/>
      <c r="P42" s="80"/>
      <c r="Q42" s="80"/>
      <c r="R42" s="79"/>
      <c r="S42" s="79"/>
      <c r="T42" s="79"/>
      <c r="U42" s="79"/>
      <c r="V42" s="37"/>
    </row>
    <row r="43" spans="1:22" s="1" customFormat="1" ht="15.5" x14ac:dyDescent="0.35">
      <c r="A43" s="97"/>
      <c r="B43" s="95" t="s">
        <v>290</v>
      </c>
      <c r="C43" s="96"/>
      <c r="D43" s="96"/>
      <c r="E43" s="96"/>
      <c r="F43" s="96"/>
      <c r="G43" s="96"/>
      <c r="H43" s="96"/>
      <c r="I43" s="96"/>
      <c r="J43" s="96"/>
      <c r="K43" s="96"/>
      <c r="L43" s="96"/>
      <c r="M43" s="96"/>
      <c r="N43" s="96"/>
      <c r="O43" s="96"/>
      <c r="P43" s="96"/>
      <c r="Q43" s="96"/>
      <c r="R43" s="96"/>
      <c r="S43" s="96"/>
      <c r="T43" s="96"/>
      <c r="U43" s="96"/>
      <c r="V43" s="96"/>
    </row>
    <row r="44" spans="1:22" s="1" customFormat="1" ht="15.5" x14ac:dyDescent="0.35">
      <c r="A44" s="97"/>
      <c r="B44" s="69" t="s">
        <v>291</v>
      </c>
      <c r="C44" s="69"/>
      <c r="D44" s="69"/>
      <c r="E44" s="69"/>
      <c r="F44" s="69"/>
      <c r="G44" s="69"/>
      <c r="H44" s="69"/>
      <c r="I44" s="98"/>
      <c r="J44" s="69"/>
      <c r="K44" s="69"/>
      <c r="L44" s="69"/>
      <c r="M44" s="69"/>
      <c r="N44" s="69"/>
      <c r="O44" s="69"/>
      <c r="P44" s="69"/>
      <c r="Q44" s="69"/>
      <c r="R44" s="69"/>
      <c r="S44" s="69"/>
      <c r="T44" s="69"/>
      <c r="U44" s="69"/>
      <c r="V44" s="9"/>
    </row>
    <row r="45" spans="1:22" s="1" customFormat="1" ht="77.25" customHeight="1" x14ac:dyDescent="0.35">
      <c r="A45" s="97"/>
      <c r="B45" s="262" t="s">
        <v>554</v>
      </c>
      <c r="C45" s="262"/>
      <c r="D45" s="262"/>
      <c r="E45" s="262"/>
      <c r="F45" s="262"/>
      <c r="G45" s="262"/>
      <c r="H45" s="262"/>
      <c r="I45" s="262"/>
      <c r="J45" s="262"/>
      <c r="K45" s="262"/>
      <c r="L45" s="262"/>
      <c r="M45" s="262"/>
      <c r="N45" s="262"/>
      <c r="O45" s="262"/>
      <c r="P45" s="262"/>
      <c r="Q45" s="262"/>
      <c r="R45" s="262"/>
      <c r="S45" s="262"/>
      <c r="T45" s="262"/>
      <c r="U45" s="262"/>
      <c r="V45" s="9"/>
    </row>
    <row r="46" spans="1:22" s="39" customFormat="1" ht="16" x14ac:dyDescent="0.35">
      <c r="A46" s="97"/>
      <c r="B46" s="69"/>
      <c r="C46" s="99"/>
      <c r="D46" s="100"/>
      <c r="E46" s="100"/>
      <c r="F46" s="100"/>
      <c r="G46" s="100"/>
      <c r="H46" s="100"/>
      <c r="I46" s="100"/>
      <c r="J46" s="101"/>
      <c r="K46" s="101"/>
      <c r="L46" s="69"/>
      <c r="M46" s="69"/>
      <c r="N46" s="69"/>
      <c r="O46" s="69"/>
      <c r="P46" s="69"/>
      <c r="Q46" s="69"/>
      <c r="R46" s="69"/>
      <c r="S46" s="69"/>
      <c r="T46" s="69"/>
      <c r="U46" s="69"/>
      <c r="V46" s="9"/>
    </row>
    <row r="47" spans="1:22" s="39" customFormat="1" ht="16" x14ac:dyDescent="0.35">
      <c r="A47" s="97"/>
      <c r="B47" s="69"/>
      <c r="C47" s="99"/>
      <c r="D47" s="100"/>
      <c r="E47" s="100"/>
      <c r="F47" s="100"/>
      <c r="G47" s="100"/>
      <c r="H47" s="100"/>
      <c r="I47" s="100"/>
      <c r="J47" s="101"/>
      <c r="K47" s="101"/>
      <c r="L47" s="69"/>
      <c r="M47" s="69"/>
      <c r="N47" s="69"/>
      <c r="O47" s="69"/>
      <c r="P47" s="69"/>
      <c r="Q47" s="69"/>
      <c r="R47" s="69"/>
      <c r="S47" s="69"/>
      <c r="T47" s="69"/>
      <c r="U47" s="69"/>
      <c r="V47" s="9"/>
    </row>
    <row r="48" spans="1:22" s="39" customFormat="1" ht="16" x14ac:dyDescent="0.35">
      <c r="A48" s="97"/>
      <c r="B48" s="69"/>
      <c r="C48" s="99"/>
      <c r="D48" s="100"/>
      <c r="E48" s="100"/>
      <c r="F48" s="100"/>
      <c r="G48" s="100"/>
      <c r="H48" s="100"/>
      <c r="I48" s="100"/>
      <c r="J48" s="101"/>
      <c r="K48" s="101"/>
      <c r="L48" s="69"/>
      <c r="M48" s="69"/>
      <c r="N48" s="69"/>
      <c r="O48" s="69"/>
      <c r="P48" s="69"/>
      <c r="Q48" s="69"/>
      <c r="R48" s="69"/>
      <c r="S48" s="69"/>
      <c r="T48" s="69"/>
      <c r="U48" s="69"/>
      <c r="V48" s="9"/>
    </row>
    <row r="49" spans="1:22" s="1" customFormat="1" ht="15.5" x14ac:dyDescent="0.35">
      <c r="A49" s="102"/>
      <c r="B49" s="103"/>
      <c r="C49" s="103"/>
      <c r="D49" s="103"/>
      <c r="E49" s="103"/>
      <c r="F49" s="103"/>
      <c r="G49" s="103"/>
      <c r="H49" s="103"/>
      <c r="I49" s="103"/>
      <c r="J49" s="103"/>
      <c r="K49" s="103"/>
      <c r="L49" s="103"/>
      <c r="M49" s="103"/>
      <c r="N49" s="103"/>
      <c r="O49" s="103"/>
      <c r="P49" s="103"/>
      <c r="Q49" s="103"/>
      <c r="R49" s="103"/>
      <c r="S49" s="103"/>
      <c r="T49" s="102"/>
      <c r="U49" s="102"/>
      <c r="V49" s="43"/>
    </row>
    <row r="50" spans="1:22" s="1" customFormat="1" ht="15.5" x14ac:dyDescent="0.35">
      <c r="A50" s="102"/>
      <c r="B50" s="103"/>
      <c r="C50" s="103"/>
      <c r="D50" s="103"/>
      <c r="E50" s="103"/>
      <c r="F50" s="103"/>
      <c r="G50" s="103"/>
      <c r="H50" s="103"/>
      <c r="I50" s="103"/>
      <c r="J50" s="103"/>
      <c r="K50" s="103"/>
      <c r="L50" s="103"/>
      <c r="M50" s="103"/>
      <c r="N50" s="103"/>
      <c r="O50" s="103"/>
      <c r="P50" s="103"/>
      <c r="Q50" s="103"/>
      <c r="R50" s="103"/>
      <c r="S50" s="103"/>
      <c r="T50" s="102"/>
      <c r="U50" s="102"/>
      <c r="V50" s="27"/>
    </row>
    <row r="51" spans="1:22" s="1" customFormat="1" ht="15.5" x14ac:dyDescent="0.35">
      <c r="A51" s="102"/>
      <c r="B51" s="103"/>
      <c r="C51" s="103"/>
      <c r="D51" s="103"/>
      <c r="E51" s="103"/>
      <c r="F51" s="103"/>
      <c r="G51" s="103"/>
      <c r="H51" s="103"/>
      <c r="I51" s="103"/>
      <c r="J51" s="103"/>
      <c r="K51" s="103"/>
      <c r="L51" s="103"/>
      <c r="M51" s="103"/>
      <c r="N51" s="103"/>
      <c r="O51" s="103"/>
      <c r="P51" s="103"/>
      <c r="Q51" s="103"/>
      <c r="R51" s="103"/>
      <c r="S51" s="103"/>
      <c r="T51" s="102"/>
      <c r="U51" s="102"/>
      <c r="V51" s="27"/>
    </row>
    <row r="52" spans="1:22" s="1" customFormat="1" ht="15.5" x14ac:dyDescent="0.35">
      <c r="A52" s="102"/>
      <c r="B52" s="103"/>
      <c r="C52" s="103"/>
      <c r="D52" s="103"/>
      <c r="E52" s="103"/>
      <c r="F52" s="103"/>
      <c r="G52" s="103"/>
      <c r="H52" s="103"/>
      <c r="I52" s="103"/>
      <c r="J52" s="103"/>
      <c r="K52" s="103"/>
      <c r="L52" s="103"/>
      <c r="M52" s="103"/>
      <c r="N52" s="103"/>
      <c r="O52" s="103"/>
      <c r="P52" s="103"/>
      <c r="Q52" s="103"/>
      <c r="R52" s="103"/>
      <c r="S52" s="103"/>
      <c r="T52" s="102"/>
      <c r="U52" s="102"/>
      <c r="V52" s="27"/>
    </row>
    <row r="53" spans="1:22" s="1" customFormat="1" ht="15.5" x14ac:dyDescent="0.35">
      <c r="A53" s="102"/>
      <c r="B53" s="103"/>
      <c r="C53" s="103"/>
      <c r="D53" s="103"/>
      <c r="E53" s="103"/>
      <c r="F53" s="103"/>
      <c r="G53" s="103"/>
      <c r="H53" s="103"/>
      <c r="I53" s="103"/>
      <c r="J53" s="103"/>
      <c r="K53" s="103"/>
      <c r="L53" s="103"/>
      <c r="M53" s="103"/>
      <c r="N53" s="103"/>
      <c r="O53" s="103"/>
      <c r="P53" s="103"/>
      <c r="Q53" s="103"/>
      <c r="R53" s="103"/>
      <c r="S53" s="103"/>
      <c r="T53" s="102"/>
      <c r="U53" s="102"/>
      <c r="V53" s="27"/>
    </row>
    <row r="54" spans="1:22" ht="15.5" x14ac:dyDescent="0.35">
      <c r="A54" s="70"/>
      <c r="B54" s="103"/>
      <c r="C54" s="103"/>
      <c r="D54" s="103"/>
      <c r="E54" s="103"/>
      <c r="F54" s="103"/>
      <c r="G54" s="103"/>
      <c r="H54" s="103"/>
      <c r="I54" s="103"/>
      <c r="J54" s="103"/>
      <c r="K54" s="103"/>
      <c r="L54" s="103"/>
      <c r="M54" s="103"/>
      <c r="N54" s="103"/>
      <c r="O54" s="103"/>
      <c r="P54" s="103"/>
      <c r="Q54" s="103"/>
      <c r="R54" s="103"/>
      <c r="S54" s="103"/>
      <c r="T54" s="70"/>
      <c r="U54" s="70"/>
    </row>
    <row r="55" spans="1:22" ht="15.5" x14ac:dyDescent="0.35">
      <c r="A55" s="70"/>
      <c r="B55" s="103"/>
      <c r="C55" s="103"/>
      <c r="D55" s="103"/>
      <c r="E55" s="103"/>
      <c r="F55" s="103"/>
      <c r="G55" s="103"/>
      <c r="H55" s="103"/>
      <c r="I55" s="103"/>
      <c r="J55" s="103"/>
      <c r="K55" s="103"/>
      <c r="L55" s="103"/>
      <c r="M55" s="103"/>
      <c r="N55" s="103"/>
      <c r="O55" s="103"/>
      <c r="P55" s="103"/>
      <c r="Q55" s="103"/>
      <c r="R55" s="103"/>
      <c r="S55" s="103"/>
      <c r="T55" s="70"/>
      <c r="U55" s="70"/>
    </row>
    <row r="56" spans="1:22" ht="15.5" x14ac:dyDescent="0.35">
      <c r="A56" s="70"/>
      <c r="B56" s="103"/>
      <c r="C56" s="103"/>
      <c r="D56" s="103"/>
      <c r="E56" s="103"/>
      <c r="F56" s="103"/>
      <c r="G56" s="103"/>
      <c r="H56" s="103"/>
      <c r="I56" s="103"/>
      <c r="J56" s="103"/>
      <c r="K56" s="103"/>
      <c r="L56" s="103"/>
      <c r="M56" s="103"/>
      <c r="N56" s="103"/>
      <c r="O56" s="103"/>
      <c r="P56" s="103"/>
      <c r="Q56" s="103"/>
      <c r="R56" s="103"/>
      <c r="S56" s="103"/>
      <c r="T56" s="70"/>
      <c r="U56" s="70"/>
    </row>
    <row r="57" spans="1:22" ht="15.5" x14ac:dyDescent="0.35">
      <c r="A57" s="70"/>
      <c r="B57" s="103"/>
      <c r="C57" s="103"/>
      <c r="D57" s="103"/>
      <c r="E57" s="103"/>
      <c r="F57" s="103"/>
      <c r="G57" s="103"/>
      <c r="H57" s="103"/>
      <c r="I57" s="103"/>
      <c r="J57" s="103"/>
      <c r="K57" s="103"/>
      <c r="L57" s="103"/>
      <c r="M57" s="103"/>
      <c r="N57" s="103"/>
      <c r="O57" s="103"/>
      <c r="P57" s="103"/>
      <c r="Q57" s="103"/>
      <c r="R57" s="103"/>
      <c r="S57" s="103"/>
      <c r="T57" s="70"/>
      <c r="U57" s="70"/>
    </row>
    <row r="58" spans="1:22" ht="15.5" x14ac:dyDescent="0.35">
      <c r="A58" s="70"/>
      <c r="B58" s="103"/>
      <c r="C58" s="103"/>
      <c r="D58" s="103"/>
      <c r="E58" s="103"/>
      <c r="F58" s="103"/>
      <c r="G58" s="103"/>
      <c r="H58" s="103"/>
      <c r="I58" s="103"/>
      <c r="J58" s="103"/>
      <c r="K58" s="103"/>
      <c r="L58" s="103"/>
      <c r="M58" s="103"/>
      <c r="N58" s="103"/>
      <c r="O58" s="103"/>
      <c r="P58" s="103"/>
      <c r="Q58" s="103"/>
      <c r="R58" s="103"/>
      <c r="S58" s="103"/>
      <c r="T58" s="70"/>
      <c r="U58" s="70"/>
    </row>
    <row r="59" spans="1:22" ht="15.5" x14ac:dyDescent="0.35">
      <c r="A59" s="70"/>
      <c r="B59" s="103"/>
      <c r="C59" s="103"/>
      <c r="D59" s="103"/>
      <c r="E59" s="103"/>
      <c r="F59" s="103"/>
      <c r="G59" s="103"/>
      <c r="H59" s="103"/>
      <c r="I59" s="103"/>
      <c r="J59" s="103"/>
      <c r="K59" s="103"/>
      <c r="L59" s="103"/>
      <c r="M59" s="103"/>
      <c r="N59" s="103"/>
      <c r="O59" s="103"/>
      <c r="P59" s="103"/>
      <c r="Q59" s="103"/>
      <c r="R59" s="103"/>
      <c r="S59" s="103"/>
      <c r="T59" s="70"/>
      <c r="U59" s="70"/>
    </row>
    <row r="60" spans="1:22" ht="15.5" x14ac:dyDescent="0.35">
      <c r="A60" s="70"/>
      <c r="B60" s="103"/>
      <c r="C60" s="103"/>
      <c r="D60" s="103"/>
      <c r="E60" s="103"/>
      <c r="F60" s="103"/>
      <c r="G60" s="103"/>
      <c r="H60" s="103"/>
      <c r="I60" s="103"/>
      <c r="J60" s="103"/>
      <c r="K60" s="103"/>
      <c r="L60" s="103"/>
      <c r="M60" s="103"/>
      <c r="N60" s="103"/>
      <c r="O60" s="103"/>
      <c r="P60" s="103"/>
      <c r="Q60" s="103"/>
      <c r="R60" s="103"/>
      <c r="S60" s="103"/>
      <c r="T60" s="70"/>
      <c r="U60" s="70"/>
    </row>
    <row r="61" spans="1:22" ht="15.5" x14ac:dyDescent="0.35">
      <c r="A61" s="70"/>
      <c r="B61" s="103"/>
      <c r="C61" s="103"/>
      <c r="D61" s="103"/>
      <c r="E61" s="103"/>
      <c r="F61" s="103"/>
      <c r="G61" s="103"/>
      <c r="H61" s="103"/>
      <c r="I61" s="103"/>
      <c r="J61" s="103"/>
      <c r="K61" s="103"/>
      <c r="L61" s="103"/>
      <c r="M61" s="103"/>
      <c r="N61" s="103"/>
      <c r="O61" s="103"/>
      <c r="P61" s="103"/>
      <c r="Q61" s="103"/>
      <c r="R61" s="103"/>
      <c r="S61" s="103"/>
      <c r="T61" s="70"/>
      <c r="U61" s="70"/>
    </row>
    <row r="62" spans="1:22" ht="15.5" x14ac:dyDescent="0.35">
      <c r="A62" s="70"/>
      <c r="B62" s="103"/>
      <c r="C62" s="103"/>
      <c r="D62" s="103"/>
      <c r="E62" s="103"/>
      <c r="F62" s="103"/>
      <c r="G62" s="103"/>
      <c r="H62" s="103"/>
      <c r="I62" s="103"/>
      <c r="J62" s="103"/>
      <c r="K62" s="103"/>
      <c r="L62" s="103"/>
      <c r="M62" s="103"/>
      <c r="N62" s="103"/>
      <c r="O62" s="103"/>
      <c r="P62" s="103"/>
      <c r="Q62" s="103"/>
      <c r="R62" s="103"/>
      <c r="S62" s="103"/>
      <c r="T62" s="70"/>
      <c r="U62" s="70"/>
    </row>
    <row r="63" spans="1:22" ht="15.5" x14ac:dyDescent="0.35">
      <c r="A63" s="70"/>
      <c r="B63" s="103"/>
      <c r="C63" s="103"/>
      <c r="D63" s="103"/>
      <c r="E63" s="103"/>
      <c r="F63" s="103"/>
      <c r="G63" s="103"/>
      <c r="H63" s="103"/>
      <c r="I63" s="103"/>
      <c r="J63" s="103"/>
      <c r="K63" s="103"/>
      <c r="L63" s="103"/>
      <c r="M63" s="103"/>
      <c r="N63" s="103"/>
      <c r="O63" s="103"/>
      <c r="P63" s="103"/>
      <c r="Q63" s="103"/>
      <c r="R63" s="103"/>
      <c r="S63" s="103"/>
      <c r="T63" s="70"/>
      <c r="U63" s="70"/>
    </row>
    <row r="64" spans="1:22" ht="15.5" x14ac:dyDescent="0.35">
      <c r="A64" s="70"/>
      <c r="B64" s="103"/>
      <c r="C64" s="103"/>
      <c r="D64" s="103"/>
      <c r="E64" s="103"/>
      <c r="F64" s="103"/>
      <c r="G64" s="103"/>
      <c r="H64" s="103"/>
      <c r="I64" s="103"/>
      <c r="J64" s="103"/>
      <c r="K64" s="103"/>
      <c r="L64" s="103"/>
      <c r="M64" s="103"/>
      <c r="N64" s="103"/>
      <c r="O64" s="103"/>
      <c r="P64" s="103"/>
      <c r="Q64" s="103"/>
      <c r="R64" s="103"/>
      <c r="S64" s="103"/>
      <c r="T64" s="70"/>
      <c r="U64" s="70"/>
    </row>
    <row r="65" spans="1:21" ht="15.5" x14ac:dyDescent="0.35">
      <c r="A65" s="70"/>
      <c r="B65" s="103"/>
      <c r="C65" s="103"/>
      <c r="D65" s="103"/>
      <c r="E65" s="103"/>
      <c r="F65" s="103"/>
      <c r="G65" s="103"/>
      <c r="H65" s="103"/>
      <c r="I65" s="103"/>
      <c r="J65" s="103"/>
      <c r="K65" s="103"/>
      <c r="L65" s="103"/>
      <c r="M65" s="103"/>
      <c r="N65" s="103"/>
      <c r="O65" s="103"/>
      <c r="P65" s="103"/>
      <c r="Q65" s="103"/>
      <c r="R65" s="103"/>
      <c r="S65" s="103"/>
      <c r="T65" s="70"/>
      <c r="U65" s="70"/>
    </row>
    <row r="66" spans="1:21" ht="15.5" x14ac:dyDescent="0.35">
      <c r="A66" s="70"/>
      <c r="B66" s="103"/>
      <c r="C66" s="103"/>
      <c r="D66" s="103"/>
      <c r="E66" s="103"/>
      <c r="F66" s="103"/>
      <c r="G66" s="103"/>
      <c r="H66" s="103"/>
      <c r="I66" s="103"/>
      <c r="J66" s="103"/>
      <c r="K66" s="103"/>
      <c r="L66" s="103"/>
      <c r="M66" s="103"/>
      <c r="N66" s="103"/>
      <c r="O66" s="103"/>
      <c r="P66" s="103"/>
      <c r="Q66" s="103"/>
      <c r="R66" s="103"/>
      <c r="S66" s="103"/>
      <c r="T66" s="70"/>
      <c r="U66" s="70"/>
    </row>
    <row r="67" spans="1:21" ht="15.5" x14ac:dyDescent="0.35">
      <c r="A67" s="70"/>
      <c r="B67" s="103"/>
      <c r="C67" s="103"/>
      <c r="D67" s="103"/>
      <c r="E67" s="103"/>
      <c r="F67" s="103"/>
      <c r="G67" s="103"/>
      <c r="H67" s="103"/>
      <c r="I67" s="103"/>
      <c r="J67" s="103"/>
      <c r="K67" s="103"/>
      <c r="L67" s="103"/>
      <c r="M67" s="103"/>
      <c r="N67" s="103"/>
      <c r="O67" s="103"/>
      <c r="P67" s="103"/>
      <c r="Q67" s="103"/>
      <c r="R67" s="103"/>
      <c r="S67" s="103"/>
      <c r="T67" s="70"/>
      <c r="U67" s="70"/>
    </row>
    <row r="68" spans="1:21" ht="15.5" x14ac:dyDescent="0.35">
      <c r="A68" s="70"/>
      <c r="B68" s="103"/>
      <c r="C68" s="103"/>
      <c r="D68" s="103"/>
      <c r="E68" s="103"/>
      <c r="F68" s="103"/>
      <c r="G68" s="103"/>
      <c r="H68" s="103"/>
      <c r="I68" s="103"/>
      <c r="J68" s="103"/>
      <c r="K68" s="103"/>
      <c r="L68" s="103"/>
      <c r="M68" s="103"/>
      <c r="N68" s="103"/>
      <c r="O68" s="103"/>
      <c r="P68" s="103"/>
      <c r="Q68" s="103"/>
      <c r="R68" s="103"/>
      <c r="S68" s="103"/>
      <c r="T68" s="70"/>
      <c r="U68" s="70"/>
    </row>
    <row r="69" spans="1:21" ht="15.5" x14ac:dyDescent="0.35">
      <c r="A69" s="70"/>
      <c r="B69" s="103"/>
      <c r="C69" s="103"/>
      <c r="D69" s="103"/>
      <c r="E69" s="103"/>
      <c r="F69" s="103"/>
      <c r="G69" s="103"/>
      <c r="H69" s="103"/>
      <c r="I69" s="103"/>
      <c r="J69" s="103"/>
      <c r="K69" s="103"/>
      <c r="L69" s="103"/>
      <c r="M69" s="103"/>
      <c r="N69" s="103"/>
      <c r="O69" s="103"/>
      <c r="P69" s="103"/>
      <c r="Q69" s="103"/>
      <c r="R69" s="103"/>
      <c r="S69" s="103"/>
      <c r="T69" s="70"/>
      <c r="U69" s="70"/>
    </row>
    <row r="70" spans="1:21" ht="15.5" x14ac:dyDescent="0.35">
      <c r="A70" s="70"/>
      <c r="B70" s="103"/>
      <c r="C70" s="103"/>
      <c r="D70" s="103"/>
      <c r="E70" s="103"/>
      <c r="F70" s="103"/>
      <c r="G70" s="103"/>
      <c r="H70" s="103"/>
      <c r="I70" s="103"/>
      <c r="J70" s="103"/>
      <c r="K70" s="103"/>
      <c r="L70" s="103"/>
      <c r="M70" s="103"/>
      <c r="N70" s="103"/>
      <c r="O70" s="103"/>
      <c r="P70" s="103"/>
      <c r="Q70" s="103"/>
      <c r="R70" s="103"/>
      <c r="S70" s="103"/>
      <c r="T70" s="70"/>
      <c r="U70" s="70"/>
    </row>
    <row r="71" spans="1:21" ht="15.5" x14ac:dyDescent="0.35">
      <c r="A71" s="70"/>
      <c r="B71" s="103"/>
      <c r="C71" s="103"/>
      <c r="D71" s="103"/>
      <c r="E71" s="103"/>
      <c r="F71" s="103"/>
      <c r="G71" s="103"/>
      <c r="H71" s="103"/>
      <c r="I71" s="103"/>
      <c r="J71" s="103"/>
      <c r="K71" s="103"/>
      <c r="L71" s="103"/>
      <c r="M71" s="103"/>
      <c r="N71" s="103"/>
      <c r="O71" s="103"/>
      <c r="P71" s="103"/>
      <c r="Q71" s="103"/>
      <c r="R71" s="103"/>
      <c r="S71" s="103"/>
      <c r="T71" s="70"/>
      <c r="U71" s="70"/>
    </row>
    <row r="72" spans="1:21" ht="15.5" x14ac:dyDescent="0.35">
      <c r="A72" s="70"/>
      <c r="B72" s="70"/>
      <c r="C72" s="70"/>
      <c r="D72" s="70"/>
      <c r="E72" s="70"/>
      <c r="F72" s="70"/>
      <c r="G72" s="70"/>
      <c r="H72" s="70"/>
      <c r="I72" s="70"/>
      <c r="J72" s="70"/>
      <c r="K72" s="70"/>
      <c r="L72" s="70"/>
      <c r="M72" s="70"/>
      <c r="N72" s="70"/>
      <c r="O72" s="70"/>
      <c r="P72" s="104" t="s">
        <v>292</v>
      </c>
      <c r="Q72" s="70"/>
      <c r="R72" s="70"/>
      <c r="S72" s="70"/>
      <c r="T72" s="70"/>
      <c r="U72" s="70"/>
    </row>
    <row r="73" spans="1:21" ht="15.5" x14ac:dyDescent="0.35">
      <c r="A73" s="70"/>
      <c r="B73" s="70"/>
      <c r="C73" s="70"/>
      <c r="D73" s="70"/>
      <c r="E73" s="70"/>
      <c r="F73" s="70"/>
      <c r="G73" s="70"/>
      <c r="H73" s="70"/>
      <c r="I73" s="70"/>
      <c r="J73" s="70"/>
      <c r="K73" s="70"/>
      <c r="L73" s="70"/>
      <c r="M73" s="70"/>
      <c r="N73" s="70"/>
      <c r="O73" s="70"/>
      <c r="P73" s="104" t="s">
        <v>293</v>
      </c>
      <c r="Q73" s="70"/>
      <c r="R73" s="70"/>
      <c r="S73" s="70"/>
      <c r="T73" s="70"/>
      <c r="U73" s="70"/>
    </row>
    <row r="74" spans="1:21" ht="15.5" x14ac:dyDescent="0.35">
      <c r="A74" s="70"/>
      <c r="B74" s="103"/>
      <c r="C74" s="103"/>
      <c r="D74" s="103"/>
      <c r="E74" s="103"/>
      <c r="F74" s="103"/>
      <c r="G74" s="103"/>
      <c r="H74" s="103"/>
      <c r="I74" s="103"/>
      <c r="J74" s="103"/>
      <c r="K74" s="103"/>
      <c r="L74" s="103"/>
      <c r="M74" s="103"/>
      <c r="N74" s="103"/>
      <c r="O74" s="103"/>
      <c r="P74" s="103"/>
      <c r="Q74" s="103"/>
      <c r="R74" s="103"/>
      <c r="S74" s="103"/>
      <c r="T74" s="70"/>
      <c r="U74" s="70"/>
    </row>
    <row r="75" spans="1:21" ht="15.5" x14ac:dyDescent="0.35">
      <c r="A75" s="70"/>
      <c r="B75" s="103"/>
      <c r="C75" s="103"/>
      <c r="D75" s="103"/>
      <c r="E75" s="103"/>
      <c r="F75" s="103"/>
      <c r="G75" s="103"/>
      <c r="H75" s="103"/>
      <c r="I75" s="103"/>
      <c r="J75" s="103"/>
      <c r="K75" s="103"/>
      <c r="L75" s="103"/>
      <c r="M75" s="103"/>
      <c r="N75" s="103"/>
      <c r="O75" s="103"/>
      <c r="P75" s="103"/>
      <c r="Q75" s="103"/>
      <c r="R75" s="103"/>
      <c r="S75" s="103"/>
      <c r="T75" s="70"/>
      <c r="U75" s="70"/>
    </row>
    <row r="76" spans="1:21" ht="15.5" x14ac:dyDescent="0.35">
      <c r="A76" s="70"/>
      <c r="B76" s="103"/>
      <c r="C76" s="103"/>
      <c r="D76" s="103"/>
      <c r="E76" s="103"/>
      <c r="F76" s="103"/>
      <c r="G76" s="103"/>
      <c r="H76" s="103"/>
      <c r="I76" s="103"/>
      <c r="J76" s="103"/>
      <c r="K76" s="103"/>
      <c r="L76" s="103"/>
      <c r="M76" s="103"/>
      <c r="N76" s="103"/>
      <c r="O76" s="103"/>
      <c r="P76" s="103"/>
      <c r="Q76" s="103"/>
      <c r="R76" s="103"/>
      <c r="S76" s="103"/>
      <c r="T76" s="70"/>
      <c r="U76" s="70"/>
    </row>
    <row r="79" spans="1:21" x14ac:dyDescent="0.35">
      <c r="F79" s="42" t="s">
        <v>36</v>
      </c>
    </row>
    <row r="80" spans="1:21" x14ac:dyDescent="0.35">
      <c r="F80" s="42" t="s">
        <v>38</v>
      </c>
    </row>
  </sheetData>
  <mergeCells count="18">
    <mergeCell ref="B45:U45"/>
    <mergeCell ref="B36:U36"/>
    <mergeCell ref="B37:U37"/>
    <mergeCell ref="B40:U40"/>
    <mergeCell ref="B41:U41"/>
    <mergeCell ref="B21:S21"/>
    <mergeCell ref="B15:U15"/>
    <mergeCell ref="B16:U16"/>
    <mergeCell ref="B2:M2"/>
    <mergeCell ref="B3:U3"/>
    <mergeCell ref="B4:U4"/>
    <mergeCell ref="B5:U5"/>
    <mergeCell ref="B6:U6"/>
    <mergeCell ref="B7:U7"/>
    <mergeCell ref="B11:U11"/>
    <mergeCell ref="B13:U13"/>
    <mergeCell ref="B14:U14"/>
    <mergeCell ref="B20:U20"/>
  </mergeCells>
  <dataValidations count="2">
    <dataValidation type="whole" allowBlank="1" showInputMessage="1" showErrorMessage="1" sqref="C24:E24 C30:E30" xr:uid="{A2B21475-6109-418B-A41C-CE1D4F5C35E6}">
      <formula1>1000</formula1>
      <formula2>2080</formula2>
    </dataValidation>
    <dataValidation type="whole" operator="lessThan" allowBlank="1" showInputMessage="1" showErrorMessage="1" sqref="C31:E33 C25:E28" xr:uid="{A0DDD1E7-29CC-47A4-BF0F-004B6A1482AF}">
      <formula1>999999</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ECD0A-8AE1-47FC-AF8A-B62FD81CFED1}">
  <dimension ref="A1:CJ129"/>
  <sheetViews>
    <sheetView topLeftCell="A29" zoomScale="90" zoomScaleNormal="90" workbookViewId="0">
      <selection activeCell="C28" sqref="C28"/>
    </sheetView>
  </sheetViews>
  <sheetFormatPr defaultColWidth="8" defaultRowHeight="14.5" x14ac:dyDescent="0.35"/>
  <cols>
    <col min="1" max="1" width="4.54296875" style="2" customWidth="1"/>
    <col min="2" max="2" width="34.1796875" style="2" customWidth="1"/>
    <col min="3" max="3" width="35.1796875" style="2" customWidth="1"/>
    <col min="4" max="4" width="27.1796875" style="2" bestFit="1" customWidth="1"/>
    <col min="5" max="12" width="18.81640625" style="2" customWidth="1"/>
    <col min="13" max="13" width="4.26953125" style="2" customWidth="1"/>
    <col min="14" max="16384" width="8" style="2"/>
  </cols>
  <sheetData>
    <row r="1" spans="1:13" x14ac:dyDescent="0.35">
      <c r="A1" s="1"/>
      <c r="B1" s="1"/>
      <c r="C1" s="1"/>
      <c r="D1" s="1"/>
      <c r="E1" s="1"/>
      <c r="F1" s="1"/>
      <c r="G1" s="1"/>
      <c r="H1" s="1"/>
      <c r="I1" s="1"/>
      <c r="J1" s="1"/>
      <c r="K1" s="1"/>
      <c r="L1" s="1"/>
      <c r="M1" s="1"/>
    </row>
    <row r="2" spans="1:13" x14ac:dyDescent="0.35">
      <c r="A2" s="1"/>
      <c r="B2" s="232"/>
      <c r="C2" s="232"/>
      <c r="D2" s="232"/>
      <c r="E2" s="232"/>
      <c r="F2" s="232"/>
      <c r="G2" s="232"/>
      <c r="H2" s="232"/>
      <c r="I2" s="232"/>
      <c r="J2" s="232"/>
      <c r="K2" s="232"/>
      <c r="L2" s="232"/>
      <c r="M2" s="3"/>
    </row>
    <row r="3" spans="1:13" s="53" customFormat="1" ht="20" x14ac:dyDescent="0.4">
      <c r="A3" s="52"/>
      <c r="B3" s="241" t="s">
        <v>351</v>
      </c>
      <c r="C3" s="241"/>
      <c r="D3" s="241"/>
      <c r="E3" s="241"/>
      <c r="F3" s="241"/>
      <c r="G3" s="241"/>
      <c r="H3" s="241"/>
      <c r="I3" s="241"/>
      <c r="J3" s="241"/>
      <c r="K3" s="241"/>
      <c r="L3" s="241"/>
      <c r="M3" s="241"/>
    </row>
    <row r="4" spans="1:13" ht="18" x14ac:dyDescent="0.35">
      <c r="A4" s="1"/>
      <c r="B4" s="224" t="s">
        <v>294</v>
      </c>
      <c r="C4" s="233"/>
      <c r="D4" s="233"/>
      <c r="E4" s="233"/>
      <c r="F4" s="233"/>
      <c r="G4" s="233"/>
      <c r="H4" s="233"/>
      <c r="I4" s="233"/>
      <c r="J4" s="233"/>
      <c r="K4" s="233"/>
      <c r="L4" s="233"/>
      <c r="M4" s="5"/>
    </row>
    <row r="5" spans="1:13" x14ac:dyDescent="0.35">
      <c r="A5" s="1"/>
      <c r="B5" s="225" t="s">
        <v>355</v>
      </c>
      <c r="C5" s="234"/>
      <c r="D5" s="234"/>
      <c r="E5" s="234"/>
      <c r="F5" s="234"/>
      <c r="G5" s="234"/>
      <c r="H5" s="234"/>
      <c r="I5" s="234"/>
      <c r="J5" s="234"/>
      <c r="K5" s="234"/>
      <c r="L5" s="234"/>
      <c r="M5" s="6"/>
    </row>
    <row r="6" spans="1:13" x14ac:dyDescent="0.35">
      <c r="A6" s="1"/>
      <c r="B6" s="226" t="s">
        <v>2</v>
      </c>
      <c r="C6" s="235"/>
      <c r="D6" s="235"/>
      <c r="E6" s="235"/>
      <c r="F6" s="235"/>
      <c r="G6" s="235"/>
      <c r="H6" s="235"/>
      <c r="I6" s="235"/>
      <c r="J6" s="235"/>
      <c r="K6" s="235"/>
      <c r="L6" s="235"/>
      <c r="M6" s="7"/>
    </row>
    <row r="7" spans="1:13" x14ac:dyDescent="0.35">
      <c r="A7" s="1"/>
      <c r="B7" s="226" t="s">
        <v>12</v>
      </c>
      <c r="C7" s="226"/>
      <c r="D7" s="226"/>
      <c r="E7" s="226"/>
      <c r="F7" s="226"/>
      <c r="G7" s="226"/>
      <c r="H7" s="226"/>
      <c r="I7" s="226"/>
      <c r="J7" s="226"/>
      <c r="K7" s="226"/>
      <c r="L7" s="226"/>
      <c r="M7" s="8"/>
    </row>
    <row r="8" spans="1:13" x14ac:dyDescent="0.35">
      <c r="A8" s="1"/>
      <c r="B8" s="9"/>
      <c r="C8" s="9"/>
      <c r="D8" s="9"/>
      <c r="E8" s="9"/>
      <c r="F8" s="9"/>
      <c r="G8" s="9"/>
      <c r="H8" s="9"/>
      <c r="I8" s="9"/>
      <c r="J8" s="9"/>
      <c r="K8" s="9"/>
      <c r="L8" s="9"/>
      <c r="M8" s="9"/>
    </row>
    <row r="9" spans="1:13" ht="15.5" x14ac:dyDescent="0.35">
      <c r="A9" s="1"/>
      <c r="B9" s="227" t="s">
        <v>295</v>
      </c>
      <c r="C9" s="227"/>
      <c r="D9" s="227"/>
      <c r="E9" s="227"/>
      <c r="F9" s="227"/>
      <c r="G9" s="227"/>
      <c r="H9" s="227"/>
      <c r="I9" s="227"/>
      <c r="J9" s="227"/>
      <c r="K9" s="227"/>
      <c r="L9" s="227"/>
      <c r="M9" s="227"/>
    </row>
    <row r="10" spans="1:13" x14ac:dyDescent="0.35">
      <c r="A10" s="1"/>
      <c r="B10" s="10"/>
      <c r="C10" s="9"/>
      <c r="D10" s="9"/>
      <c r="E10" s="9"/>
      <c r="F10" s="9"/>
      <c r="G10" s="9"/>
      <c r="H10" s="9"/>
      <c r="I10" s="9"/>
      <c r="J10" s="9"/>
      <c r="K10" s="9"/>
      <c r="L10" s="9"/>
      <c r="M10" s="9"/>
    </row>
    <row r="11" spans="1:13" ht="68.25" customHeight="1" x14ac:dyDescent="0.35">
      <c r="A11" s="1"/>
      <c r="B11" s="220" t="s">
        <v>419</v>
      </c>
      <c r="C11" s="220"/>
      <c r="D11" s="220"/>
      <c r="E11" s="220"/>
      <c r="F11" s="220"/>
      <c r="G11" s="220"/>
      <c r="H11" s="220"/>
      <c r="I11" s="220"/>
      <c r="J11" s="220"/>
      <c r="K11" s="220"/>
      <c r="L11" s="9"/>
      <c r="M11" s="9"/>
    </row>
    <row r="12" spans="1:13" x14ac:dyDescent="0.35">
      <c r="A12" s="1"/>
      <c r="B12" s="55" t="s">
        <v>296</v>
      </c>
      <c r="C12" s="10"/>
      <c r="D12" s="10"/>
      <c r="E12" s="10"/>
      <c r="F12" s="9"/>
      <c r="G12" s="9"/>
      <c r="H12" s="9"/>
      <c r="I12" s="9"/>
      <c r="J12" s="9"/>
      <c r="K12" s="9"/>
      <c r="L12" s="9"/>
      <c r="M12" s="9"/>
    </row>
    <row r="13" spans="1:13" x14ac:dyDescent="0.35">
      <c r="A13" s="1"/>
      <c r="B13" s="57" t="s">
        <v>297</v>
      </c>
      <c r="C13" s="57" t="s">
        <v>298</v>
      </c>
      <c r="D13" s="57" t="s">
        <v>299</v>
      </c>
      <c r="E13" s="56"/>
      <c r="F13" s="44"/>
      <c r="G13" s="9"/>
      <c r="H13" s="9"/>
      <c r="I13" s="9"/>
      <c r="J13" s="9"/>
      <c r="K13" s="9"/>
      <c r="L13" s="9"/>
      <c r="M13" s="9"/>
    </row>
    <row r="14" spans="1:13" x14ac:dyDescent="0.35">
      <c r="A14" s="1"/>
      <c r="B14" s="58">
        <v>45901</v>
      </c>
      <c r="C14" s="59" t="s">
        <v>342</v>
      </c>
      <c r="D14" s="59" t="s">
        <v>373</v>
      </c>
      <c r="E14" s="44"/>
      <c r="F14" s="44"/>
      <c r="G14" s="9"/>
      <c r="H14" s="9"/>
      <c r="I14" s="9"/>
      <c r="J14" s="9"/>
      <c r="K14" s="9"/>
      <c r="L14" s="9"/>
      <c r="M14" s="9"/>
    </row>
    <row r="15" spans="1:13" x14ac:dyDescent="0.35">
      <c r="A15" s="1"/>
      <c r="B15" s="58">
        <v>45992</v>
      </c>
      <c r="C15" s="59" t="s">
        <v>343</v>
      </c>
      <c r="D15" s="59" t="s">
        <v>345</v>
      </c>
      <c r="E15" s="44"/>
      <c r="F15" s="44"/>
      <c r="G15" s="9"/>
      <c r="H15" s="9"/>
      <c r="I15" s="9"/>
      <c r="J15" s="9"/>
      <c r="K15" s="9"/>
      <c r="L15" s="9"/>
      <c r="M15" s="9"/>
    </row>
    <row r="16" spans="1:13" x14ac:dyDescent="0.35">
      <c r="A16" s="1"/>
      <c r="B16" s="58">
        <v>46082</v>
      </c>
      <c r="C16" s="59" t="s">
        <v>348</v>
      </c>
      <c r="D16" s="59" t="s">
        <v>346</v>
      </c>
      <c r="E16" s="44"/>
      <c r="F16" s="44"/>
      <c r="G16" s="9"/>
      <c r="H16" s="9"/>
      <c r="I16" s="9"/>
      <c r="J16" s="9"/>
      <c r="K16" s="9"/>
      <c r="L16" s="9"/>
      <c r="M16" s="9"/>
    </row>
    <row r="17" spans="1:13" x14ac:dyDescent="0.35">
      <c r="A17" s="1"/>
      <c r="B17" s="58">
        <v>46174</v>
      </c>
      <c r="C17" s="59" t="s">
        <v>344</v>
      </c>
      <c r="D17" s="59" t="s">
        <v>347</v>
      </c>
      <c r="E17" s="44"/>
      <c r="F17" s="44"/>
      <c r="G17" s="9"/>
      <c r="H17" s="9"/>
      <c r="I17" s="9"/>
      <c r="J17" s="9"/>
      <c r="K17" s="9"/>
      <c r="L17" s="9"/>
      <c r="M17" s="9"/>
    </row>
    <row r="18" spans="1:13" x14ac:dyDescent="0.35">
      <c r="A18" s="1"/>
      <c r="B18" s="44"/>
      <c r="C18" s="54"/>
      <c r="D18" s="54"/>
      <c r="E18" s="54"/>
      <c r="F18" s="54"/>
      <c r="G18" s="9"/>
      <c r="H18" s="9"/>
      <c r="I18" s="9"/>
      <c r="J18" s="9"/>
      <c r="K18" s="9"/>
      <c r="L18" s="9"/>
      <c r="M18" s="9"/>
    </row>
    <row r="19" spans="1:13" x14ac:dyDescent="0.35">
      <c r="A19" s="1"/>
      <c r="B19" s="167" t="s">
        <v>417</v>
      </c>
      <c r="C19" s="54"/>
      <c r="D19" s="54"/>
      <c r="E19" s="54"/>
      <c r="F19" s="54"/>
      <c r="G19" s="9"/>
      <c r="H19" s="9"/>
      <c r="I19" s="9"/>
      <c r="J19" s="9"/>
      <c r="K19" s="9"/>
      <c r="L19" s="9"/>
      <c r="M19" s="9"/>
    </row>
    <row r="20" spans="1:13" x14ac:dyDescent="0.35">
      <c r="A20" s="1"/>
      <c r="B20" s="44"/>
      <c r="C20" s="54"/>
      <c r="D20" s="54"/>
      <c r="E20" s="54"/>
      <c r="F20" s="54"/>
      <c r="G20" s="9"/>
      <c r="H20" s="9"/>
      <c r="I20" s="9"/>
      <c r="J20" s="9"/>
      <c r="K20" s="9"/>
      <c r="L20" s="9"/>
      <c r="M20" s="9"/>
    </row>
    <row r="21" spans="1:13" x14ac:dyDescent="0.35">
      <c r="A21" s="1"/>
      <c r="B21" s="60" t="s">
        <v>300</v>
      </c>
      <c r="C21" s="61"/>
      <c r="D21" s="54"/>
      <c r="E21" s="54"/>
      <c r="F21" s="54"/>
      <c r="G21" s="9"/>
      <c r="H21" s="9"/>
      <c r="I21" s="9"/>
      <c r="J21" s="9"/>
      <c r="K21" s="9"/>
      <c r="L21" s="9"/>
      <c r="M21" s="9"/>
    </row>
    <row r="22" spans="1:13" x14ac:dyDescent="0.35">
      <c r="A22" s="1"/>
      <c r="B22" s="60" t="s">
        <v>301</v>
      </c>
      <c r="C22" s="60" t="s">
        <v>302</v>
      </c>
      <c r="D22" s="54"/>
      <c r="E22" s="54"/>
      <c r="F22" s="54"/>
      <c r="G22" s="9"/>
      <c r="H22" s="9"/>
      <c r="I22" s="9"/>
      <c r="J22" s="9"/>
      <c r="K22" s="9"/>
      <c r="L22" s="9"/>
      <c r="M22" s="9"/>
    </row>
    <row r="23" spans="1:13" ht="16" thickBot="1" x14ac:dyDescent="0.4">
      <c r="A23" s="1"/>
      <c r="B23" s="133" t="s">
        <v>559</v>
      </c>
      <c r="C23" s="209">
        <v>0</v>
      </c>
      <c r="D23" s="54"/>
      <c r="E23" s="54"/>
      <c r="F23" s="54"/>
      <c r="G23" s="9"/>
      <c r="H23" s="9"/>
      <c r="I23" s="9"/>
      <c r="J23" s="9"/>
      <c r="K23" s="9"/>
      <c r="L23" s="9"/>
      <c r="M23" s="9"/>
    </row>
    <row r="24" spans="1:13" ht="16" thickBot="1" x14ac:dyDescent="0.4">
      <c r="A24" s="1"/>
      <c r="B24" s="133" t="s">
        <v>560</v>
      </c>
      <c r="C24" s="209">
        <v>0.01</v>
      </c>
      <c r="D24" s="54"/>
      <c r="E24" s="54"/>
      <c r="F24" s="54"/>
      <c r="G24" s="9"/>
      <c r="H24" s="9"/>
      <c r="I24" s="9"/>
      <c r="J24" s="9"/>
      <c r="K24" s="9"/>
      <c r="L24" s="9"/>
      <c r="M24" s="9"/>
    </row>
    <row r="25" spans="1:13" ht="16" thickBot="1" x14ac:dyDescent="0.4">
      <c r="A25" s="1"/>
      <c r="B25" s="133" t="s">
        <v>562</v>
      </c>
      <c r="C25" s="209">
        <v>1.4999999999999999E-2</v>
      </c>
      <c r="D25" s="54"/>
      <c r="E25" s="54"/>
      <c r="F25" s="54"/>
      <c r="G25" s="9"/>
      <c r="H25" s="9"/>
      <c r="I25" s="9"/>
      <c r="J25" s="9"/>
      <c r="K25" s="9"/>
      <c r="L25" s="9"/>
      <c r="M25" s="9"/>
    </row>
    <row r="26" spans="1:13" ht="16" thickBot="1" x14ac:dyDescent="0.4">
      <c r="A26" s="1"/>
      <c r="B26" s="133" t="s">
        <v>563</v>
      </c>
      <c r="C26" s="209">
        <v>0.02</v>
      </c>
      <c r="D26" s="9"/>
      <c r="E26" s="9"/>
      <c r="F26" s="9"/>
      <c r="G26" s="9"/>
      <c r="H26" s="44"/>
      <c r="I26" s="44"/>
      <c r="J26" s="54"/>
      <c r="K26" s="54"/>
      <c r="L26" s="9"/>
      <c r="M26" s="9"/>
    </row>
    <row r="27" spans="1:13" ht="16" thickBot="1" x14ac:dyDescent="0.4">
      <c r="A27" s="1"/>
      <c r="B27" s="133" t="s">
        <v>564</v>
      </c>
      <c r="C27" s="209">
        <v>2.5000000000000001E-2</v>
      </c>
      <c r="D27" s="9"/>
      <c r="E27" s="9"/>
      <c r="F27" s="9"/>
      <c r="G27" s="9"/>
      <c r="H27" s="44"/>
      <c r="I27" s="44"/>
      <c r="J27" s="54"/>
      <c r="K27" s="54"/>
      <c r="L27" s="9"/>
      <c r="M27" s="9"/>
    </row>
    <row r="28" spans="1:13" ht="16" thickBot="1" x14ac:dyDescent="0.4">
      <c r="A28" s="1"/>
      <c r="B28" s="133" t="s">
        <v>561</v>
      </c>
      <c r="C28" s="209">
        <v>3.5000000000000003E-2</v>
      </c>
      <c r="D28" s="9"/>
      <c r="E28" s="9"/>
      <c r="F28" s="9"/>
      <c r="G28" s="9"/>
      <c r="H28" s="44"/>
      <c r="I28" s="44"/>
      <c r="J28" s="54"/>
      <c r="K28" s="54"/>
      <c r="L28" s="9"/>
      <c r="M28" s="9"/>
    </row>
    <row r="29" spans="1:13" x14ac:dyDescent="0.35">
      <c r="A29" s="1"/>
      <c r="B29" s="9"/>
      <c r="C29" s="9"/>
      <c r="D29" s="9"/>
      <c r="E29" s="9"/>
      <c r="F29" s="9"/>
      <c r="G29" s="9"/>
      <c r="H29" s="44"/>
      <c r="I29" s="44"/>
      <c r="J29" s="54"/>
      <c r="K29" s="54"/>
      <c r="L29" s="28"/>
      <c r="M29" s="28"/>
    </row>
    <row r="30" spans="1:13" x14ac:dyDescent="0.35">
      <c r="B30" s="16"/>
      <c r="C30" s="16"/>
      <c r="D30" s="16"/>
      <c r="E30" s="16"/>
      <c r="F30" s="18"/>
      <c r="G30" s="18"/>
      <c r="H30" s="18"/>
      <c r="I30" s="18"/>
      <c r="J30" s="18"/>
      <c r="K30" s="17"/>
      <c r="L30" s="17"/>
      <c r="M30" s="9"/>
    </row>
    <row r="31" spans="1:13" ht="15" customHeight="1" x14ac:dyDescent="0.35">
      <c r="B31" s="239" t="s">
        <v>152</v>
      </c>
      <c r="C31" s="239"/>
      <c r="D31" s="239"/>
      <c r="E31" s="239"/>
      <c r="F31" s="239"/>
      <c r="G31" s="239"/>
      <c r="H31" s="239"/>
      <c r="I31" s="239"/>
      <c r="J31" s="239"/>
      <c r="K31" s="239"/>
      <c r="L31" s="239"/>
      <c r="M31" s="9"/>
    </row>
    <row r="32" spans="1:13" ht="84" customHeight="1" x14ac:dyDescent="0.35">
      <c r="B32" s="245"/>
      <c r="C32" s="246"/>
      <c r="D32" s="246"/>
      <c r="E32" s="246"/>
      <c r="F32" s="246"/>
      <c r="G32" s="246"/>
      <c r="H32" s="246"/>
      <c r="I32" s="246"/>
      <c r="J32" s="246"/>
      <c r="K32" s="246"/>
      <c r="L32" s="247"/>
      <c r="M32" s="9"/>
    </row>
    <row r="33" spans="1:88" x14ac:dyDescent="0.35">
      <c r="B33" s="9"/>
      <c r="C33" s="9"/>
      <c r="D33" s="9"/>
      <c r="E33" s="9"/>
      <c r="F33" s="9"/>
      <c r="G33" s="9"/>
      <c r="H33" s="9"/>
      <c r="I33" s="9"/>
      <c r="J33" s="9"/>
      <c r="K33" s="9"/>
      <c r="L33" s="9"/>
      <c r="M33" s="9"/>
    </row>
    <row r="34" spans="1:88" x14ac:dyDescent="0.35">
      <c r="B34" s="164" t="s">
        <v>404</v>
      </c>
      <c r="C34" s="165"/>
      <c r="D34" s="165"/>
      <c r="E34" s="165"/>
      <c r="F34" s="165"/>
      <c r="G34" s="165"/>
      <c r="H34" s="165"/>
      <c r="I34" s="165"/>
      <c r="J34" s="165"/>
      <c r="K34" s="9"/>
      <c r="L34" s="9"/>
      <c r="M34" s="9"/>
    </row>
    <row r="35" spans="1:88" customFormat="1" ht="21" customHeight="1" x14ac:dyDescent="0.35">
      <c r="A35" s="45"/>
      <c r="B35" s="267" t="s">
        <v>350</v>
      </c>
      <c r="C35" s="267"/>
      <c r="D35" s="267"/>
      <c r="E35" s="168"/>
      <c r="F35" s="168"/>
      <c r="G35" s="168"/>
      <c r="H35" s="168"/>
      <c r="I35" s="143"/>
      <c r="J35" s="143"/>
      <c r="K35" s="144"/>
      <c r="L35" s="144"/>
      <c r="M35" s="144"/>
      <c r="N35" s="144"/>
      <c r="O35" s="144"/>
      <c r="P35" s="144"/>
      <c r="Q35" s="144"/>
      <c r="R35" s="144"/>
      <c r="S35" s="144"/>
      <c r="T35" s="144"/>
      <c r="U35" s="144"/>
      <c r="V35" s="144"/>
      <c r="W35" s="144"/>
      <c r="X35" s="144"/>
      <c r="Y35" s="144"/>
      <c r="Z35" s="144"/>
      <c r="AA35" s="144"/>
      <c r="AB35" s="144"/>
      <c r="AC35" s="144"/>
      <c r="AD35" s="144"/>
      <c r="AE35" s="144"/>
      <c r="AF35" s="144"/>
      <c r="AG35" s="144"/>
      <c r="AH35" s="144"/>
      <c r="AI35" s="144"/>
      <c r="AJ35" s="144"/>
      <c r="AK35" s="144"/>
      <c r="AL35" s="144"/>
      <c r="AM35" s="144"/>
      <c r="AN35" s="144"/>
      <c r="AO35" s="144"/>
      <c r="AP35" s="144"/>
      <c r="AQ35" s="144"/>
      <c r="AR35" s="144"/>
      <c r="AS35" s="144"/>
      <c r="AT35" s="144"/>
      <c r="AU35" s="144"/>
      <c r="AV35" s="144"/>
      <c r="AW35" s="144"/>
      <c r="AX35" s="144"/>
      <c r="AY35" s="144"/>
      <c r="AZ35" s="144"/>
      <c r="BA35" s="144"/>
      <c r="BB35" s="144"/>
      <c r="BC35" s="144"/>
      <c r="BD35" s="144"/>
      <c r="BE35" s="144"/>
      <c r="BF35" s="144"/>
      <c r="BG35" s="144"/>
      <c r="BH35" s="144"/>
      <c r="BI35" s="144"/>
      <c r="BJ35" s="144"/>
      <c r="BK35" s="144"/>
      <c r="BL35" s="144"/>
      <c r="BM35" s="144"/>
      <c r="BN35" s="45"/>
      <c r="BO35" s="45"/>
      <c r="BP35" s="45"/>
      <c r="BQ35" s="45"/>
      <c r="BR35" s="45"/>
      <c r="BS35" s="45"/>
      <c r="BT35" s="45"/>
      <c r="BU35" s="45"/>
      <c r="BV35" s="45"/>
      <c r="BW35" s="45"/>
      <c r="BX35" s="45"/>
      <c r="BY35" s="45"/>
      <c r="BZ35" s="45"/>
      <c r="CA35" s="45"/>
      <c r="CB35" s="45"/>
      <c r="CC35" s="45"/>
      <c r="CD35" s="45"/>
      <c r="CE35" s="45"/>
      <c r="CF35" s="45"/>
      <c r="CG35" s="45"/>
      <c r="CH35" s="45"/>
      <c r="CI35" s="45"/>
      <c r="CJ35" s="45"/>
    </row>
    <row r="36" spans="1:88" customFormat="1" x14ac:dyDescent="0.35">
      <c r="A36" s="45"/>
      <c r="B36" s="268" t="s">
        <v>406</v>
      </c>
      <c r="C36" s="268"/>
      <c r="D36" s="268"/>
      <c r="E36" s="182"/>
      <c r="F36" s="143"/>
      <c r="G36" s="143"/>
      <c r="H36" s="143"/>
      <c r="I36" s="143"/>
      <c r="J36" s="143"/>
      <c r="K36" s="144"/>
      <c r="L36" s="144"/>
      <c r="M36" s="144"/>
      <c r="N36" s="144"/>
      <c r="O36" s="144"/>
      <c r="P36" s="144"/>
      <c r="Q36" s="144"/>
      <c r="R36" s="144"/>
      <c r="S36" s="144"/>
      <c r="T36" s="144"/>
      <c r="U36" s="144"/>
      <c r="V36" s="144"/>
      <c r="W36" s="144"/>
      <c r="X36" s="144"/>
      <c r="Y36" s="144"/>
      <c r="Z36" s="144"/>
      <c r="AA36" s="144"/>
      <c r="AB36" s="144"/>
      <c r="AC36" s="144"/>
      <c r="AD36" s="144"/>
      <c r="AE36" s="144"/>
      <c r="AF36" s="144"/>
      <c r="AG36" s="144"/>
      <c r="AH36" s="144"/>
      <c r="AI36" s="144"/>
      <c r="AJ36" s="144"/>
      <c r="AK36" s="144"/>
      <c r="AL36" s="144"/>
      <c r="AM36" s="144"/>
      <c r="AN36" s="144"/>
      <c r="AO36" s="144"/>
      <c r="AP36" s="144"/>
      <c r="AQ36" s="144"/>
      <c r="AR36" s="144"/>
      <c r="AS36" s="144"/>
      <c r="AT36" s="144"/>
      <c r="AU36" s="144"/>
      <c r="AV36" s="144"/>
      <c r="AW36" s="144"/>
      <c r="AX36" s="144"/>
      <c r="AY36" s="144"/>
      <c r="AZ36" s="144"/>
      <c r="BA36" s="144"/>
      <c r="BB36" s="144"/>
      <c r="BC36" s="144"/>
      <c r="BD36" s="144"/>
      <c r="BE36" s="144"/>
      <c r="BF36" s="144"/>
      <c r="BG36" s="144"/>
      <c r="BH36" s="144"/>
      <c r="BI36" s="144"/>
      <c r="BJ36" s="144"/>
      <c r="BK36" s="144"/>
      <c r="BL36" s="144"/>
      <c r="BM36" s="144"/>
      <c r="BN36" s="45"/>
      <c r="BO36" s="45"/>
      <c r="BP36" s="45"/>
      <c r="BQ36" s="45"/>
      <c r="BR36" s="45"/>
      <c r="BS36" s="45"/>
      <c r="BT36" s="45"/>
      <c r="BU36" s="45"/>
      <c r="BV36" s="45"/>
      <c r="BW36" s="45"/>
      <c r="BX36" s="45"/>
      <c r="BY36" s="45"/>
      <c r="BZ36" s="45"/>
      <c r="CA36" s="45"/>
      <c r="CB36" s="45"/>
      <c r="CC36" s="45"/>
      <c r="CD36" s="45"/>
      <c r="CE36" s="45"/>
      <c r="CF36" s="45"/>
      <c r="CG36" s="45"/>
      <c r="CH36" s="45"/>
      <c r="CI36" s="45"/>
      <c r="CJ36" s="45"/>
    </row>
    <row r="37" spans="1:88" customFormat="1" ht="79.5" customHeight="1" x14ac:dyDescent="0.35">
      <c r="A37" s="45"/>
      <c r="B37" s="268" t="s">
        <v>407</v>
      </c>
      <c r="C37" s="268"/>
      <c r="D37" s="268"/>
      <c r="E37" s="182"/>
      <c r="F37" s="143"/>
      <c r="G37" s="143"/>
      <c r="H37" s="143"/>
      <c r="I37" s="143"/>
      <c r="J37" s="143"/>
      <c r="K37" s="144"/>
      <c r="L37" s="144"/>
      <c r="M37" s="144"/>
      <c r="N37" s="144"/>
      <c r="O37" s="144"/>
      <c r="P37" s="144"/>
      <c r="Q37" s="144"/>
      <c r="R37" s="144"/>
      <c r="S37" s="144"/>
      <c r="T37" s="144"/>
      <c r="U37" s="144"/>
      <c r="V37" s="144"/>
      <c r="W37" s="144"/>
      <c r="X37" s="144"/>
      <c r="Y37" s="144"/>
      <c r="Z37" s="144"/>
      <c r="AA37" s="144"/>
      <c r="AB37" s="144"/>
      <c r="AC37" s="144"/>
      <c r="AD37" s="144"/>
      <c r="AE37" s="144"/>
      <c r="AF37" s="144"/>
      <c r="AG37" s="144"/>
      <c r="AH37" s="144"/>
      <c r="AI37" s="144"/>
      <c r="AJ37" s="144"/>
      <c r="AK37" s="144"/>
      <c r="AL37" s="144"/>
      <c r="AM37" s="144"/>
      <c r="AN37" s="144"/>
      <c r="AO37" s="144"/>
      <c r="AP37" s="144"/>
      <c r="AQ37" s="144"/>
      <c r="AR37" s="144"/>
      <c r="AS37" s="144"/>
      <c r="AT37" s="144"/>
      <c r="AU37" s="144"/>
      <c r="AV37" s="144"/>
      <c r="AW37" s="144"/>
      <c r="AX37" s="144"/>
      <c r="AY37" s="144"/>
      <c r="AZ37" s="144"/>
      <c r="BA37" s="144"/>
      <c r="BB37" s="144"/>
      <c r="BC37" s="144"/>
      <c r="BD37" s="144"/>
      <c r="BE37" s="144"/>
      <c r="BF37" s="144"/>
      <c r="BG37" s="144"/>
      <c r="BH37" s="144"/>
      <c r="BI37" s="144"/>
      <c r="BJ37" s="144"/>
      <c r="BK37" s="144"/>
      <c r="BL37" s="144"/>
      <c r="BM37" s="144"/>
      <c r="BN37" s="45"/>
      <c r="BO37" s="45"/>
      <c r="BP37" s="45"/>
      <c r="BQ37" s="45"/>
      <c r="BR37" s="45"/>
      <c r="BS37" s="45"/>
      <c r="BT37" s="45"/>
      <c r="BU37" s="45"/>
      <c r="BV37" s="45"/>
      <c r="BW37" s="45"/>
      <c r="BX37" s="45"/>
      <c r="BY37" s="45"/>
      <c r="BZ37" s="45"/>
      <c r="CA37" s="45"/>
      <c r="CB37" s="45"/>
      <c r="CC37" s="45"/>
      <c r="CD37" s="45"/>
      <c r="CE37" s="45"/>
      <c r="CF37" s="45"/>
      <c r="CG37" s="45"/>
      <c r="CH37" s="45"/>
      <c r="CI37" s="45"/>
      <c r="CJ37" s="45"/>
    </row>
    <row r="38" spans="1:88" customFormat="1" ht="18" customHeight="1" x14ac:dyDescent="0.35">
      <c r="A38" s="45"/>
      <c r="B38" s="268" t="s">
        <v>340</v>
      </c>
      <c r="C38" s="268"/>
      <c r="D38" s="268"/>
      <c r="E38" s="182"/>
      <c r="F38" s="143"/>
      <c r="G38" s="143"/>
      <c r="H38" s="143"/>
      <c r="I38" s="143"/>
      <c r="J38" s="143"/>
      <c r="K38" s="144"/>
      <c r="L38" s="144"/>
      <c r="M38" s="144"/>
      <c r="N38" s="144"/>
      <c r="O38" s="144"/>
      <c r="P38" s="144"/>
      <c r="Q38" s="144"/>
      <c r="R38" s="144"/>
      <c r="S38" s="144"/>
      <c r="T38" s="144"/>
      <c r="U38" s="144"/>
      <c r="V38" s="144"/>
      <c r="W38" s="144"/>
      <c r="X38" s="144"/>
      <c r="Y38" s="144"/>
      <c r="Z38" s="144"/>
      <c r="AA38" s="144"/>
      <c r="AB38" s="144"/>
      <c r="AC38" s="144"/>
      <c r="AD38" s="144"/>
      <c r="AE38" s="144"/>
      <c r="AF38" s="144"/>
      <c r="AG38" s="144"/>
      <c r="AH38" s="144"/>
      <c r="AI38" s="144"/>
      <c r="AJ38" s="144"/>
      <c r="AK38" s="144"/>
      <c r="AL38" s="144"/>
      <c r="AM38" s="144"/>
      <c r="AN38" s="144"/>
      <c r="AO38" s="144"/>
      <c r="AP38" s="144"/>
      <c r="AQ38" s="144"/>
      <c r="AR38" s="144"/>
      <c r="AS38" s="144"/>
      <c r="AT38" s="144"/>
      <c r="AU38" s="144"/>
      <c r="AV38" s="144"/>
      <c r="AW38" s="144"/>
      <c r="AX38" s="144"/>
      <c r="AY38" s="144"/>
      <c r="AZ38" s="144"/>
      <c r="BA38" s="144"/>
      <c r="BB38" s="144"/>
      <c r="BC38" s="144"/>
      <c r="BD38" s="144"/>
      <c r="BE38" s="144"/>
      <c r="BF38" s="144"/>
      <c r="BG38" s="144"/>
      <c r="BH38" s="144"/>
      <c r="BI38" s="144"/>
      <c r="BJ38" s="144"/>
      <c r="BK38" s="144"/>
      <c r="BL38" s="144"/>
      <c r="BM38" s="144"/>
      <c r="BN38" s="45"/>
      <c r="BO38" s="45"/>
      <c r="BP38" s="45"/>
      <c r="BQ38" s="45"/>
      <c r="BR38" s="45"/>
      <c r="BS38" s="45"/>
      <c r="BT38" s="45"/>
      <c r="BU38" s="45"/>
      <c r="BV38" s="45"/>
      <c r="BW38" s="45"/>
      <c r="BX38" s="45"/>
      <c r="BY38" s="45"/>
      <c r="BZ38" s="45"/>
      <c r="CA38" s="45"/>
      <c r="CB38" s="45"/>
      <c r="CC38" s="45"/>
      <c r="CD38" s="45"/>
      <c r="CE38" s="45"/>
      <c r="CF38" s="45"/>
      <c r="CG38" s="45"/>
      <c r="CH38" s="45"/>
      <c r="CI38" s="45"/>
      <c r="CJ38" s="45"/>
    </row>
    <row r="39" spans="1:88" customFormat="1" ht="49.5" customHeight="1" x14ac:dyDescent="0.35">
      <c r="A39" s="45"/>
      <c r="B39" s="265" t="s">
        <v>403</v>
      </c>
      <c r="C39" s="265"/>
      <c r="D39" s="265"/>
      <c r="E39" s="183"/>
      <c r="F39" s="143"/>
      <c r="G39" s="143"/>
      <c r="H39" s="143"/>
      <c r="I39" s="143"/>
      <c r="J39" s="143"/>
      <c r="K39" s="144"/>
      <c r="L39" s="144"/>
      <c r="M39" s="144"/>
      <c r="N39" s="144"/>
      <c r="O39" s="144"/>
      <c r="P39" s="144"/>
      <c r="Q39" s="144"/>
      <c r="R39" s="144"/>
      <c r="S39" s="144"/>
      <c r="T39" s="144"/>
      <c r="U39" s="144"/>
      <c r="V39" s="144"/>
      <c r="W39" s="144"/>
      <c r="X39" s="144"/>
      <c r="Y39" s="144"/>
      <c r="Z39" s="144"/>
      <c r="AA39" s="144"/>
      <c r="AB39" s="144"/>
      <c r="AC39" s="144"/>
      <c r="AD39" s="144"/>
      <c r="AE39" s="144"/>
      <c r="AF39" s="144"/>
      <c r="AG39" s="144"/>
      <c r="AH39" s="144"/>
      <c r="AI39" s="144"/>
      <c r="AJ39" s="144"/>
      <c r="AK39" s="144"/>
      <c r="AL39" s="144"/>
      <c r="AM39" s="144"/>
      <c r="AN39" s="144"/>
      <c r="AO39" s="144"/>
      <c r="AP39" s="144"/>
      <c r="AQ39" s="144"/>
      <c r="AR39" s="144"/>
      <c r="AS39" s="144"/>
      <c r="AT39" s="144"/>
      <c r="AU39" s="144"/>
      <c r="AV39" s="144"/>
      <c r="AW39" s="144"/>
      <c r="AX39" s="144"/>
      <c r="AY39" s="144"/>
      <c r="AZ39" s="144"/>
      <c r="BA39" s="144"/>
      <c r="BB39" s="144"/>
      <c r="BC39" s="144"/>
      <c r="BD39" s="144"/>
      <c r="BE39" s="144"/>
      <c r="BF39" s="144"/>
      <c r="BG39" s="144"/>
      <c r="BH39" s="144"/>
      <c r="BI39" s="144"/>
      <c r="BJ39" s="144"/>
      <c r="BK39" s="144"/>
      <c r="BL39" s="144"/>
      <c r="BM39" s="144"/>
      <c r="BN39" s="45"/>
      <c r="BO39" s="45"/>
      <c r="BP39" s="45"/>
      <c r="BQ39" s="45"/>
      <c r="BR39" s="45"/>
      <c r="BS39" s="45"/>
      <c r="BT39" s="45"/>
      <c r="BU39" s="45"/>
      <c r="BV39" s="45"/>
      <c r="BW39" s="45"/>
      <c r="BX39" s="45"/>
      <c r="BY39" s="45"/>
      <c r="BZ39" s="45"/>
      <c r="CA39" s="45"/>
      <c r="CB39" s="45"/>
      <c r="CC39" s="45"/>
      <c r="CD39" s="45"/>
      <c r="CE39" s="45"/>
      <c r="CF39" s="45"/>
      <c r="CG39" s="45"/>
      <c r="CH39" s="45"/>
      <c r="CI39" s="45"/>
      <c r="CJ39" s="45"/>
    </row>
    <row r="40" spans="1:88" customFormat="1" ht="74.5" customHeight="1" x14ac:dyDescent="0.35">
      <c r="A40" s="45"/>
      <c r="B40" s="265" t="s">
        <v>341</v>
      </c>
      <c r="C40" s="265"/>
      <c r="D40" s="265"/>
      <c r="E40" s="183"/>
      <c r="F40" s="143"/>
      <c r="G40" s="143"/>
      <c r="H40" s="143"/>
      <c r="I40" s="143"/>
      <c r="J40" s="143"/>
      <c r="K40" s="144"/>
      <c r="L40" s="144"/>
      <c r="M40" s="144"/>
      <c r="N40" s="144"/>
      <c r="O40" s="144"/>
      <c r="P40" s="144"/>
      <c r="Q40" s="144"/>
      <c r="R40" s="144"/>
      <c r="S40" s="144"/>
      <c r="T40" s="144"/>
      <c r="U40" s="144"/>
      <c r="V40" s="144"/>
      <c r="W40" s="144"/>
      <c r="X40" s="144"/>
      <c r="Y40" s="144"/>
      <c r="Z40" s="144"/>
      <c r="AA40" s="144"/>
      <c r="AB40" s="144"/>
      <c r="AC40" s="144"/>
      <c r="AD40" s="144"/>
      <c r="AE40" s="144"/>
      <c r="AF40" s="144"/>
      <c r="AG40" s="144"/>
      <c r="AH40" s="144"/>
      <c r="AI40" s="144"/>
      <c r="AJ40" s="144"/>
      <c r="AK40" s="144"/>
      <c r="AL40" s="144"/>
      <c r="AM40" s="144"/>
      <c r="AN40" s="144"/>
      <c r="AO40" s="144"/>
      <c r="AP40" s="144"/>
      <c r="AQ40" s="144"/>
      <c r="AR40" s="144"/>
      <c r="AS40" s="144"/>
      <c r="AT40" s="144"/>
      <c r="AU40" s="144"/>
      <c r="AV40" s="144"/>
      <c r="AW40" s="144"/>
      <c r="AX40" s="144"/>
      <c r="AY40" s="144"/>
      <c r="AZ40" s="144"/>
      <c r="BA40" s="144"/>
      <c r="BB40" s="144"/>
      <c r="BC40" s="144"/>
      <c r="BD40" s="144"/>
      <c r="BE40" s="144"/>
      <c r="BF40" s="144"/>
      <c r="BG40" s="144"/>
      <c r="BH40" s="144"/>
      <c r="BI40" s="144"/>
      <c r="BJ40" s="144"/>
      <c r="BK40" s="144"/>
      <c r="BL40" s="144"/>
      <c r="BM40" s="144"/>
      <c r="BN40" s="45"/>
      <c r="BO40" s="45"/>
      <c r="BP40" s="45"/>
      <c r="BQ40" s="45"/>
      <c r="BR40" s="45"/>
      <c r="BS40" s="45"/>
      <c r="BT40" s="45"/>
      <c r="BU40" s="45"/>
      <c r="BV40" s="45"/>
      <c r="BW40" s="45"/>
      <c r="BX40" s="45"/>
      <c r="BY40" s="45"/>
      <c r="BZ40" s="45"/>
      <c r="CA40" s="45"/>
      <c r="CB40" s="45"/>
      <c r="CC40" s="45"/>
      <c r="CD40" s="45"/>
      <c r="CE40" s="45"/>
      <c r="CF40" s="45"/>
      <c r="CG40" s="45"/>
      <c r="CH40" s="45"/>
      <c r="CI40" s="45"/>
      <c r="CJ40" s="45"/>
    </row>
    <row r="41" spans="1:88" customFormat="1" ht="90.65" customHeight="1" x14ac:dyDescent="0.35">
      <c r="A41" s="45"/>
      <c r="B41" s="266" t="s">
        <v>402</v>
      </c>
      <c r="C41" s="266"/>
      <c r="D41" s="266"/>
      <c r="E41" s="154"/>
      <c r="F41" s="143"/>
      <c r="G41" s="143"/>
      <c r="H41" s="143"/>
      <c r="I41" s="143"/>
      <c r="J41" s="143"/>
      <c r="K41" s="144"/>
      <c r="L41" s="144"/>
      <c r="M41" s="144"/>
      <c r="N41" s="144"/>
      <c r="O41" s="144"/>
      <c r="P41" s="144"/>
      <c r="Q41" s="144"/>
      <c r="R41" s="144"/>
      <c r="S41" s="144"/>
      <c r="T41" s="144"/>
      <c r="U41" s="144"/>
      <c r="V41" s="144"/>
      <c r="W41" s="144"/>
      <c r="X41" s="144"/>
      <c r="Y41" s="144"/>
      <c r="Z41" s="144"/>
      <c r="AA41" s="144"/>
      <c r="AB41" s="144"/>
      <c r="AC41" s="144"/>
      <c r="AD41" s="144"/>
      <c r="AE41" s="144"/>
      <c r="AF41" s="144"/>
      <c r="AG41" s="144"/>
      <c r="AH41" s="144"/>
      <c r="AI41" s="144"/>
      <c r="AJ41" s="144"/>
      <c r="AK41" s="144"/>
      <c r="AL41" s="144"/>
      <c r="AM41" s="144"/>
      <c r="AN41" s="144"/>
      <c r="AO41" s="144"/>
      <c r="AP41" s="144"/>
      <c r="AQ41" s="144"/>
      <c r="AR41" s="144"/>
      <c r="AS41" s="144"/>
      <c r="AT41" s="144"/>
      <c r="AU41" s="144"/>
      <c r="AV41" s="144"/>
      <c r="AW41" s="144"/>
      <c r="AX41" s="144"/>
      <c r="AY41" s="144"/>
      <c r="AZ41" s="144"/>
      <c r="BA41" s="144"/>
      <c r="BB41" s="144"/>
      <c r="BC41" s="144"/>
      <c r="BD41" s="144"/>
      <c r="BE41" s="144"/>
      <c r="BF41" s="144"/>
      <c r="BG41" s="144"/>
      <c r="BH41" s="144"/>
      <c r="BI41" s="144"/>
      <c r="BJ41" s="144"/>
      <c r="BK41" s="144"/>
      <c r="BL41" s="144"/>
      <c r="BM41" s="144"/>
      <c r="BN41" s="45"/>
      <c r="BO41" s="45"/>
      <c r="BP41" s="45"/>
      <c r="BQ41" s="45"/>
      <c r="BR41" s="45"/>
      <c r="BS41" s="45"/>
      <c r="BT41" s="45"/>
      <c r="BU41" s="45"/>
      <c r="BV41" s="45"/>
      <c r="BW41" s="45"/>
      <c r="BX41" s="45"/>
      <c r="BY41" s="45"/>
      <c r="BZ41" s="45"/>
      <c r="CA41" s="45"/>
      <c r="CB41" s="45"/>
      <c r="CC41" s="45"/>
      <c r="CD41" s="45"/>
      <c r="CE41" s="45"/>
      <c r="CF41" s="45"/>
      <c r="CG41" s="45"/>
      <c r="CH41" s="45"/>
      <c r="CI41" s="45"/>
      <c r="CJ41" s="45"/>
    </row>
    <row r="42" spans="1:88" x14ac:dyDescent="0.35">
      <c r="B42" s="19"/>
      <c r="C42" s="19"/>
      <c r="D42" s="19"/>
      <c r="E42" s="19"/>
      <c r="F42" s="19"/>
      <c r="G42" s="19"/>
      <c r="H42" s="19"/>
      <c r="I42" s="19"/>
      <c r="J42" s="19"/>
      <c r="K42" s="19"/>
      <c r="L42" s="19"/>
      <c r="M42" s="19"/>
    </row>
    <row r="43" spans="1:88" x14ac:dyDescent="0.35">
      <c r="B43" s="19"/>
      <c r="C43" s="19"/>
      <c r="D43" s="19"/>
      <c r="E43" s="19"/>
      <c r="F43" s="19"/>
      <c r="G43" s="19"/>
      <c r="H43" s="19"/>
      <c r="I43" s="19"/>
      <c r="J43" s="19"/>
      <c r="K43" s="19"/>
      <c r="L43" s="19"/>
      <c r="M43" s="19"/>
    </row>
    <row r="44" spans="1:88" x14ac:dyDescent="0.35">
      <c r="B44" s="19"/>
      <c r="C44" s="19"/>
      <c r="D44" s="19"/>
      <c r="E44" s="19"/>
      <c r="F44" s="19"/>
      <c r="G44" s="19"/>
      <c r="H44" s="19"/>
      <c r="I44" s="19"/>
      <c r="J44" s="19"/>
      <c r="K44" s="19"/>
      <c r="L44" s="19"/>
      <c r="M44" s="19"/>
    </row>
    <row r="45" spans="1:88" x14ac:dyDescent="0.35">
      <c r="B45" s="19"/>
      <c r="C45" s="19"/>
      <c r="D45" s="19"/>
      <c r="E45" s="19"/>
      <c r="F45" s="19"/>
      <c r="G45" s="19"/>
      <c r="H45" s="19"/>
      <c r="I45" s="19"/>
      <c r="J45" s="19"/>
      <c r="K45" s="19"/>
      <c r="L45" s="19"/>
      <c r="M45" s="19"/>
    </row>
    <row r="46" spans="1:88" x14ac:dyDescent="0.35">
      <c r="B46" s="19"/>
      <c r="C46" s="19"/>
      <c r="D46" s="19"/>
      <c r="E46" s="19"/>
      <c r="F46" s="19"/>
      <c r="G46" s="19"/>
      <c r="H46" s="19"/>
      <c r="I46" s="19"/>
      <c r="J46" s="19"/>
      <c r="K46" s="19"/>
      <c r="L46" s="19"/>
      <c r="M46" s="19"/>
    </row>
    <row r="47" spans="1:88" x14ac:dyDescent="0.35">
      <c r="B47" s="19"/>
      <c r="C47" s="19"/>
      <c r="D47" s="19"/>
      <c r="E47" s="19"/>
      <c r="F47" s="19"/>
      <c r="G47" s="19"/>
      <c r="H47" s="19"/>
      <c r="I47" s="19"/>
      <c r="J47" s="19"/>
      <c r="K47" s="19"/>
      <c r="L47" s="19"/>
      <c r="M47" s="19"/>
    </row>
    <row r="48" spans="1:88" x14ac:dyDescent="0.35">
      <c r="B48" s="19"/>
      <c r="C48" s="19"/>
      <c r="D48" s="19"/>
      <c r="E48" s="19"/>
      <c r="F48" s="19"/>
      <c r="G48" s="19"/>
      <c r="H48" s="19"/>
      <c r="I48" s="19"/>
      <c r="J48" s="19"/>
      <c r="K48" s="19"/>
      <c r="L48" s="19"/>
      <c r="M48" s="19"/>
    </row>
    <row r="49" spans="2:13" x14ac:dyDescent="0.35">
      <c r="B49" s="19"/>
      <c r="C49" s="19"/>
      <c r="D49" s="19"/>
      <c r="E49" s="19"/>
      <c r="F49" s="19"/>
      <c r="G49" s="19"/>
      <c r="H49" s="19"/>
      <c r="I49" s="19"/>
      <c r="J49" s="19"/>
      <c r="K49" s="19"/>
      <c r="L49" s="19"/>
      <c r="M49" s="19"/>
    </row>
    <row r="50" spans="2:13" x14ac:dyDescent="0.35">
      <c r="B50" s="19"/>
      <c r="C50" s="19"/>
      <c r="D50" s="19"/>
      <c r="E50" s="19"/>
      <c r="F50" s="19"/>
      <c r="G50" s="19"/>
      <c r="H50" s="19"/>
      <c r="I50" s="19"/>
      <c r="J50" s="19"/>
      <c r="K50" s="19"/>
      <c r="L50" s="19"/>
      <c r="M50" s="19"/>
    </row>
    <row r="51" spans="2:13" x14ac:dyDescent="0.35">
      <c r="B51" s="19"/>
      <c r="C51" s="19"/>
      <c r="D51" s="19"/>
      <c r="E51" s="19"/>
      <c r="F51" s="19"/>
      <c r="G51" s="19"/>
      <c r="H51" s="19"/>
      <c r="I51" s="19"/>
      <c r="J51" s="19"/>
      <c r="K51" s="19"/>
      <c r="L51" s="19"/>
      <c r="M51" s="19"/>
    </row>
    <row r="52" spans="2:13" x14ac:dyDescent="0.35">
      <c r="B52" s="19"/>
      <c r="C52" s="19"/>
      <c r="D52" s="19"/>
      <c r="E52" s="19"/>
      <c r="F52" s="19"/>
      <c r="G52" s="19"/>
      <c r="H52" s="19"/>
      <c r="I52" s="19"/>
      <c r="J52" s="19"/>
      <c r="K52" s="19"/>
      <c r="L52" s="19"/>
      <c r="M52" s="19"/>
    </row>
    <row r="53" spans="2:13" x14ac:dyDescent="0.35">
      <c r="B53" s="19"/>
      <c r="C53" s="19"/>
      <c r="D53" s="19"/>
      <c r="E53" s="19"/>
      <c r="F53" s="19"/>
      <c r="G53" s="19"/>
      <c r="H53" s="19"/>
      <c r="I53" s="19"/>
      <c r="J53" s="19"/>
      <c r="K53" s="19"/>
      <c r="L53" s="19"/>
      <c r="M53" s="19"/>
    </row>
    <row r="54" spans="2:13" x14ac:dyDescent="0.35">
      <c r="B54" s="19"/>
      <c r="C54" s="19"/>
      <c r="D54" s="19"/>
      <c r="E54" s="19"/>
      <c r="F54" s="19"/>
      <c r="G54" s="19"/>
      <c r="H54" s="19"/>
      <c r="I54" s="19"/>
      <c r="J54" s="19"/>
      <c r="K54" s="19"/>
      <c r="L54" s="19"/>
      <c r="M54" s="19"/>
    </row>
    <row r="55" spans="2:13" x14ac:dyDescent="0.35">
      <c r="B55" s="19"/>
      <c r="C55" s="19"/>
      <c r="D55" s="19"/>
      <c r="E55" s="19"/>
      <c r="F55" s="19"/>
      <c r="G55" s="19"/>
      <c r="H55" s="19"/>
      <c r="I55" s="19"/>
      <c r="J55" s="19"/>
      <c r="K55" s="19"/>
      <c r="L55" s="19"/>
      <c r="M55" s="19"/>
    </row>
    <row r="56" spans="2:13" x14ac:dyDescent="0.35">
      <c r="B56" s="19"/>
      <c r="C56" s="19"/>
      <c r="D56" s="19"/>
      <c r="E56" s="19"/>
      <c r="F56" s="19"/>
      <c r="G56" s="19"/>
      <c r="H56" s="19"/>
      <c r="I56" s="19"/>
      <c r="J56" s="19"/>
      <c r="K56" s="19"/>
      <c r="L56" s="19"/>
      <c r="M56" s="19"/>
    </row>
    <row r="57" spans="2:13" x14ac:dyDescent="0.35">
      <c r="B57" s="19"/>
      <c r="C57" s="19"/>
      <c r="D57" s="19"/>
      <c r="E57" s="19"/>
      <c r="F57" s="19"/>
      <c r="G57" s="19"/>
      <c r="H57" s="19"/>
      <c r="I57" s="19"/>
      <c r="J57" s="19"/>
      <c r="K57" s="19"/>
      <c r="L57" s="19"/>
      <c r="M57" s="19"/>
    </row>
    <row r="58" spans="2:13" x14ac:dyDescent="0.35">
      <c r="B58" s="19"/>
      <c r="C58" s="19"/>
      <c r="D58" s="19"/>
      <c r="E58" s="19"/>
      <c r="F58" s="19"/>
      <c r="G58" s="19"/>
      <c r="H58" s="19"/>
      <c r="I58" s="19"/>
      <c r="J58" s="19"/>
      <c r="K58" s="19"/>
      <c r="L58" s="19"/>
      <c r="M58" s="19"/>
    </row>
    <row r="59" spans="2:13" x14ac:dyDescent="0.35">
      <c r="B59" s="19"/>
      <c r="C59" s="19"/>
      <c r="D59" s="19"/>
      <c r="E59" s="19"/>
      <c r="F59" s="19"/>
      <c r="G59" s="19"/>
      <c r="H59" s="19"/>
      <c r="I59" s="19"/>
      <c r="J59" s="19"/>
      <c r="K59" s="19"/>
      <c r="L59" s="19"/>
      <c r="M59" s="19"/>
    </row>
    <row r="60" spans="2:13" x14ac:dyDescent="0.35">
      <c r="B60" s="19"/>
      <c r="C60" s="19"/>
      <c r="D60" s="19"/>
      <c r="E60" s="19"/>
      <c r="F60" s="19"/>
      <c r="G60" s="19"/>
      <c r="H60" s="19"/>
      <c r="I60" s="19"/>
      <c r="J60" s="19"/>
      <c r="K60" s="19"/>
      <c r="L60" s="19"/>
      <c r="M60" s="19"/>
    </row>
    <row r="61" spans="2:13" x14ac:dyDescent="0.35">
      <c r="B61" s="19"/>
      <c r="C61" s="19"/>
      <c r="D61" s="19"/>
      <c r="E61" s="19"/>
      <c r="F61" s="19"/>
      <c r="G61" s="19"/>
      <c r="H61" s="19"/>
      <c r="I61" s="19"/>
      <c r="J61" s="19"/>
      <c r="K61" s="19"/>
      <c r="L61" s="19"/>
      <c r="M61" s="19"/>
    </row>
    <row r="62" spans="2:13" x14ac:dyDescent="0.35">
      <c r="B62" s="19"/>
      <c r="C62" s="19"/>
      <c r="D62" s="19"/>
      <c r="E62" s="19"/>
      <c r="F62" s="19"/>
      <c r="G62" s="19"/>
      <c r="H62" s="19"/>
      <c r="I62" s="19"/>
      <c r="J62" s="19"/>
      <c r="K62" s="19"/>
      <c r="L62" s="19"/>
      <c r="M62" s="19"/>
    </row>
    <row r="63" spans="2:13" x14ac:dyDescent="0.35">
      <c r="B63" s="19"/>
      <c r="C63" s="19"/>
      <c r="D63" s="19"/>
      <c r="E63" s="19"/>
      <c r="F63" s="19"/>
      <c r="G63" s="19"/>
      <c r="H63" s="19"/>
      <c r="I63" s="19"/>
      <c r="J63" s="19"/>
      <c r="K63" s="19"/>
      <c r="L63" s="19"/>
      <c r="M63" s="19"/>
    </row>
    <row r="64" spans="2:13" x14ac:dyDescent="0.35">
      <c r="B64" s="19"/>
      <c r="C64" s="19"/>
      <c r="D64" s="19"/>
      <c r="E64" s="19"/>
      <c r="F64" s="19"/>
      <c r="G64" s="19"/>
      <c r="H64" s="19"/>
      <c r="I64" s="19"/>
      <c r="J64" s="19"/>
      <c r="K64" s="19"/>
      <c r="L64" s="19"/>
      <c r="M64" s="19"/>
    </row>
    <row r="65" spans="2:13" x14ac:dyDescent="0.35">
      <c r="B65" s="19"/>
      <c r="C65" s="19"/>
      <c r="D65" s="19"/>
      <c r="E65" s="19"/>
      <c r="F65" s="19"/>
      <c r="G65" s="19"/>
      <c r="H65" s="19"/>
      <c r="I65" s="19"/>
      <c r="J65" s="19"/>
      <c r="K65" s="19"/>
      <c r="L65" s="19"/>
      <c r="M65" s="19"/>
    </row>
    <row r="66" spans="2:13" x14ac:dyDescent="0.35">
      <c r="B66" s="19"/>
      <c r="C66" s="19"/>
      <c r="D66" s="19"/>
      <c r="E66" s="19"/>
      <c r="F66" s="19"/>
      <c r="G66" s="19"/>
      <c r="H66" s="19"/>
      <c r="I66" s="19"/>
      <c r="J66" s="19"/>
      <c r="K66" s="19"/>
      <c r="L66" s="19"/>
      <c r="M66" s="19"/>
    </row>
    <row r="67" spans="2:13" x14ac:dyDescent="0.35">
      <c r="B67" s="19"/>
      <c r="C67" s="19"/>
      <c r="D67" s="19"/>
      <c r="E67" s="19"/>
      <c r="F67" s="19"/>
      <c r="G67" s="19"/>
      <c r="H67" s="19"/>
      <c r="I67" s="19"/>
      <c r="J67" s="19"/>
      <c r="K67" s="19"/>
      <c r="L67" s="19"/>
      <c r="M67" s="19"/>
    </row>
    <row r="68" spans="2:13" x14ac:dyDescent="0.35">
      <c r="B68" s="19"/>
      <c r="C68" s="19"/>
      <c r="D68" s="19"/>
      <c r="E68" s="19"/>
      <c r="F68" s="19"/>
      <c r="G68" s="19"/>
      <c r="H68" s="19"/>
      <c r="I68" s="19"/>
      <c r="J68" s="19"/>
      <c r="K68" s="19"/>
      <c r="L68" s="19"/>
      <c r="M68" s="19"/>
    </row>
    <row r="69" spans="2:13" x14ac:dyDescent="0.35">
      <c r="B69" s="19"/>
      <c r="C69" s="19"/>
      <c r="D69" s="19"/>
      <c r="E69" s="19"/>
      <c r="F69" s="19"/>
      <c r="G69" s="19"/>
      <c r="H69" s="19"/>
      <c r="I69" s="19"/>
      <c r="J69" s="19"/>
      <c r="K69" s="19"/>
      <c r="L69" s="19"/>
      <c r="M69" s="19"/>
    </row>
    <row r="70" spans="2:13" x14ac:dyDescent="0.35">
      <c r="B70" s="19"/>
      <c r="C70" s="19"/>
      <c r="D70" s="19"/>
      <c r="E70" s="19"/>
      <c r="F70" s="19"/>
      <c r="G70" s="19"/>
      <c r="H70" s="19"/>
      <c r="I70" s="19"/>
      <c r="J70" s="19"/>
      <c r="K70" s="19"/>
      <c r="L70" s="19"/>
      <c r="M70" s="19"/>
    </row>
    <row r="71" spans="2:13" x14ac:dyDescent="0.35">
      <c r="B71" s="19"/>
      <c r="C71" s="19"/>
      <c r="D71" s="19"/>
      <c r="E71" s="19"/>
      <c r="F71" s="19"/>
      <c r="G71" s="19"/>
      <c r="H71" s="19"/>
      <c r="I71" s="19"/>
      <c r="J71" s="19"/>
      <c r="K71" s="19"/>
      <c r="L71" s="19"/>
      <c r="M71" s="19"/>
    </row>
    <row r="72" spans="2:13" x14ac:dyDescent="0.35">
      <c r="B72" s="19"/>
      <c r="C72" s="19"/>
      <c r="D72" s="19"/>
      <c r="E72" s="19"/>
      <c r="F72" s="19"/>
      <c r="G72" s="19"/>
      <c r="H72" s="19"/>
      <c r="I72" s="19"/>
      <c r="J72" s="19"/>
      <c r="K72" s="19"/>
      <c r="L72" s="19"/>
      <c r="M72" s="19"/>
    </row>
    <row r="73" spans="2:13" x14ac:dyDescent="0.35">
      <c r="B73" s="19"/>
      <c r="C73" s="19"/>
      <c r="D73" s="19"/>
      <c r="E73" s="19"/>
      <c r="F73" s="19"/>
      <c r="G73" s="19"/>
      <c r="H73" s="19"/>
      <c r="I73" s="19"/>
      <c r="J73" s="19"/>
      <c r="K73" s="19"/>
      <c r="L73" s="19"/>
      <c r="M73" s="19"/>
    </row>
    <row r="74" spans="2:13" x14ac:dyDescent="0.35">
      <c r="B74" s="19"/>
      <c r="C74" s="19"/>
      <c r="D74" s="19"/>
      <c r="E74" s="19"/>
      <c r="F74" s="19"/>
      <c r="G74" s="19"/>
      <c r="H74" s="19"/>
      <c r="I74" s="19"/>
      <c r="J74" s="19"/>
      <c r="K74" s="19"/>
      <c r="L74" s="19"/>
      <c r="M74" s="19"/>
    </row>
    <row r="75" spans="2:13" x14ac:dyDescent="0.35">
      <c r="B75" s="19"/>
      <c r="C75" s="19"/>
      <c r="D75" s="19"/>
      <c r="E75" s="19"/>
      <c r="F75" s="19"/>
      <c r="G75" s="19"/>
      <c r="H75" s="19"/>
      <c r="I75" s="19"/>
      <c r="J75" s="19"/>
      <c r="K75" s="19"/>
      <c r="L75" s="19"/>
      <c r="M75" s="19"/>
    </row>
    <row r="76" spans="2:13" x14ac:dyDescent="0.35">
      <c r="B76" s="19"/>
      <c r="C76" s="19"/>
      <c r="D76" s="19"/>
      <c r="E76" s="19"/>
      <c r="F76" s="19"/>
      <c r="G76" s="19"/>
      <c r="H76" s="19"/>
      <c r="I76" s="19"/>
      <c r="J76" s="19"/>
      <c r="K76" s="19"/>
      <c r="L76" s="19"/>
      <c r="M76" s="19"/>
    </row>
    <row r="77" spans="2:13" x14ac:dyDescent="0.35">
      <c r="B77" s="19"/>
      <c r="C77" s="19"/>
      <c r="D77" s="19"/>
      <c r="E77" s="19"/>
      <c r="F77" s="19"/>
      <c r="G77" s="19"/>
      <c r="H77" s="19"/>
      <c r="I77" s="19"/>
      <c r="J77" s="19"/>
      <c r="K77" s="19"/>
      <c r="L77" s="19"/>
      <c r="M77" s="19"/>
    </row>
    <row r="78" spans="2:13" x14ac:dyDescent="0.35">
      <c r="B78" s="19"/>
      <c r="C78" s="19"/>
      <c r="D78" s="19"/>
      <c r="E78" s="19"/>
      <c r="F78" s="19"/>
      <c r="G78" s="19"/>
      <c r="H78" s="19"/>
      <c r="I78" s="19"/>
      <c r="J78" s="19"/>
      <c r="K78" s="19"/>
      <c r="L78" s="19"/>
      <c r="M78" s="19"/>
    </row>
    <row r="79" spans="2:13" x14ac:dyDescent="0.35">
      <c r="B79" s="19"/>
      <c r="C79" s="19"/>
      <c r="D79" s="19"/>
      <c r="E79" s="19"/>
      <c r="F79" s="19"/>
      <c r="G79" s="19"/>
      <c r="H79" s="19"/>
      <c r="I79" s="19"/>
      <c r="J79" s="19"/>
      <c r="K79" s="19"/>
      <c r="L79" s="19"/>
      <c r="M79" s="19"/>
    </row>
    <row r="80" spans="2:13" x14ac:dyDescent="0.35">
      <c r="B80" s="19"/>
      <c r="C80" s="19"/>
      <c r="D80" s="19"/>
      <c r="E80" s="19"/>
      <c r="F80" s="19"/>
      <c r="G80" s="19"/>
      <c r="H80" s="19"/>
      <c r="I80" s="19"/>
      <c r="J80" s="19"/>
      <c r="K80" s="19"/>
      <c r="L80" s="19"/>
      <c r="M80" s="19"/>
    </row>
    <row r="81" spans="2:13" x14ac:dyDescent="0.35">
      <c r="B81" s="19"/>
      <c r="C81" s="19"/>
      <c r="D81" s="19"/>
      <c r="E81" s="19"/>
      <c r="F81" s="19"/>
      <c r="G81" s="19"/>
      <c r="H81" s="19"/>
      <c r="I81" s="19"/>
      <c r="J81" s="19"/>
      <c r="K81" s="19"/>
      <c r="L81" s="19"/>
      <c r="M81" s="19"/>
    </row>
    <row r="82" spans="2:13" x14ac:dyDescent="0.35">
      <c r="B82" s="19"/>
      <c r="C82" s="19"/>
      <c r="D82" s="19"/>
      <c r="E82" s="19"/>
      <c r="F82" s="19"/>
      <c r="G82" s="19"/>
      <c r="H82" s="19"/>
      <c r="I82" s="19"/>
      <c r="J82" s="19"/>
      <c r="K82" s="19"/>
      <c r="L82" s="19"/>
      <c r="M82" s="19"/>
    </row>
    <row r="83" spans="2:13" x14ac:dyDescent="0.35">
      <c r="B83" s="19"/>
      <c r="C83" s="19"/>
      <c r="D83" s="19"/>
      <c r="E83" s="19"/>
      <c r="F83" s="19"/>
      <c r="G83" s="19"/>
      <c r="H83" s="19"/>
      <c r="I83" s="19"/>
      <c r="J83" s="19"/>
      <c r="K83" s="19"/>
      <c r="L83" s="19"/>
      <c r="M83" s="19"/>
    </row>
    <row r="84" spans="2:13" x14ac:dyDescent="0.35">
      <c r="B84" s="19"/>
      <c r="C84" s="19" t="s">
        <v>27</v>
      </c>
      <c r="D84" s="19"/>
      <c r="E84" s="19"/>
      <c r="F84" s="19"/>
      <c r="G84" s="19"/>
      <c r="H84" s="19"/>
      <c r="I84" s="19"/>
      <c r="J84" s="19"/>
      <c r="K84" s="19"/>
      <c r="L84" s="19"/>
      <c r="M84" s="19"/>
    </row>
    <row r="85" spans="2:13" x14ac:dyDescent="0.35">
      <c r="B85" s="19"/>
      <c r="C85" s="19" t="s">
        <v>28</v>
      </c>
      <c r="D85" s="19"/>
      <c r="E85" s="19"/>
      <c r="F85" s="19"/>
      <c r="G85" s="19"/>
      <c r="H85" s="19"/>
      <c r="I85" s="19"/>
      <c r="J85" s="19"/>
      <c r="K85" s="19"/>
      <c r="L85" s="19"/>
      <c r="M85" s="19"/>
    </row>
    <row r="86" spans="2:13" x14ac:dyDescent="0.35">
      <c r="B86" s="19"/>
      <c r="C86" s="19"/>
      <c r="D86" s="19"/>
      <c r="E86" s="19"/>
      <c r="F86" s="19"/>
      <c r="G86" s="19"/>
      <c r="H86" s="19"/>
      <c r="I86" s="19"/>
      <c r="J86" s="19"/>
      <c r="K86" s="19"/>
      <c r="L86" s="19"/>
      <c r="M86" s="19"/>
    </row>
    <row r="87" spans="2:13" x14ac:dyDescent="0.35">
      <c r="B87" s="19"/>
      <c r="C87" s="19"/>
      <c r="D87" s="19"/>
      <c r="E87" s="19"/>
      <c r="F87" s="19"/>
      <c r="G87" s="19"/>
      <c r="H87" s="19"/>
      <c r="I87" s="19"/>
      <c r="J87" s="19"/>
      <c r="K87" s="19"/>
      <c r="L87" s="19"/>
      <c r="M87" s="19"/>
    </row>
    <row r="88" spans="2:13" x14ac:dyDescent="0.35">
      <c r="B88" s="19"/>
      <c r="C88" s="19"/>
      <c r="D88" s="19"/>
      <c r="E88" s="19"/>
      <c r="F88" s="19"/>
      <c r="G88" s="19"/>
      <c r="H88" s="19"/>
      <c r="I88" s="19"/>
      <c r="J88" s="19"/>
      <c r="K88" s="19"/>
      <c r="L88" s="19"/>
      <c r="M88" s="19"/>
    </row>
    <row r="89" spans="2:13" x14ac:dyDescent="0.35">
      <c r="B89" s="19"/>
      <c r="C89" s="19"/>
      <c r="D89" s="19"/>
      <c r="E89" s="19"/>
      <c r="F89" s="19"/>
      <c r="G89" s="19"/>
      <c r="H89" s="19"/>
      <c r="I89" s="19"/>
      <c r="J89" s="19"/>
      <c r="K89" s="19"/>
      <c r="L89" s="19"/>
      <c r="M89" s="19"/>
    </row>
    <row r="90" spans="2:13" x14ac:dyDescent="0.35">
      <c r="B90" s="19"/>
      <c r="C90" s="19"/>
      <c r="D90" s="19"/>
      <c r="E90" s="19"/>
      <c r="F90" s="19"/>
      <c r="G90" s="19"/>
      <c r="H90" s="19"/>
      <c r="I90" s="19"/>
      <c r="J90" s="19"/>
      <c r="K90" s="19"/>
      <c r="L90" s="19"/>
      <c r="M90" s="19"/>
    </row>
    <row r="91" spans="2:13" x14ac:dyDescent="0.35">
      <c r="B91" s="19"/>
      <c r="C91" s="19"/>
      <c r="D91" s="19"/>
      <c r="E91" s="19"/>
      <c r="F91" s="19"/>
      <c r="G91" s="19"/>
      <c r="H91" s="19"/>
      <c r="I91" s="19"/>
      <c r="J91" s="19"/>
      <c r="K91" s="19"/>
      <c r="L91" s="19"/>
      <c r="M91" s="19"/>
    </row>
    <row r="92" spans="2:13" x14ac:dyDescent="0.35">
      <c r="B92" s="19"/>
      <c r="C92" s="19"/>
      <c r="D92" s="19"/>
      <c r="E92" s="19"/>
      <c r="F92" s="19"/>
      <c r="G92" s="19"/>
      <c r="H92" s="19"/>
      <c r="I92" s="19"/>
      <c r="J92" s="19"/>
      <c r="K92" s="19"/>
      <c r="L92" s="19"/>
      <c r="M92" s="19"/>
    </row>
    <row r="93" spans="2:13" x14ac:dyDescent="0.35">
      <c r="B93" s="19"/>
      <c r="C93" s="19"/>
      <c r="D93" s="19"/>
      <c r="E93" s="19"/>
      <c r="F93" s="19"/>
      <c r="G93" s="19"/>
      <c r="H93" s="19"/>
      <c r="I93" s="19"/>
      <c r="J93" s="19"/>
      <c r="K93" s="19"/>
      <c r="L93" s="19"/>
      <c r="M93" s="19"/>
    </row>
    <row r="94" spans="2:13" x14ac:dyDescent="0.35">
      <c r="B94" s="19"/>
      <c r="C94" s="19"/>
      <c r="D94" s="19"/>
      <c r="E94" s="19"/>
      <c r="F94" s="19"/>
      <c r="G94" s="19"/>
      <c r="H94" s="19"/>
      <c r="I94" s="19"/>
      <c r="J94" s="19"/>
      <c r="K94" s="19"/>
      <c r="L94" s="19"/>
      <c r="M94" s="19"/>
    </row>
    <row r="95" spans="2:13" x14ac:dyDescent="0.35">
      <c r="B95" s="19"/>
      <c r="C95" s="19"/>
      <c r="D95" s="19"/>
      <c r="E95" s="19"/>
      <c r="F95" s="19"/>
      <c r="G95" s="19"/>
      <c r="H95" s="19"/>
      <c r="I95" s="19"/>
      <c r="J95" s="19"/>
      <c r="K95" s="19"/>
      <c r="L95" s="19"/>
      <c r="M95" s="19"/>
    </row>
    <row r="96" spans="2:13" x14ac:dyDescent="0.35">
      <c r="B96" s="19"/>
      <c r="C96" s="19"/>
      <c r="D96" s="19"/>
      <c r="E96" s="19"/>
      <c r="F96" s="19"/>
      <c r="G96" s="19"/>
      <c r="H96" s="19"/>
      <c r="I96" s="19"/>
      <c r="J96" s="19"/>
      <c r="K96" s="19"/>
      <c r="L96" s="19"/>
      <c r="M96" s="19"/>
    </row>
    <row r="97" spans="2:13" x14ac:dyDescent="0.35">
      <c r="B97" s="19"/>
      <c r="C97" s="19"/>
      <c r="D97" s="19"/>
      <c r="E97" s="19"/>
      <c r="F97" s="19"/>
      <c r="G97" s="19"/>
      <c r="H97" s="19"/>
      <c r="I97" s="19"/>
      <c r="J97" s="19"/>
      <c r="K97" s="19"/>
      <c r="L97" s="19"/>
      <c r="M97" s="19"/>
    </row>
    <row r="98" spans="2:13" x14ac:dyDescent="0.35">
      <c r="B98" s="19"/>
      <c r="C98" s="19"/>
      <c r="D98" s="19"/>
      <c r="E98" s="19"/>
      <c r="F98" s="19"/>
      <c r="G98" s="19"/>
      <c r="H98" s="19"/>
      <c r="I98" s="19"/>
      <c r="J98" s="19"/>
      <c r="K98" s="19"/>
      <c r="L98" s="19"/>
      <c r="M98" s="19"/>
    </row>
    <row r="99" spans="2:13" x14ac:dyDescent="0.35">
      <c r="B99" s="19"/>
      <c r="C99" s="19"/>
      <c r="D99" s="19"/>
      <c r="E99" s="19"/>
      <c r="F99" s="19"/>
      <c r="G99" s="19"/>
      <c r="H99" s="19"/>
      <c r="I99" s="19"/>
      <c r="J99" s="19"/>
      <c r="K99" s="19"/>
      <c r="L99" s="19"/>
      <c r="M99" s="19"/>
    </row>
    <row r="100" spans="2:13" x14ac:dyDescent="0.35">
      <c r="B100" s="19"/>
      <c r="C100" s="19"/>
      <c r="D100" s="19"/>
      <c r="E100" s="19"/>
      <c r="F100" s="19"/>
      <c r="G100" s="19"/>
      <c r="H100" s="19"/>
      <c r="I100" s="19"/>
      <c r="J100" s="19"/>
      <c r="K100" s="19"/>
      <c r="L100" s="19"/>
      <c r="M100" s="19"/>
    </row>
    <row r="101" spans="2:13" x14ac:dyDescent="0.35">
      <c r="B101" s="19"/>
      <c r="C101" s="19"/>
      <c r="D101" s="19"/>
      <c r="E101" s="19"/>
      <c r="F101" s="19"/>
      <c r="G101" s="19"/>
      <c r="H101" s="19"/>
      <c r="I101" s="19"/>
      <c r="J101" s="19"/>
      <c r="K101" s="19"/>
      <c r="L101" s="19"/>
      <c r="M101" s="19"/>
    </row>
    <row r="102" spans="2:13" x14ac:dyDescent="0.35">
      <c r="B102" s="19"/>
      <c r="C102" s="19"/>
      <c r="D102" s="19"/>
      <c r="E102" s="19"/>
      <c r="F102" s="19"/>
      <c r="G102" s="19"/>
      <c r="H102" s="19"/>
      <c r="I102" s="19"/>
      <c r="J102" s="19"/>
      <c r="K102" s="19"/>
      <c r="L102" s="19"/>
      <c r="M102" s="19"/>
    </row>
    <row r="103" spans="2:13" x14ac:dyDescent="0.35">
      <c r="B103" s="19"/>
      <c r="C103" s="19"/>
      <c r="D103" s="19"/>
      <c r="E103" s="19"/>
      <c r="F103" s="19"/>
      <c r="G103" s="19"/>
      <c r="H103" s="19"/>
      <c r="I103" s="19"/>
      <c r="J103" s="19"/>
      <c r="K103" s="19"/>
      <c r="L103" s="19"/>
      <c r="M103" s="19"/>
    </row>
    <row r="104" spans="2:13" x14ac:dyDescent="0.35">
      <c r="B104" s="19"/>
      <c r="C104" s="19"/>
      <c r="D104" s="19"/>
      <c r="E104" s="19"/>
      <c r="F104" s="19"/>
      <c r="G104" s="19"/>
      <c r="H104" s="19"/>
      <c r="I104" s="19"/>
      <c r="J104" s="19"/>
      <c r="K104" s="19"/>
      <c r="L104" s="19"/>
      <c r="M104" s="19"/>
    </row>
    <row r="105" spans="2:13" x14ac:dyDescent="0.35">
      <c r="B105" s="19" t="s">
        <v>29</v>
      </c>
      <c r="C105" s="19"/>
      <c r="D105" s="19"/>
      <c r="E105" s="20" t="s">
        <v>30</v>
      </c>
      <c r="F105" s="19" t="s">
        <v>31</v>
      </c>
      <c r="G105" s="19"/>
      <c r="H105" s="19"/>
      <c r="I105" s="19"/>
      <c r="J105" s="19"/>
      <c r="K105" s="19"/>
      <c r="L105" s="19"/>
      <c r="M105" s="19"/>
    </row>
    <row r="106" spans="2:13" x14ac:dyDescent="0.35">
      <c r="B106" s="19" t="s">
        <v>32</v>
      </c>
      <c r="C106" s="19"/>
      <c r="D106" s="19"/>
      <c r="E106" s="21">
        <v>0.1</v>
      </c>
      <c r="F106" s="19" t="s">
        <v>33</v>
      </c>
      <c r="G106" s="19"/>
      <c r="H106" s="19"/>
      <c r="I106" s="19"/>
      <c r="J106" s="19"/>
      <c r="K106" s="19"/>
      <c r="L106" s="19"/>
      <c r="M106" s="19"/>
    </row>
    <row r="107" spans="2:13" x14ac:dyDescent="0.35">
      <c r="B107" s="19" t="s">
        <v>34</v>
      </c>
      <c r="C107" s="19"/>
      <c r="D107" s="19"/>
      <c r="E107" s="21">
        <v>0.2</v>
      </c>
      <c r="F107" s="19"/>
      <c r="G107" s="19"/>
      <c r="H107" s="19"/>
      <c r="I107" s="19"/>
      <c r="J107" s="19"/>
      <c r="K107" s="19"/>
      <c r="L107" s="19"/>
      <c r="M107" s="19"/>
    </row>
    <row r="108" spans="2:13" x14ac:dyDescent="0.35">
      <c r="B108" s="19" t="s">
        <v>35</v>
      </c>
      <c r="C108" s="19"/>
      <c r="D108" s="19"/>
      <c r="E108" s="21">
        <v>0.3</v>
      </c>
      <c r="F108" s="19"/>
      <c r="G108" s="19"/>
      <c r="H108" s="19"/>
      <c r="I108" s="19"/>
      <c r="J108" s="19"/>
      <c r="K108" s="19"/>
      <c r="L108" s="19"/>
      <c r="M108" s="19"/>
    </row>
    <row r="109" spans="2:13" x14ac:dyDescent="0.35">
      <c r="B109" s="19"/>
      <c r="C109" s="19"/>
      <c r="D109" s="19"/>
      <c r="E109" s="21">
        <v>0.4</v>
      </c>
      <c r="F109" s="19"/>
      <c r="G109" s="19"/>
      <c r="H109" s="19"/>
      <c r="I109" s="19"/>
      <c r="J109" s="19"/>
      <c r="K109" s="19"/>
      <c r="L109" s="19"/>
      <c r="M109" s="19"/>
    </row>
    <row r="110" spans="2:13" x14ac:dyDescent="0.35">
      <c r="B110" s="19"/>
      <c r="C110" s="19"/>
      <c r="D110" s="19"/>
      <c r="E110" s="21">
        <v>0.5</v>
      </c>
      <c r="F110" s="19"/>
      <c r="G110" s="19"/>
      <c r="H110" s="19"/>
      <c r="I110" s="19"/>
      <c r="J110" s="19"/>
      <c r="K110" s="19"/>
      <c r="L110" s="19"/>
      <c r="M110" s="19"/>
    </row>
    <row r="111" spans="2:13" x14ac:dyDescent="0.35">
      <c r="E111" s="22">
        <v>0.6</v>
      </c>
    </row>
    <row r="112" spans="2:13" x14ac:dyDescent="0.35">
      <c r="E112" s="22">
        <v>0.7</v>
      </c>
    </row>
    <row r="113" spans="2:5" x14ac:dyDescent="0.35">
      <c r="E113" s="22">
        <v>0.8</v>
      </c>
    </row>
    <row r="114" spans="2:5" x14ac:dyDescent="0.35">
      <c r="E114" s="22">
        <v>0.9</v>
      </c>
    </row>
    <row r="115" spans="2:5" x14ac:dyDescent="0.35">
      <c r="E115" s="22">
        <v>1</v>
      </c>
    </row>
    <row r="124" spans="2:5" x14ac:dyDescent="0.35">
      <c r="B124" s="23" t="s">
        <v>36</v>
      </c>
    </row>
    <row r="125" spans="2:5" x14ac:dyDescent="0.35">
      <c r="B125" s="23" t="s">
        <v>37</v>
      </c>
    </row>
    <row r="126" spans="2:5" x14ac:dyDescent="0.35">
      <c r="B126" s="23" t="s">
        <v>38</v>
      </c>
    </row>
    <row r="127" spans="2:5" x14ac:dyDescent="0.35">
      <c r="B127" s="23" t="s">
        <v>39</v>
      </c>
    </row>
    <row r="128" spans="2:5" x14ac:dyDescent="0.35">
      <c r="B128" s="23" t="s">
        <v>40</v>
      </c>
    </row>
    <row r="129" spans="2:2" x14ac:dyDescent="0.35">
      <c r="B129" s="23" t="s">
        <v>35</v>
      </c>
    </row>
  </sheetData>
  <mergeCells count="17">
    <mergeCell ref="B7:L7"/>
    <mergeCell ref="B3:M3"/>
    <mergeCell ref="B2:L2"/>
    <mergeCell ref="B4:L4"/>
    <mergeCell ref="B5:L5"/>
    <mergeCell ref="B6:L6"/>
    <mergeCell ref="B40:D40"/>
    <mergeCell ref="B41:D41"/>
    <mergeCell ref="B9:M9"/>
    <mergeCell ref="B11:K11"/>
    <mergeCell ref="B31:L31"/>
    <mergeCell ref="B32:L32"/>
    <mergeCell ref="B35:D35"/>
    <mergeCell ref="B36:D36"/>
    <mergeCell ref="B37:D37"/>
    <mergeCell ref="B38:D38"/>
    <mergeCell ref="B39:D39"/>
  </mergeCells>
  <phoneticPr fontId="53"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7EA56-7D7A-4136-A483-EEB293B2927B}">
  <dimension ref="A1:CJ2046"/>
  <sheetViews>
    <sheetView topLeftCell="C21" workbookViewId="0">
      <selection activeCell="J28" sqref="J28:K28"/>
    </sheetView>
  </sheetViews>
  <sheetFormatPr defaultRowHeight="14.5" x14ac:dyDescent="0.35"/>
  <cols>
    <col min="1" max="1" width="9.1796875" style="45"/>
    <col min="3" max="3" width="100.453125" customWidth="1"/>
    <col min="4" max="4" width="14.453125" customWidth="1"/>
    <col min="5" max="5" width="21.81640625" customWidth="1"/>
    <col min="9" max="9" width="9.90625" customWidth="1"/>
    <col min="11" max="88" width="9.1796875" style="45"/>
  </cols>
  <sheetData>
    <row r="1" spans="1:88" s="45" customFormat="1" x14ac:dyDescent="0.35"/>
    <row r="2" spans="1:88" s="45" customFormat="1" x14ac:dyDescent="0.35">
      <c r="B2" s="166"/>
      <c r="C2" s="166"/>
      <c r="D2" s="166"/>
      <c r="E2" s="166"/>
      <c r="F2" s="166"/>
      <c r="G2" s="166"/>
      <c r="H2" s="166"/>
      <c r="I2" s="166"/>
      <c r="J2" s="166"/>
    </row>
    <row r="3" spans="1:88" s="45" customFormat="1" ht="21" x14ac:dyDescent="0.5">
      <c r="B3" s="274" t="s">
        <v>352</v>
      </c>
      <c r="C3" s="274"/>
      <c r="D3" s="274"/>
      <c r="E3" s="274"/>
      <c r="F3" s="274"/>
      <c r="G3" s="274"/>
      <c r="H3" s="274"/>
      <c r="I3" s="274"/>
      <c r="J3" s="274"/>
    </row>
    <row r="4" spans="1:88" ht="18" x14ac:dyDescent="0.35">
      <c r="B4" s="224" t="s">
        <v>349</v>
      </c>
      <c r="C4" s="224"/>
      <c r="D4" s="224"/>
      <c r="E4" s="224"/>
      <c r="F4" s="224"/>
      <c r="G4" s="224"/>
      <c r="H4" s="224"/>
      <c r="I4" s="224"/>
      <c r="J4" s="224"/>
      <c r="K4" s="171"/>
      <c r="L4" s="171"/>
      <c r="M4" s="32"/>
    </row>
    <row r="5" spans="1:88" x14ac:dyDescent="0.35">
      <c r="B5" s="225" t="s">
        <v>355</v>
      </c>
      <c r="C5" s="225"/>
      <c r="D5" s="225"/>
      <c r="E5" s="225"/>
      <c r="F5" s="225"/>
      <c r="G5" s="225"/>
      <c r="H5" s="225"/>
      <c r="I5" s="225"/>
      <c r="J5" s="225"/>
      <c r="K5" s="172"/>
      <c r="L5" s="172"/>
      <c r="M5" s="33"/>
    </row>
    <row r="6" spans="1:88" x14ac:dyDescent="0.35">
      <c r="B6" s="225" t="s">
        <v>2</v>
      </c>
      <c r="C6" s="225"/>
      <c r="D6" s="225"/>
      <c r="E6" s="225"/>
      <c r="F6" s="225"/>
      <c r="G6" s="225"/>
      <c r="H6" s="225"/>
      <c r="I6" s="225"/>
      <c r="J6" s="225"/>
      <c r="K6" s="172"/>
      <c r="L6" s="172"/>
      <c r="M6" s="30"/>
    </row>
    <row r="7" spans="1:88" x14ac:dyDescent="0.35">
      <c r="B7" s="225"/>
      <c r="C7" s="225"/>
      <c r="D7" s="225"/>
      <c r="E7" s="225"/>
      <c r="F7" s="225"/>
      <c r="G7" s="225"/>
      <c r="H7" s="225"/>
      <c r="I7" s="225"/>
      <c r="J7" s="225"/>
      <c r="K7" s="173"/>
      <c r="L7" s="173"/>
      <c r="M7" s="34"/>
    </row>
    <row r="8" spans="1:88" x14ac:dyDescent="0.35">
      <c r="B8" s="9"/>
      <c r="C8" s="9"/>
      <c r="D8" s="9"/>
      <c r="E8" s="9"/>
      <c r="F8" s="9"/>
      <c r="G8" s="9"/>
      <c r="H8" s="9"/>
      <c r="I8" s="9"/>
      <c r="J8" s="9"/>
      <c r="K8" s="35"/>
      <c r="L8" s="35"/>
      <c r="M8" s="35"/>
    </row>
    <row r="9" spans="1:88" x14ac:dyDescent="0.35">
      <c r="B9" s="164" t="s">
        <v>405</v>
      </c>
      <c r="C9" s="166"/>
      <c r="D9" s="166"/>
      <c r="E9" s="166"/>
      <c r="F9" s="166"/>
      <c r="G9" s="166"/>
      <c r="H9" s="166"/>
      <c r="I9" s="166"/>
      <c r="J9" s="166"/>
      <c r="BY9"/>
      <c r="BZ9"/>
      <c r="CA9"/>
      <c r="CB9"/>
      <c r="CC9"/>
      <c r="CD9"/>
      <c r="CE9"/>
      <c r="CF9"/>
      <c r="CG9"/>
      <c r="CH9"/>
      <c r="CI9"/>
      <c r="CJ9"/>
    </row>
    <row r="10" spans="1:88" ht="60" customHeight="1" x14ac:dyDescent="0.35">
      <c r="B10" s="44"/>
      <c r="C10" s="184" t="s">
        <v>422</v>
      </c>
      <c r="D10" s="143"/>
      <c r="E10" s="143"/>
      <c r="F10" s="143"/>
      <c r="G10" s="143"/>
      <c r="H10" s="143"/>
      <c r="I10" s="143"/>
      <c r="J10" s="143"/>
      <c r="K10" s="144"/>
      <c r="L10" s="144"/>
      <c r="M10" s="144"/>
      <c r="N10" s="144"/>
      <c r="O10" s="144"/>
      <c r="P10" s="144"/>
      <c r="Q10" s="144"/>
      <c r="R10" s="144"/>
      <c r="S10" s="144"/>
      <c r="T10" s="144"/>
      <c r="U10" s="144"/>
      <c r="V10" s="144"/>
      <c r="W10" s="144"/>
      <c r="X10" s="144"/>
      <c r="Y10" s="144"/>
      <c r="Z10" s="144"/>
      <c r="AA10" s="144"/>
      <c r="AB10" s="144"/>
      <c r="AC10" s="144"/>
      <c r="AD10" s="144"/>
      <c r="AE10" s="144"/>
      <c r="AF10" s="144"/>
      <c r="AG10" s="144"/>
      <c r="AH10" s="144"/>
      <c r="AI10" s="144"/>
      <c r="AJ10" s="144"/>
      <c r="AK10" s="144"/>
      <c r="AL10" s="144"/>
      <c r="AM10" s="144"/>
      <c r="AN10" s="144"/>
      <c r="AO10" s="144"/>
      <c r="AP10" s="144"/>
      <c r="AQ10" s="144"/>
      <c r="AR10" s="144"/>
      <c r="AS10" s="144"/>
      <c r="AT10" s="144"/>
      <c r="AU10" s="144"/>
      <c r="AV10" s="144"/>
      <c r="AW10" s="144"/>
      <c r="AX10" s="144"/>
      <c r="AY10" s="144"/>
      <c r="AZ10" s="144"/>
      <c r="BA10" s="144"/>
      <c r="BB10" s="144"/>
      <c r="BC10" s="144"/>
      <c r="BD10" s="144"/>
      <c r="BE10" s="144"/>
      <c r="BF10" s="144"/>
      <c r="BG10" s="144"/>
      <c r="BH10" s="144"/>
      <c r="BI10" s="144"/>
      <c r="BJ10" s="144"/>
      <c r="BK10" s="144"/>
      <c r="BL10" s="144"/>
      <c r="BM10" s="144"/>
    </row>
    <row r="11" spans="1:88" s="127" customFormat="1" ht="55.5" customHeight="1" x14ac:dyDescent="0.35">
      <c r="A11" s="144"/>
      <c r="B11" s="143"/>
      <c r="C11" s="183" t="s">
        <v>421</v>
      </c>
      <c r="D11" s="143"/>
      <c r="E11" s="143"/>
      <c r="F11" s="143"/>
      <c r="G11" s="143"/>
      <c r="H11" s="143"/>
      <c r="I11" s="143"/>
      <c r="J11" s="143"/>
      <c r="K11" s="144"/>
      <c r="L11" s="144"/>
      <c r="M11" s="144"/>
      <c r="N11" s="144"/>
      <c r="O11" s="144"/>
      <c r="P11" s="144"/>
      <c r="Q11" s="144"/>
      <c r="R11" s="144"/>
      <c r="S11" s="144"/>
      <c r="T11" s="144"/>
      <c r="U11" s="144"/>
      <c r="V11" s="144"/>
      <c r="W11" s="144"/>
      <c r="X11" s="144"/>
      <c r="Y11" s="144"/>
      <c r="Z11" s="144"/>
      <c r="AA11" s="144"/>
      <c r="AB11" s="144"/>
      <c r="AC11" s="144"/>
      <c r="AD11" s="144"/>
      <c r="AE11" s="144"/>
      <c r="AF11" s="144"/>
      <c r="AG11" s="144"/>
      <c r="AH11" s="144"/>
      <c r="AI11" s="144"/>
      <c r="AJ11" s="144"/>
      <c r="AK11" s="144"/>
      <c r="AL11" s="144"/>
      <c r="AM11" s="144"/>
      <c r="AN11" s="144"/>
      <c r="AO11" s="144"/>
      <c r="AP11" s="144"/>
      <c r="AQ11" s="144"/>
      <c r="AR11" s="144"/>
      <c r="AS11" s="144"/>
      <c r="AT11" s="144"/>
      <c r="AU11" s="144"/>
      <c r="AV11" s="144"/>
      <c r="AW11" s="144"/>
      <c r="AX11" s="144"/>
      <c r="AY11" s="144"/>
      <c r="AZ11" s="144"/>
      <c r="BA11" s="144"/>
      <c r="BB11" s="144"/>
      <c r="BC11" s="144"/>
      <c r="BD11" s="144"/>
      <c r="BE11" s="144"/>
      <c r="BF11" s="144"/>
      <c r="BG11" s="144"/>
      <c r="BH11" s="144"/>
      <c r="BI11" s="144"/>
      <c r="BJ11" s="144"/>
      <c r="BK11" s="144"/>
      <c r="BL11" s="144"/>
      <c r="BM11" s="144"/>
      <c r="BN11" s="144"/>
      <c r="BO11" s="144"/>
      <c r="BP11" s="144"/>
      <c r="BQ11" s="144"/>
      <c r="BR11" s="144"/>
      <c r="BS11" s="144"/>
      <c r="BT11" s="144"/>
      <c r="BU11" s="144"/>
      <c r="BV11" s="144"/>
      <c r="BW11" s="144"/>
      <c r="BX11" s="144"/>
      <c r="BY11" s="144"/>
      <c r="BZ11" s="144"/>
      <c r="CA11" s="144"/>
      <c r="CB11" s="144"/>
      <c r="CC11" s="144"/>
      <c r="CD11" s="144"/>
      <c r="CE11" s="144"/>
      <c r="CF11" s="144"/>
      <c r="CG11" s="144"/>
      <c r="CH11" s="144"/>
      <c r="CI11" s="144"/>
      <c r="CJ11" s="144"/>
    </row>
    <row r="12" spans="1:88" s="55" customFormat="1" x14ac:dyDescent="0.35">
      <c r="A12" s="147"/>
      <c r="B12" s="164" t="s">
        <v>303</v>
      </c>
      <c r="C12" s="165"/>
      <c r="D12" s="165"/>
      <c r="E12" s="165"/>
      <c r="F12" s="165"/>
      <c r="G12" s="165"/>
      <c r="H12" s="165"/>
      <c r="I12" s="165"/>
      <c r="J12" s="165"/>
      <c r="K12" s="148"/>
      <c r="L12" s="148"/>
      <c r="M12" s="148"/>
      <c r="N12" s="148"/>
      <c r="O12" s="148"/>
      <c r="P12" s="148"/>
      <c r="Q12" s="148"/>
      <c r="R12" s="148"/>
      <c r="S12" s="148"/>
      <c r="T12" s="148"/>
      <c r="U12" s="148"/>
      <c r="V12" s="148"/>
      <c r="W12" s="148"/>
      <c r="X12" s="148"/>
      <c r="Y12" s="148"/>
      <c r="Z12" s="148"/>
      <c r="AA12" s="148"/>
      <c r="AB12" s="148"/>
      <c r="AC12" s="148"/>
      <c r="AD12" s="148"/>
      <c r="AE12" s="148"/>
      <c r="AF12" s="148"/>
      <c r="AG12" s="148"/>
      <c r="AH12" s="148"/>
      <c r="AI12" s="148"/>
      <c r="AJ12" s="148"/>
      <c r="AK12" s="148"/>
      <c r="AL12" s="148"/>
      <c r="AM12" s="148"/>
      <c r="AN12" s="148"/>
      <c r="AO12" s="148"/>
      <c r="AP12" s="148"/>
      <c r="AQ12" s="148"/>
      <c r="AR12" s="148"/>
      <c r="AS12" s="148"/>
      <c r="AT12" s="148"/>
      <c r="AU12" s="148"/>
      <c r="AV12" s="148"/>
      <c r="AW12" s="148"/>
      <c r="AX12" s="148"/>
      <c r="AY12" s="148"/>
      <c r="AZ12" s="148"/>
      <c r="BA12" s="148"/>
      <c r="BB12" s="148"/>
      <c r="BC12" s="148"/>
      <c r="BD12" s="148"/>
      <c r="BE12" s="148"/>
      <c r="BF12" s="148"/>
      <c r="BG12" s="148"/>
      <c r="BH12" s="148"/>
      <c r="BI12" s="148"/>
      <c r="BJ12" s="148"/>
      <c r="BK12" s="148"/>
      <c r="BL12" s="148"/>
      <c r="BM12" s="148"/>
      <c r="BN12" s="147"/>
      <c r="BO12" s="147"/>
      <c r="BP12" s="147"/>
      <c r="BQ12" s="147"/>
      <c r="BR12" s="147"/>
      <c r="BS12" s="147"/>
      <c r="BT12" s="147"/>
      <c r="BU12" s="147"/>
      <c r="BV12" s="147"/>
      <c r="BW12" s="147"/>
      <c r="BX12" s="147"/>
      <c r="BY12" s="147"/>
      <c r="BZ12" s="147"/>
      <c r="CA12" s="147"/>
      <c r="CB12" s="147"/>
      <c r="CC12" s="147"/>
      <c r="CD12" s="147"/>
      <c r="CE12" s="147"/>
      <c r="CF12" s="147"/>
      <c r="CG12" s="147"/>
      <c r="CH12" s="147"/>
      <c r="CI12" s="147"/>
      <c r="CJ12" s="147"/>
    </row>
    <row r="13" spans="1:88" s="55" customFormat="1" x14ac:dyDescent="0.35">
      <c r="A13" s="147"/>
      <c r="B13" s="56"/>
      <c r="C13" s="155"/>
      <c r="D13" s="155"/>
      <c r="E13" s="155"/>
      <c r="F13" s="155"/>
      <c r="G13" s="155"/>
      <c r="H13" s="155"/>
      <c r="I13" s="155"/>
      <c r="J13" s="155"/>
      <c r="K13" s="148"/>
      <c r="L13" s="148"/>
      <c r="M13" s="148"/>
      <c r="N13" s="148"/>
      <c r="O13" s="148"/>
      <c r="P13" s="148"/>
      <c r="Q13" s="148"/>
      <c r="R13" s="148"/>
      <c r="S13" s="148"/>
      <c r="T13" s="148"/>
      <c r="U13" s="148"/>
      <c r="V13" s="148"/>
      <c r="W13" s="148"/>
      <c r="X13" s="148"/>
      <c r="Y13" s="148"/>
      <c r="Z13" s="148"/>
      <c r="AA13" s="148"/>
      <c r="AB13" s="148"/>
      <c r="AC13" s="148"/>
      <c r="AD13" s="148"/>
      <c r="AE13" s="148"/>
      <c r="AF13" s="148"/>
      <c r="AG13" s="148"/>
      <c r="AH13" s="148"/>
      <c r="AI13" s="148"/>
      <c r="AJ13" s="148"/>
      <c r="AK13" s="148"/>
      <c r="AL13" s="148"/>
      <c r="AM13" s="148"/>
      <c r="AN13" s="148"/>
      <c r="AO13" s="148"/>
      <c r="AP13" s="148"/>
      <c r="AQ13" s="148"/>
      <c r="AR13" s="148"/>
      <c r="AS13" s="148"/>
      <c r="AT13" s="148"/>
      <c r="AU13" s="148"/>
      <c r="AV13" s="148"/>
      <c r="AW13" s="148"/>
      <c r="AX13" s="148"/>
      <c r="AY13" s="148"/>
      <c r="AZ13" s="148"/>
      <c r="BA13" s="148"/>
      <c r="BB13" s="148"/>
      <c r="BC13" s="148"/>
      <c r="BD13" s="148"/>
      <c r="BE13" s="148"/>
      <c r="BF13" s="148"/>
      <c r="BG13" s="148"/>
      <c r="BH13" s="148"/>
      <c r="BI13" s="148"/>
      <c r="BJ13" s="148"/>
      <c r="BK13" s="148"/>
      <c r="BL13" s="148"/>
      <c r="BM13" s="148"/>
      <c r="BN13" s="147"/>
      <c r="BO13" s="147"/>
      <c r="BP13" s="147"/>
      <c r="BQ13" s="147"/>
      <c r="BR13" s="147"/>
      <c r="BS13" s="147"/>
      <c r="BT13" s="147"/>
      <c r="BU13" s="147"/>
      <c r="BV13" s="147"/>
      <c r="BW13" s="147"/>
      <c r="BX13" s="147"/>
      <c r="BY13" s="147"/>
      <c r="BZ13" s="147"/>
      <c r="CA13" s="147"/>
      <c r="CB13" s="147"/>
      <c r="CC13" s="147"/>
      <c r="CD13" s="147"/>
      <c r="CE13" s="147"/>
      <c r="CF13" s="147"/>
      <c r="CG13" s="147"/>
      <c r="CH13" s="147"/>
      <c r="CI13" s="147"/>
      <c r="CJ13" s="147"/>
    </row>
    <row r="14" spans="1:88" s="55" customFormat="1" x14ac:dyDescent="0.35">
      <c r="A14" s="147"/>
      <c r="B14" s="56"/>
      <c r="C14" s="54" t="s">
        <v>304</v>
      </c>
      <c r="D14" s="54"/>
      <c r="E14" s="54"/>
      <c r="F14" s="56"/>
      <c r="G14" s="56"/>
      <c r="H14" s="56"/>
      <c r="I14" s="56"/>
      <c r="J14" s="56"/>
      <c r="K14" s="147"/>
      <c r="L14" s="147"/>
      <c r="M14" s="147"/>
      <c r="N14" s="147"/>
      <c r="O14" s="147"/>
      <c r="P14" s="147"/>
      <c r="Q14" s="147"/>
      <c r="R14" s="147"/>
      <c r="S14" s="147"/>
      <c r="T14" s="147"/>
      <c r="U14" s="147"/>
      <c r="V14" s="147"/>
      <c r="W14" s="147"/>
      <c r="X14" s="147"/>
      <c r="Y14" s="147"/>
      <c r="Z14" s="147"/>
      <c r="AA14" s="147"/>
      <c r="AB14" s="147"/>
      <c r="AC14" s="147"/>
      <c r="AD14" s="147"/>
      <c r="AE14" s="147"/>
      <c r="AF14" s="147"/>
      <c r="AG14" s="147"/>
      <c r="AH14" s="147"/>
      <c r="AI14" s="147"/>
      <c r="AJ14" s="147"/>
      <c r="AK14" s="147"/>
      <c r="AL14" s="147"/>
      <c r="AM14" s="147"/>
      <c r="AN14" s="147"/>
      <c r="AO14" s="147"/>
      <c r="AP14" s="147"/>
      <c r="AQ14" s="147"/>
      <c r="AR14" s="147"/>
      <c r="AS14" s="147"/>
      <c r="AT14" s="147"/>
      <c r="AU14" s="147"/>
      <c r="AV14" s="147"/>
      <c r="AW14" s="147"/>
      <c r="AX14" s="147"/>
      <c r="AY14" s="147"/>
      <c r="AZ14" s="147"/>
      <c r="BA14" s="147"/>
      <c r="BB14" s="147"/>
      <c r="BC14" s="147"/>
      <c r="BD14" s="147"/>
      <c r="BE14" s="147"/>
      <c r="BF14" s="147"/>
      <c r="BG14" s="147"/>
      <c r="BH14" s="147"/>
      <c r="BI14" s="147"/>
      <c r="BJ14" s="147"/>
      <c r="BK14" s="147"/>
      <c r="BL14" s="147"/>
      <c r="BM14" s="147"/>
      <c r="BN14" s="147"/>
      <c r="BO14" s="147"/>
      <c r="BP14" s="147"/>
      <c r="BQ14" s="147"/>
      <c r="BR14" s="147"/>
      <c r="BS14" s="147"/>
      <c r="BT14" s="147"/>
      <c r="BU14" s="147"/>
      <c r="BV14" s="147"/>
      <c r="BW14" s="147"/>
      <c r="BX14" s="147"/>
      <c r="BY14" s="147"/>
      <c r="BZ14" s="147"/>
      <c r="CA14" s="147"/>
      <c r="CB14" s="147"/>
      <c r="CC14" s="147"/>
      <c r="CD14" s="147"/>
      <c r="CE14" s="147"/>
      <c r="CF14" s="147"/>
      <c r="CG14" s="147"/>
      <c r="CH14" s="147"/>
      <c r="CI14" s="147"/>
      <c r="CJ14" s="147"/>
    </row>
    <row r="15" spans="1:88" s="55" customFormat="1" ht="15" thickBot="1" x14ac:dyDescent="0.4">
      <c r="A15" s="147"/>
      <c r="B15" s="56"/>
      <c r="C15" s="56"/>
      <c r="D15" s="56"/>
      <c r="E15" s="56"/>
      <c r="F15" s="56"/>
      <c r="G15" s="56"/>
      <c r="H15" s="56"/>
      <c r="I15" s="56"/>
      <c r="J15" s="56"/>
      <c r="K15" s="147"/>
      <c r="L15" s="147"/>
      <c r="M15" s="147"/>
      <c r="N15" s="147"/>
      <c r="O15" s="147"/>
      <c r="P15" s="147"/>
      <c r="Q15" s="147"/>
      <c r="R15" s="147"/>
      <c r="S15" s="147"/>
      <c r="T15" s="147"/>
      <c r="U15" s="147"/>
      <c r="V15" s="147"/>
      <c r="W15" s="147"/>
      <c r="X15" s="147"/>
      <c r="Y15" s="147"/>
      <c r="Z15" s="147"/>
      <c r="AA15" s="147"/>
      <c r="AB15" s="147"/>
      <c r="AC15" s="147"/>
      <c r="AD15" s="147"/>
      <c r="AE15" s="147"/>
      <c r="AF15" s="147"/>
      <c r="AG15" s="147"/>
      <c r="AH15" s="147"/>
      <c r="AI15" s="147"/>
      <c r="AJ15" s="147"/>
      <c r="AK15" s="147"/>
      <c r="AL15" s="147"/>
      <c r="AM15" s="147"/>
      <c r="AN15" s="147"/>
      <c r="AO15" s="147"/>
      <c r="AP15" s="147"/>
      <c r="AQ15" s="147"/>
      <c r="AR15" s="147"/>
      <c r="AS15" s="147"/>
      <c r="AT15" s="147"/>
      <c r="AU15" s="147"/>
      <c r="AV15" s="147"/>
      <c r="AW15" s="147"/>
      <c r="AX15" s="147"/>
      <c r="AY15" s="147"/>
      <c r="AZ15" s="147"/>
      <c r="BA15" s="147"/>
      <c r="BB15" s="147"/>
      <c r="BC15" s="147"/>
      <c r="BD15" s="147"/>
      <c r="BE15" s="147"/>
      <c r="BF15" s="147"/>
      <c r="BG15" s="147"/>
      <c r="BH15" s="147"/>
      <c r="BI15" s="147"/>
      <c r="BJ15" s="147"/>
      <c r="BK15" s="147"/>
      <c r="BL15" s="147"/>
      <c r="BM15" s="147"/>
      <c r="BN15" s="147"/>
      <c r="BO15" s="147"/>
      <c r="BP15" s="147"/>
      <c r="BQ15" s="147"/>
      <c r="BR15" s="147"/>
      <c r="BS15" s="147"/>
      <c r="BT15" s="147"/>
      <c r="BU15" s="147"/>
      <c r="BV15" s="147"/>
      <c r="BW15" s="147"/>
      <c r="BX15" s="147"/>
      <c r="BY15" s="147"/>
      <c r="BZ15" s="147"/>
      <c r="CA15" s="147"/>
      <c r="CB15" s="147"/>
      <c r="CC15" s="147"/>
      <c r="CD15" s="147"/>
      <c r="CE15" s="147"/>
      <c r="CF15" s="147"/>
      <c r="CG15" s="147"/>
      <c r="CH15" s="147"/>
      <c r="CI15" s="147"/>
      <c r="CJ15" s="147"/>
    </row>
    <row r="16" spans="1:88" ht="15" thickBot="1" x14ac:dyDescent="0.4">
      <c r="B16" s="44"/>
      <c r="C16" s="269" t="s">
        <v>305</v>
      </c>
      <c r="D16" s="270"/>
      <c r="E16" s="270"/>
      <c r="F16" s="270"/>
      <c r="G16" s="271"/>
      <c r="H16" s="44"/>
      <c r="I16" s="44"/>
      <c r="J16" s="44"/>
    </row>
    <row r="17" spans="2:10" ht="15" thickBot="1" x14ac:dyDescent="0.4">
      <c r="B17" s="44"/>
      <c r="C17" s="156" t="s">
        <v>306</v>
      </c>
      <c r="D17" s="157" t="s">
        <v>307</v>
      </c>
      <c r="E17" s="157" t="s">
        <v>306</v>
      </c>
      <c r="F17" s="158" t="s">
        <v>307</v>
      </c>
      <c r="G17" s="159" t="s">
        <v>308</v>
      </c>
      <c r="H17" s="44"/>
      <c r="I17" s="44"/>
      <c r="J17" s="44"/>
    </row>
    <row r="18" spans="2:10" ht="15" thickBot="1" x14ac:dyDescent="0.4">
      <c r="B18" s="44"/>
      <c r="C18" s="160" t="s">
        <v>309</v>
      </c>
      <c r="D18" s="157">
        <v>126.4</v>
      </c>
      <c r="E18" s="160" t="s">
        <v>310</v>
      </c>
      <c r="F18" s="158">
        <v>129.80000000000001</v>
      </c>
      <c r="G18" s="161">
        <f>(F18-D18)/D18</f>
        <v>2.6898734177215233E-2</v>
      </c>
      <c r="H18" s="44"/>
      <c r="I18" s="44"/>
      <c r="J18" s="44"/>
    </row>
    <row r="19" spans="2:10" ht="15" thickBot="1" x14ac:dyDescent="0.4">
      <c r="B19" s="44"/>
      <c r="C19" s="160" t="s">
        <v>311</v>
      </c>
      <c r="D19" s="157">
        <v>126.7</v>
      </c>
      <c r="E19" s="160" t="s">
        <v>312</v>
      </c>
      <c r="F19" s="158">
        <v>130</v>
      </c>
      <c r="G19" s="161">
        <f t="shared" ref="G19:G30" si="0">(F19-D19)/D19</f>
        <v>2.6045777426992874E-2</v>
      </c>
      <c r="H19" s="44"/>
      <c r="I19" s="44"/>
      <c r="J19" s="44"/>
    </row>
    <row r="20" spans="2:10" ht="15" thickBot="1" x14ac:dyDescent="0.4">
      <c r="B20" s="44"/>
      <c r="C20" s="160" t="s">
        <v>313</v>
      </c>
      <c r="D20" s="157">
        <v>126.6</v>
      </c>
      <c r="E20" s="160" t="s">
        <v>314</v>
      </c>
      <c r="F20" s="158">
        <v>130.19999999999999</v>
      </c>
      <c r="G20" s="161">
        <f t="shared" si="0"/>
        <v>2.8436018957345929E-2</v>
      </c>
      <c r="H20" s="44"/>
      <c r="I20" s="44"/>
      <c r="J20" s="44"/>
    </row>
    <row r="21" spans="2:10" ht="15" thickBot="1" x14ac:dyDescent="0.4">
      <c r="B21" s="44"/>
      <c r="C21" s="160" t="s">
        <v>315</v>
      </c>
      <c r="D21" s="157">
        <v>127.2</v>
      </c>
      <c r="E21" s="160" t="s">
        <v>316</v>
      </c>
      <c r="F21" s="158">
        <v>130.30000000000001</v>
      </c>
      <c r="G21" s="161">
        <f t="shared" si="0"/>
        <v>2.4371069182390005E-2</v>
      </c>
      <c r="H21" s="44"/>
      <c r="I21" s="44"/>
      <c r="J21" s="44"/>
    </row>
    <row r="22" spans="2:10" ht="15" thickBot="1" x14ac:dyDescent="0.4">
      <c r="B22" s="44"/>
      <c r="C22" s="160" t="s">
        <v>317</v>
      </c>
      <c r="D22" s="157">
        <v>127.6</v>
      </c>
      <c r="E22" s="160" t="s">
        <v>318</v>
      </c>
      <c r="F22" s="158">
        <v>130.19999999999999</v>
      </c>
      <c r="G22" s="161">
        <f t="shared" si="0"/>
        <v>2.0376175548589299E-2</v>
      </c>
      <c r="H22" s="44"/>
      <c r="I22" s="44"/>
      <c r="J22" s="44"/>
    </row>
    <row r="23" spans="2:10" ht="15" thickBot="1" x14ac:dyDescent="0.4">
      <c r="B23" s="44"/>
      <c r="C23" s="160" t="s">
        <v>319</v>
      </c>
      <c r="D23" s="157">
        <v>127.7</v>
      </c>
      <c r="E23" s="160" t="s">
        <v>320</v>
      </c>
      <c r="F23" s="158">
        <v>130.69999999999999</v>
      </c>
      <c r="G23" s="161">
        <f t="shared" si="0"/>
        <v>2.3492560689115E-2</v>
      </c>
      <c r="H23" s="44"/>
      <c r="I23" s="44"/>
      <c r="J23" s="44"/>
    </row>
    <row r="24" spans="2:10" ht="15" thickBot="1" x14ac:dyDescent="0.4">
      <c r="B24" s="44"/>
      <c r="C24" s="160" t="s">
        <v>321</v>
      </c>
      <c r="D24" s="157">
        <v>127.2</v>
      </c>
      <c r="E24" s="160" t="s">
        <v>322</v>
      </c>
      <c r="F24" s="158">
        <v>130.4</v>
      </c>
      <c r="G24" s="161">
        <f t="shared" si="0"/>
        <v>2.5157232704402538E-2</v>
      </c>
      <c r="H24" s="44"/>
      <c r="I24" s="44"/>
      <c r="J24" s="44"/>
    </row>
    <row r="25" spans="2:10" ht="15" thickBot="1" x14ac:dyDescent="0.4">
      <c r="B25" s="44"/>
      <c r="C25" s="160" t="s">
        <v>323</v>
      </c>
      <c r="D25" s="157">
        <v>127.4</v>
      </c>
      <c r="E25" s="160" t="s">
        <v>324</v>
      </c>
      <c r="F25" s="158">
        <v>130.80000000000001</v>
      </c>
      <c r="G25" s="161">
        <f t="shared" si="0"/>
        <v>2.6687598116169588E-2</v>
      </c>
      <c r="H25" s="44"/>
      <c r="I25" s="44"/>
      <c r="J25" s="44"/>
    </row>
    <row r="26" spans="2:10" ht="15" thickBot="1" x14ac:dyDescent="0.4">
      <c r="B26" s="44"/>
      <c r="C26" s="160" t="s">
        <v>325</v>
      </c>
      <c r="D26" s="157">
        <v>127.2</v>
      </c>
      <c r="E26" s="160" t="s">
        <v>326</v>
      </c>
      <c r="F26" s="158">
        <v>130.80000000000001</v>
      </c>
      <c r="G26" s="161">
        <f t="shared" si="0"/>
        <v>2.8301886792452897E-2</v>
      </c>
      <c r="H26" s="44"/>
      <c r="I26" s="44"/>
      <c r="J26" s="44"/>
    </row>
    <row r="27" spans="2:10" ht="15" thickBot="1" x14ac:dyDescent="0.4">
      <c r="B27" s="44"/>
      <c r="C27" s="160" t="s">
        <v>327</v>
      </c>
      <c r="D27" s="157">
        <v>128</v>
      </c>
      <c r="E27" s="160" t="s">
        <v>328</v>
      </c>
      <c r="F27" s="158">
        <v>131.4</v>
      </c>
      <c r="G27" s="161">
        <f t="shared" si="0"/>
        <v>2.6562500000000044E-2</v>
      </c>
      <c r="H27" s="44"/>
      <c r="I27" s="44"/>
      <c r="J27" s="44"/>
    </row>
    <row r="28" spans="2:10" ht="15" thickBot="1" x14ac:dyDescent="0.4">
      <c r="B28" s="44"/>
      <c r="C28" s="160" t="s">
        <v>329</v>
      </c>
      <c r="D28" s="157">
        <v>128.80000000000001</v>
      </c>
      <c r="E28" s="160" t="s">
        <v>330</v>
      </c>
      <c r="F28" s="158">
        <v>132</v>
      </c>
      <c r="G28" s="161">
        <f t="shared" si="0"/>
        <v>2.4844720496894318E-2</v>
      </c>
      <c r="H28" s="44"/>
      <c r="I28" s="44"/>
      <c r="J28" s="44"/>
    </row>
    <row r="29" spans="2:10" ht="15" thickBot="1" x14ac:dyDescent="0.4">
      <c r="B29" s="44"/>
      <c r="C29" s="160" t="s">
        <v>331</v>
      </c>
      <c r="D29" s="157">
        <v>129.6</v>
      </c>
      <c r="E29" s="160" t="s">
        <v>332</v>
      </c>
      <c r="F29" s="158">
        <v>132.69999999999999</v>
      </c>
      <c r="G29" s="161">
        <f t="shared" si="0"/>
        <v>2.391975308641971E-2</v>
      </c>
      <c r="H29" s="44"/>
      <c r="I29" s="44"/>
      <c r="J29" s="44"/>
    </row>
    <row r="30" spans="2:10" ht="15" thickBot="1" x14ac:dyDescent="0.4">
      <c r="B30" s="44"/>
      <c r="C30" s="160" t="s">
        <v>333</v>
      </c>
      <c r="D30" s="162">
        <f>AVERAGE(D18:D29)</f>
        <v>127.53333333333332</v>
      </c>
      <c r="E30" s="163"/>
      <c r="F30" s="158">
        <f>AVERAGE(F18:F29)</f>
        <v>130.77500000000001</v>
      </c>
      <c r="G30" s="161">
        <f t="shared" si="0"/>
        <v>2.5418191322530231E-2</v>
      </c>
      <c r="H30" s="44"/>
      <c r="I30" s="44"/>
      <c r="J30" s="44"/>
    </row>
    <row r="31" spans="2:10" ht="15" thickBot="1" x14ac:dyDescent="0.4">
      <c r="B31" s="44"/>
      <c r="C31" s="160" t="s">
        <v>334</v>
      </c>
      <c r="D31" s="272">
        <f>AVERAGE(G18:G30)</f>
        <v>2.5424016807732121E-2</v>
      </c>
      <c r="E31" s="273"/>
      <c r="F31" s="273"/>
      <c r="G31" s="273"/>
      <c r="H31" s="275" t="s">
        <v>335</v>
      </c>
      <c r="I31" s="275"/>
      <c r="J31" s="44"/>
    </row>
    <row r="32" spans="2:10" x14ac:dyDescent="0.35">
      <c r="B32" s="44"/>
      <c r="C32" s="44"/>
      <c r="D32" s="44"/>
      <c r="E32" s="44"/>
      <c r="F32" s="44"/>
      <c r="G32" s="44"/>
      <c r="H32" s="44"/>
      <c r="I32" s="44"/>
      <c r="J32" s="44"/>
    </row>
    <row r="33" spans="2:10" x14ac:dyDescent="0.35">
      <c r="B33" s="44"/>
      <c r="C33" s="44"/>
      <c r="D33" s="44"/>
      <c r="E33" s="44"/>
      <c r="F33" s="44"/>
      <c r="G33" s="44"/>
      <c r="H33" s="44"/>
      <c r="I33" s="44"/>
      <c r="J33" s="44"/>
    </row>
    <row r="34" spans="2:10" x14ac:dyDescent="0.35">
      <c r="B34" s="45"/>
      <c r="C34" s="45"/>
      <c r="D34" s="45"/>
      <c r="E34" s="45"/>
      <c r="F34" s="45"/>
      <c r="G34" s="45"/>
      <c r="H34" s="45"/>
      <c r="I34" s="45"/>
      <c r="J34" s="45"/>
    </row>
    <row r="35" spans="2:10" x14ac:dyDescent="0.35">
      <c r="B35" s="45"/>
      <c r="C35" s="45"/>
      <c r="D35" s="45"/>
      <c r="E35" s="45"/>
      <c r="F35" s="45"/>
      <c r="G35" s="45"/>
      <c r="H35" s="45"/>
      <c r="I35" s="45"/>
      <c r="J35" s="45"/>
    </row>
    <row r="36" spans="2:10" x14ac:dyDescent="0.35">
      <c r="B36" s="45"/>
      <c r="C36" s="45"/>
      <c r="D36" s="45"/>
      <c r="E36" s="45"/>
      <c r="F36" s="45"/>
      <c r="G36" s="45"/>
      <c r="H36" s="45"/>
      <c r="I36" s="45"/>
      <c r="J36" s="45"/>
    </row>
    <row r="37" spans="2:10" x14ac:dyDescent="0.35">
      <c r="B37" s="45"/>
      <c r="C37" s="45"/>
      <c r="D37" s="45"/>
      <c r="E37" s="45"/>
      <c r="F37" s="45"/>
      <c r="G37" s="45"/>
      <c r="H37" s="45"/>
      <c r="I37" s="45"/>
      <c r="J37" s="45"/>
    </row>
    <row r="38" spans="2:10" x14ac:dyDescent="0.35">
      <c r="B38" s="45"/>
      <c r="C38" s="45"/>
      <c r="D38" s="45"/>
      <c r="E38" s="45"/>
      <c r="F38" s="45"/>
      <c r="G38" s="45"/>
      <c r="H38" s="45"/>
      <c r="I38" s="45"/>
      <c r="J38" s="45"/>
    </row>
    <row r="39" spans="2:10" x14ac:dyDescent="0.35">
      <c r="B39" s="45"/>
      <c r="C39" s="45"/>
      <c r="D39" s="45"/>
      <c r="E39" s="45"/>
      <c r="F39" s="45"/>
      <c r="G39" s="45"/>
      <c r="H39" s="45"/>
      <c r="I39" s="45"/>
      <c r="J39" s="45"/>
    </row>
    <row r="40" spans="2:10" x14ac:dyDescent="0.35">
      <c r="B40" s="45"/>
      <c r="C40" s="45"/>
      <c r="D40" s="45"/>
      <c r="E40" s="45"/>
      <c r="F40" s="45"/>
      <c r="G40" s="45"/>
      <c r="H40" s="45"/>
      <c r="I40" s="45"/>
      <c r="J40" s="45"/>
    </row>
    <row r="41" spans="2:10" x14ac:dyDescent="0.35">
      <c r="B41" s="45"/>
      <c r="C41" s="45"/>
      <c r="D41" s="45"/>
      <c r="E41" s="45"/>
      <c r="F41" s="45"/>
      <c r="G41" s="45"/>
      <c r="H41" s="45"/>
      <c r="I41" s="45"/>
      <c r="J41" s="45"/>
    </row>
    <row r="42" spans="2:10" x14ac:dyDescent="0.35">
      <c r="B42" s="45"/>
      <c r="C42" s="45"/>
      <c r="D42" s="45"/>
      <c r="E42" s="45"/>
      <c r="F42" s="45"/>
      <c r="G42" s="45"/>
      <c r="H42" s="45"/>
      <c r="I42" s="45"/>
      <c r="J42" s="45"/>
    </row>
    <row r="43" spans="2:10" x14ac:dyDescent="0.35">
      <c r="B43" s="45"/>
      <c r="C43" s="45"/>
      <c r="D43" s="45"/>
      <c r="E43" s="45"/>
      <c r="F43" s="45"/>
      <c r="G43" s="45"/>
      <c r="H43" s="45"/>
      <c r="I43" s="45"/>
      <c r="J43" s="45"/>
    </row>
    <row r="44" spans="2:10" x14ac:dyDescent="0.35">
      <c r="B44" s="45"/>
      <c r="C44" s="45"/>
      <c r="D44" s="45"/>
      <c r="E44" s="45"/>
      <c r="F44" s="45"/>
      <c r="G44" s="45"/>
      <c r="H44" s="45"/>
      <c r="I44" s="45"/>
      <c r="J44" s="45"/>
    </row>
    <row r="45" spans="2:10" x14ac:dyDescent="0.35">
      <c r="B45" s="45"/>
      <c r="C45" s="45"/>
      <c r="D45" s="45"/>
      <c r="E45" s="45"/>
      <c r="F45" s="45"/>
      <c r="G45" s="45"/>
      <c r="H45" s="45"/>
      <c r="I45" s="45"/>
      <c r="J45" s="45"/>
    </row>
    <row r="46" spans="2:10" x14ac:dyDescent="0.35">
      <c r="B46" s="45"/>
      <c r="C46" s="45"/>
      <c r="D46" s="45"/>
      <c r="E46" s="45"/>
      <c r="F46" s="45"/>
      <c r="G46" s="45"/>
      <c r="H46" s="45"/>
      <c r="I46" s="45"/>
      <c r="J46" s="45"/>
    </row>
    <row r="47" spans="2:10" x14ac:dyDescent="0.35">
      <c r="B47" s="45"/>
      <c r="C47" s="45"/>
      <c r="D47" s="45"/>
      <c r="E47" s="45"/>
      <c r="F47" s="45"/>
      <c r="G47" s="45"/>
      <c r="H47" s="45"/>
      <c r="I47" s="45"/>
      <c r="J47" s="45"/>
    </row>
    <row r="48" spans="2:10" x14ac:dyDescent="0.35">
      <c r="B48" s="45"/>
      <c r="C48" s="45"/>
      <c r="D48" s="45"/>
      <c r="E48" s="45"/>
      <c r="F48" s="45"/>
      <c r="G48" s="45"/>
      <c r="H48" s="45"/>
      <c r="I48" s="45"/>
      <c r="J48" s="45"/>
    </row>
    <row r="49" spans="2:10" x14ac:dyDescent="0.35">
      <c r="B49" s="45"/>
      <c r="C49" s="45"/>
      <c r="D49" s="45"/>
      <c r="E49" s="45"/>
      <c r="F49" s="45"/>
      <c r="G49" s="45"/>
      <c r="H49" s="45"/>
      <c r="I49" s="45"/>
      <c r="J49" s="45"/>
    </row>
    <row r="50" spans="2:10" x14ac:dyDescent="0.35">
      <c r="B50" s="45"/>
      <c r="C50" s="45"/>
      <c r="D50" s="45"/>
      <c r="E50" s="45"/>
      <c r="F50" s="45"/>
      <c r="G50" s="45"/>
      <c r="H50" s="45"/>
      <c r="I50" s="45"/>
      <c r="J50" s="45"/>
    </row>
    <row r="51" spans="2:10" x14ac:dyDescent="0.35">
      <c r="B51" s="45"/>
      <c r="C51" s="45"/>
      <c r="D51" s="45"/>
      <c r="E51" s="45"/>
      <c r="F51" s="45"/>
      <c r="G51" s="45"/>
      <c r="H51" s="45"/>
      <c r="I51" s="45"/>
      <c r="J51" s="45"/>
    </row>
    <row r="52" spans="2:10" x14ac:dyDescent="0.35">
      <c r="B52" s="45"/>
      <c r="C52" s="45"/>
      <c r="D52" s="45"/>
      <c r="E52" s="45"/>
      <c r="F52" s="45"/>
      <c r="G52" s="45"/>
      <c r="H52" s="45"/>
      <c r="I52" s="45"/>
      <c r="J52" s="45"/>
    </row>
    <row r="53" spans="2:10" x14ac:dyDescent="0.35">
      <c r="B53" s="45"/>
      <c r="C53" s="45"/>
      <c r="D53" s="45"/>
      <c r="E53" s="45"/>
      <c r="F53" s="45"/>
      <c r="G53" s="45"/>
      <c r="H53" s="45"/>
      <c r="I53" s="45"/>
      <c r="J53" s="45"/>
    </row>
    <row r="54" spans="2:10" x14ac:dyDescent="0.35">
      <c r="B54" s="45"/>
      <c r="C54" s="45"/>
      <c r="D54" s="45"/>
      <c r="E54" s="45"/>
      <c r="F54" s="45"/>
      <c r="G54" s="45"/>
      <c r="H54" s="45"/>
      <c r="I54" s="45"/>
      <c r="J54" s="45"/>
    </row>
    <row r="55" spans="2:10" x14ac:dyDescent="0.35">
      <c r="B55" s="45"/>
      <c r="C55" s="45"/>
      <c r="D55" s="45"/>
      <c r="E55" s="45"/>
      <c r="F55" s="45"/>
      <c r="G55" s="45"/>
      <c r="H55" s="45"/>
      <c r="I55" s="45"/>
      <c r="J55" s="45"/>
    </row>
    <row r="56" spans="2:10" x14ac:dyDescent="0.35">
      <c r="B56" s="45"/>
      <c r="C56" s="45"/>
      <c r="D56" s="45"/>
      <c r="E56" s="45"/>
      <c r="F56" s="45"/>
      <c r="G56" s="45"/>
      <c r="H56" s="45"/>
      <c r="I56" s="45"/>
      <c r="J56" s="45"/>
    </row>
    <row r="57" spans="2:10" x14ac:dyDescent="0.35">
      <c r="B57" s="45"/>
      <c r="C57" s="45"/>
      <c r="D57" s="45"/>
      <c r="E57" s="45"/>
      <c r="F57" s="45"/>
      <c r="G57" s="45"/>
      <c r="H57" s="45"/>
      <c r="I57" s="45"/>
      <c r="J57" s="45"/>
    </row>
    <row r="58" spans="2:10" x14ac:dyDescent="0.35">
      <c r="B58" s="45"/>
      <c r="C58" s="45"/>
      <c r="D58" s="45"/>
      <c r="E58" s="45"/>
      <c r="F58" s="45"/>
      <c r="G58" s="45"/>
      <c r="H58" s="45"/>
      <c r="I58" s="45"/>
      <c r="J58" s="45"/>
    </row>
    <row r="59" spans="2:10" x14ac:dyDescent="0.35">
      <c r="B59" s="45"/>
      <c r="C59" s="45"/>
      <c r="D59" s="45"/>
      <c r="E59" s="45"/>
      <c r="F59" s="45"/>
      <c r="G59" s="45"/>
      <c r="H59" s="45"/>
      <c r="I59" s="45"/>
      <c r="J59" s="45"/>
    </row>
    <row r="60" spans="2:10" x14ac:dyDescent="0.35">
      <c r="B60" s="45"/>
      <c r="C60" s="45"/>
      <c r="D60" s="45"/>
      <c r="E60" s="45"/>
      <c r="F60" s="45"/>
      <c r="G60" s="45"/>
      <c r="H60" s="45"/>
      <c r="I60" s="45"/>
      <c r="J60" s="45"/>
    </row>
    <row r="61" spans="2:10" x14ac:dyDescent="0.35">
      <c r="B61" s="45"/>
      <c r="C61" s="45"/>
      <c r="D61" s="45"/>
      <c r="E61" s="45"/>
      <c r="F61" s="45"/>
      <c r="G61" s="45"/>
      <c r="H61" s="45"/>
      <c r="I61" s="45"/>
      <c r="J61" s="45"/>
    </row>
    <row r="62" spans="2:10" x14ac:dyDescent="0.35">
      <c r="B62" s="45"/>
      <c r="C62" s="45"/>
      <c r="D62" s="45"/>
      <c r="E62" s="45"/>
      <c r="F62" s="45"/>
      <c r="G62" s="45"/>
      <c r="H62" s="45"/>
      <c r="I62" s="45"/>
      <c r="J62" s="45"/>
    </row>
    <row r="63" spans="2:10" x14ac:dyDescent="0.35">
      <c r="B63" s="45"/>
      <c r="C63" s="45"/>
      <c r="D63" s="45"/>
      <c r="E63" s="45"/>
      <c r="F63" s="45"/>
      <c r="G63" s="45"/>
      <c r="H63" s="45"/>
      <c r="I63" s="45"/>
      <c r="J63" s="45"/>
    </row>
    <row r="64" spans="2:10" x14ac:dyDescent="0.35">
      <c r="B64" s="45"/>
      <c r="C64" s="45"/>
      <c r="D64" s="45"/>
      <c r="E64" s="45"/>
      <c r="F64" s="45"/>
      <c r="G64" s="45"/>
      <c r="H64" s="45"/>
      <c r="I64" s="45"/>
      <c r="J64" s="45"/>
    </row>
    <row r="65" spans="2:10" x14ac:dyDescent="0.35">
      <c r="B65" s="45"/>
      <c r="C65" s="45"/>
      <c r="D65" s="45"/>
      <c r="E65" s="45"/>
      <c r="F65" s="45"/>
      <c r="G65" s="45"/>
      <c r="H65" s="45"/>
      <c r="I65" s="45"/>
      <c r="J65" s="45"/>
    </row>
    <row r="66" spans="2:10" x14ac:dyDescent="0.35">
      <c r="B66" s="45"/>
      <c r="C66" s="45"/>
      <c r="D66" s="45"/>
      <c r="E66" s="45"/>
      <c r="F66" s="45"/>
      <c r="G66" s="45"/>
      <c r="H66" s="45"/>
      <c r="I66" s="45"/>
      <c r="J66" s="45"/>
    </row>
    <row r="67" spans="2:10" x14ac:dyDescent="0.35">
      <c r="B67" s="45"/>
      <c r="C67" s="45"/>
      <c r="D67" s="45"/>
      <c r="E67" s="45"/>
      <c r="F67" s="45"/>
      <c r="G67" s="45"/>
      <c r="H67" s="45"/>
      <c r="I67" s="45"/>
      <c r="J67" s="45"/>
    </row>
    <row r="68" spans="2:10" x14ac:dyDescent="0.35">
      <c r="B68" s="45"/>
      <c r="C68" s="45"/>
      <c r="D68" s="45"/>
      <c r="E68" s="45"/>
      <c r="F68" s="45"/>
      <c r="G68" s="45"/>
      <c r="H68" s="45"/>
      <c r="I68" s="45"/>
      <c r="J68" s="45"/>
    </row>
    <row r="69" spans="2:10" x14ac:dyDescent="0.35">
      <c r="B69" s="45"/>
      <c r="C69" s="45"/>
      <c r="D69" s="45"/>
      <c r="E69" s="45"/>
      <c r="F69" s="45"/>
      <c r="G69" s="45"/>
      <c r="H69" s="45"/>
      <c r="I69" s="45"/>
      <c r="J69" s="45"/>
    </row>
    <row r="70" spans="2:10" x14ac:dyDescent="0.35">
      <c r="B70" s="45"/>
      <c r="C70" s="45"/>
      <c r="D70" s="45"/>
      <c r="E70" s="45"/>
      <c r="F70" s="45"/>
      <c r="G70" s="45"/>
      <c r="H70" s="45"/>
      <c r="I70" s="45"/>
      <c r="J70" s="45"/>
    </row>
    <row r="71" spans="2:10" x14ac:dyDescent="0.35">
      <c r="B71" s="45"/>
      <c r="C71" s="45"/>
      <c r="D71" s="45"/>
      <c r="E71" s="45"/>
      <c r="F71" s="45"/>
      <c r="G71" s="45"/>
      <c r="H71" s="45"/>
      <c r="I71" s="45"/>
      <c r="J71" s="45"/>
    </row>
    <row r="72" spans="2:10" x14ac:dyDescent="0.35">
      <c r="B72" s="45"/>
      <c r="C72" s="45"/>
      <c r="D72" s="45"/>
      <c r="E72" s="45"/>
      <c r="F72" s="45"/>
      <c r="G72" s="45"/>
      <c r="H72" s="45"/>
      <c r="I72" s="45"/>
      <c r="J72" s="45"/>
    </row>
    <row r="73" spans="2:10" x14ac:dyDescent="0.35">
      <c r="B73" s="45"/>
      <c r="C73" s="45"/>
      <c r="D73" s="45"/>
      <c r="E73" s="45"/>
      <c r="F73" s="45"/>
      <c r="G73" s="45"/>
      <c r="H73" s="45"/>
      <c r="I73" s="45"/>
      <c r="J73" s="45"/>
    </row>
    <row r="74" spans="2:10" x14ac:dyDescent="0.35">
      <c r="B74" s="45"/>
      <c r="C74" s="45"/>
      <c r="D74" s="45"/>
      <c r="E74" s="45"/>
      <c r="F74" s="45"/>
      <c r="G74" s="45"/>
      <c r="H74" s="45"/>
      <c r="I74" s="45"/>
      <c r="J74" s="45"/>
    </row>
    <row r="75" spans="2:10" x14ac:dyDescent="0.35">
      <c r="B75" s="45"/>
      <c r="C75" s="45"/>
      <c r="D75" s="45"/>
      <c r="E75" s="45"/>
      <c r="F75" s="45"/>
      <c r="G75" s="45"/>
      <c r="H75" s="45"/>
      <c r="I75" s="45"/>
      <c r="J75" s="45"/>
    </row>
    <row r="76" spans="2:10" x14ac:dyDescent="0.35">
      <c r="B76" s="45"/>
      <c r="C76" s="45"/>
      <c r="D76" s="45"/>
      <c r="E76" s="45"/>
      <c r="F76" s="45"/>
      <c r="G76" s="45"/>
      <c r="H76" s="45"/>
      <c r="I76" s="45"/>
      <c r="J76" s="45"/>
    </row>
    <row r="77" spans="2:10" x14ac:dyDescent="0.35">
      <c r="B77" s="45"/>
      <c r="C77" s="45"/>
      <c r="D77" s="45"/>
      <c r="E77" s="45"/>
      <c r="F77" s="45"/>
      <c r="G77" s="45"/>
      <c r="H77" s="45"/>
      <c r="I77" s="45"/>
      <c r="J77" s="45"/>
    </row>
    <row r="78" spans="2:10" x14ac:dyDescent="0.35">
      <c r="B78" s="45"/>
      <c r="C78" s="45"/>
      <c r="D78" s="45"/>
      <c r="E78" s="45"/>
      <c r="F78" s="45"/>
      <c r="G78" s="45"/>
      <c r="H78" s="45"/>
      <c r="I78" s="45"/>
      <c r="J78" s="45"/>
    </row>
    <row r="79" spans="2:10" x14ac:dyDescent="0.35">
      <c r="B79" s="45"/>
      <c r="C79" s="45"/>
      <c r="D79" s="45"/>
      <c r="E79" s="45"/>
      <c r="F79" s="45"/>
      <c r="G79" s="45"/>
      <c r="H79" s="45"/>
      <c r="I79" s="45"/>
      <c r="J79" s="45"/>
    </row>
    <row r="80" spans="2:10" x14ac:dyDescent="0.35">
      <c r="B80" s="45"/>
      <c r="C80" s="45"/>
      <c r="D80" s="45"/>
      <c r="E80" s="45"/>
      <c r="F80" s="45"/>
      <c r="G80" s="45"/>
      <c r="H80" s="45"/>
      <c r="I80" s="45"/>
      <c r="J80" s="45"/>
    </row>
    <row r="81" spans="2:10" x14ac:dyDescent="0.35">
      <c r="B81" s="45"/>
      <c r="C81" s="45"/>
      <c r="D81" s="45"/>
      <c r="E81" s="45"/>
      <c r="F81" s="45"/>
      <c r="G81" s="45"/>
      <c r="H81" s="45"/>
      <c r="I81" s="45"/>
      <c r="J81" s="45"/>
    </row>
    <row r="82" spans="2:10" x14ac:dyDescent="0.35">
      <c r="B82" s="45"/>
      <c r="C82" s="45"/>
      <c r="D82" s="45"/>
      <c r="E82" s="45"/>
      <c r="F82" s="45"/>
      <c r="G82" s="45"/>
      <c r="H82" s="45"/>
      <c r="I82" s="45"/>
      <c r="J82" s="45"/>
    </row>
    <row r="83" spans="2:10" x14ac:dyDescent="0.35">
      <c r="B83" s="45"/>
      <c r="C83" s="45"/>
      <c r="D83" s="45"/>
      <c r="E83" s="45"/>
      <c r="F83" s="45"/>
      <c r="G83" s="45"/>
      <c r="H83" s="45"/>
      <c r="I83" s="45"/>
      <c r="J83" s="45"/>
    </row>
    <row r="84" spans="2:10" x14ac:dyDescent="0.35">
      <c r="B84" s="45"/>
      <c r="C84" s="45"/>
      <c r="D84" s="45"/>
      <c r="E84" s="45"/>
      <c r="F84" s="45"/>
      <c r="G84" s="45"/>
      <c r="H84" s="45"/>
      <c r="I84" s="45"/>
      <c r="J84" s="45"/>
    </row>
    <row r="85" spans="2:10" x14ac:dyDescent="0.35">
      <c r="B85" s="45"/>
      <c r="C85" s="45"/>
      <c r="D85" s="45"/>
      <c r="E85" s="45"/>
      <c r="F85" s="45"/>
      <c r="G85" s="45"/>
      <c r="H85" s="45"/>
      <c r="I85" s="45"/>
      <c r="J85" s="45"/>
    </row>
    <row r="86" spans="2:10" x14ac:dyDescent="0.35">
      <c r="B86" s="45"/>
      <c r="C86" s="45"/>
      <c r="D86" s="45"/>
      <c r="E86" s="45"/>
      <c r="F86" s="45"/>
      <c r="G86" s="45"/>
      <c r="H86" s="45"/>
      <c r="I86" s="45"/>
      <c r="J86" s="45"/>
    </row>
    <row r="87" spans="2:10" x14ac:dyDescent="0.35">
      <c r="B87" s="45"/>
      <c r="C87" s="45"/>
      <c r="D87" s="45"/>
      <c r="E87" s="45"/>
      <c r="F87" s="45"/>
      <c r="G87" s="45"/>
      <c r="H87" s="45"/>
      <c r="I87" s="45"/>
      <c r="J87" s="45"/>
    </row>
    <row r="88" spans="2:10" x14ac:dyDescent="0.35">
      <c r="B88" s="45"/>
      <c r="C88" s="45"/>
      <c r="D88" s="45"/>
      <c r="E88" s="45"/>
      <c r="F88" s="45"/>
      <c r="G88" s="45"/>
      <c r="H88" s="45"/>
      <c r="I88" s="45"/>
      <c r="J88" s="45"/>
    </row>
    <row r="89" spans="2:10" x14ac:dyDescent="0.35">
      <c r="B89" s="45"/>
      <c r="C89" s="45"/>
      <c r="D89" s="45"/>
      <c r="E89" s="45"/>
      <c r="F89" s="45"/>
      <c r="G89" s="45"/>
      <c r="H89" s="45"/>
      <c r="I89" s="45"/>
      <c r="J89" s="45"/>
    </row>
    <row r="90" spans="2:10" x14ac:dyDescent="0.35">
      <c r="B90" s="45"/>
      <c r="C90" s="45"/>
      <c r="D90" s="45"/>
      <c r="E90" s="45"/>
      <c r="F90" s="45"/>
      <c r="G90" s="45"/>
      <c r="H90" s="45"/>
      <c r="I90" s="45"/>
      <c r="J90" s="45"/>
    </row>
    <row r="91" spans="2:10" x14ac:dyDescent="0.35">
      <c r="B91" s="45"/>
      <c r="C91" s="45"/>
      <c r="D91" s="45"/>
      <c r="E91" s="45"/>
      <c r="F91" s="45"/>
      <c r="G91" s="45"/>
      <c r="H91" s="45"/>
      <c r="I91" s="45"/>
      <c r="J91" s="45"/>
    </row>
    <row r="92" spans="2:10" x14ac:dyDescent="0.35">
      <c r="B92" s="45"/>
      <c r="C92" s="45"/>
      <c r="D92" s="45"/>
      <c r="E92" s="45"/>
      <c r="F92" s="45"/>
      <c r="G92" s="45"/>
      <c r="H92" s="45"/>
      <c r="I92" s="45"/>
      <c r="J92" s="45"/>
    </row>
    <row r="93" spans="2:10" x14ac:dyDescent="0.35">
      <c r="B93" s="45"/>
      <c r="C93" s="45"/>
      <c r="D93" s="45"/>
      <c r="E93" s="45"/>
      <c r="F93" s="45"/>
      <c r="G93" s="45"/>
      <c r="H93" s="45"/>
      <c r="I93" s="45"/>
      <c r="J93" s="45"/>
    </row>
    <row r="94" spans="2:10" x14ac:dyDescent="0.35">
      <c r="B94" s="45"/>
      <c r="C94" s="45"/>
      <c r="D94" s="45"/>
      <c r="E94" s="45"/>
      <c r="F94" s="45"/>
      <c r="G94" s="45"/>
      <c r="H94" s="45"/>
      <c r="I94" s="45"/>
      <c r="J94" s="45"/>
    </row>
    <row r="95" spans="2:10" x14ac:dyDescent="0.35">
      <c r="B95" s="45"/>
      <c r="C95" s="45"/>
      <c r="D95" s="45"/>
      <c r="E95" s="45"/>
      <c r="F95" s="45"/>
      <c r="G95" s="45"/>
      <c r="H95" s="45"/>
      <c r="I95" s="45"/>
      <c r="J95" s="45"/>
    </row>
    <row r="96" spans="2:10" x14ac:dyDescent="0.35">
      <c r="B96" s="45"/>
      <c r="C96" s="45"/>
      <c r="D96" s="45"/>
      <c r="E96" s="45"/>
      <c r="F96" s="45"/>
      <c r="G96" s="45"/>
      <c r="H96" s="45"/>
      <c r="I96" s="45"/>
      <c r="J96" s="45"/>
    </row>
    <row r="97" spans="2:10" x14ac:dyDescent="0.35">
      <c r="B97" s="45"/>
      <c r="C97" s="45"/>
      <c r="D97" s="45"/>
      <c r="E97" s="45"/>
      <c r="F97" s="45"/>
      <c r="G97" s="45"/>
      <c r="H97" s="45"/>
      <c r="I97" s="45"/>
      <c r="J97" s="45"/>
    </row>
    <row r="98" spans="2:10" x14ac:dyDescent="0.35">
      <c r="B98" s="45"/>
      <c r="C98" s="45"/>
      <c r="D98" s="45"/>
      <c r="E98" s="45"/>
      <c r="F98" s="45"/>
      <c r="G98" s="45"/>
      <c r="H98" s="45"/>
      <c r="I98" s="45"/>
      <c r="J98" s="45"/>
    </row>
    <row r="99" spans="2:10" x14ac:dyDescent="0.35">
      <c r="B99" s="45"/>
      <c r="C99" s="45"/>
      <c r="D99" s="45"/>
      <c r="E99" s="45"/>
      <c r="F99" s="45"/>
      <c r="G99" s="45"/>
      <c r="H99" s="45"/>
      <c r="I99" s="45"/>
      <c r="J99" s="45"/>
    </row>
    <row r="100" spans="2:10" x14ac:dyDescent="0.35">
      <c r="B100" s="45"/>
      <c r="C100" s="45"/>
      <c r="D100" s="45"/>
      <c r="E100" s="45"/>
      <c r="F100" s="45"/>
      <c r="G100" s="45"/>
      <c r="H100" s="45"/>
      <c r="I100" s="45"/>
      <c r="J100" s="45"/>
    </row>
    <row r="101" spans="2:10" x14ac:dyDescent="0.35">
      <c r="B101" s="45"/>
      <c r="C101" s="45"/>
      <c r="D101" s="45"/>
      <c r="E101" s="45"/>
      <c r="F101" s="45"/>
      <c r="G101" s="45"/>
      <c r="H101" s="45"/>
      <c r="I101" s="45"/>
      <c r="J101" s="45"/>
    </row>
    <row r="102" spans="2:10" x14ac:dyDescent="0.35">
      <c r="B102" s="45"/>
      <c r="C102" s="45"/>
      <c r="D102" s="45"/>
      <c r="E102" s="45"/>
      <c r="F102" s="45"/>
      <c r="G102" s="45"/>
      <c r="H102" s="45"/>
      <c r="I102" s="45"/>
      <c r="J102" s="45"/>
    </row>
    <row r="103" spans="2:10" x14ac:dyDescent="0.35">
      <c r="B103" s="45"/>
      <c r="C103" s="45"/>
      <c r="D103" s="45"/>
      <c r="E103" s="45"/>
      <c r="F103" s="45"/>
      <c r="G103" s="45"/>
      <c r="H103" s="45"/>
      <c r="I103" s="45"/>
      <c r="J103" s="45"/>
    </row>
    <row r="104" spans="2:10" x14ac:dyDescent="0.35">
      <c r="B104" s="45"/>
      <c r="C104" s="45"/>
      <c r="D104" s="45"/>
      <c r="E104" s="45"/>
      <c r="F104" s="45"/>
      <c r="G104" s="45"/>
      <c r="H104" s="45"/>
      <c r="I104" s="45"/>
      <c r="J104" s="45"/>
    </row>
    <row r="105" spans="2:10" x14ac:dyDescent="0.35">
      <c r="B105" s="45"/>
      <c r="C105" s="45"/>
      <c r="D105" s="45"/>
      <c r="E105" s="45"/>
      <c r="F105" s="45"/>
      <c r="G105" s="45"/>
      <c r="H105" s="45"/>
      <c r="I105" s="45"/>
      <c r="J105" s="45"/>
    </row>
    <row r="106" spans="2:10" x14ac:dyDescent="0.35">
      <c r="B106" s="45"/>
      <c r="C106" s="45"/>
      <c r="D106" s="45"/>
      <c r="E106" s="45"/>
      <c r="F106" s="45"/>
      <c r="G106" s="45"/>
      <c r="H106" s="45"/>
      <c r="I106" s="45"/>
      <c r="J106" s="45"/>
    </row>
    <row r="107" spans="2:10" x14ac:dyDescent="0.35">
      <c r="B107" s="45"/>
      <c r="C107" s="45"/>
      <c r="D107" s="45"/>
      <c r="E107" s="45"/>
      <c r="F107" s="45"/>
      <c r="G107" s="45"/>
      <c r="H107" s="45"/>
      <c r="I107" s="45"/>
      <c r="J107" s="45"/>
    </row>
    <row r="108" spans="2:10" x14ac:dyDescent="0.35">
      <c r="B108" s="45"/>
      <c r="C108" s="45"/>
      <c r="D108" s="45"/>
      <c r="E108" s="45"/>
      <c r="F108" s="45"/>
      <c r="G108" s="45"/>
      <c r="H108" s="45"/>
      <c r="I108" s="45"/>
      <c r="J108" s="45"/>
    </row>
    <row r="109" spans="2:10" x14ac:dyDescent="0.35">
      <c r="B109" s="45"/>
      <c r="C109" s="45"/>
      <c r="D109" s="45"/>
      <c r="E109" s="45"/>
      <c r="F109" s="45"/>
      <c r="G109" s="45"/>
      <c r="H109" s="45"/>
      <c r="I109" s="45"/>
      <c r="J109" s="45"/>
    </row>
    <row r="110" spans="2:10" x14ac:dyDescent="0.35">
      <c r="B110" s="45"/>
      <c r="C110" s="45"/>
      <c r="D110" s="45"/>
      <c r="E110" s="45"/>
      <c r="F110" s="45"/>
      <c r="G110" s="45"/>
      <c r="H110" s="45"/>
      <c r="I110" s="45"/>
      <c r="J110" s="45"/>
    </row>
    <row r="111" spans="2:10" x14ac:dyDescent="0.35">
      <c r="B111" s="45"/>
      <c r="C111" s="45"/>
      <c r="D111" s="45"/>
      <c r="E111" s="45"/>
      <c r="F111" s="45"/>
      <c r="G111" s="45"/>
      <c r="H111" s="45"/>
      <c r="I111" s="45"/>
      <c r="J111" s="45"/>
    </row>
    <row r="112" spans="2:10" x14ac:dyDescent="0.35">
      <c r="B112" s="45"/>
      <c r="C112" s="45"/>
      <c r="D112" s="45"/>
      <c r="E112" s="45"/>
      <c r="F112" s="45"/>
      <c r="G112" s="45"/>
      <c r="H112" s="45"/>
      <c r="I112" s="45"/>
      <c r="J112" s="45"/>
    </row>
    <row r="113" spans="2:10" x14ac:dyDescent="0.35">
      <c r="B113" s="45"/>
      <c r="C113" s="45"/>
      <c r="D113" s="45"/>
      <c r="E113" s="45"/>
      <c r="F113" s="45"/>
      <c r="G113" s="45"/>
      <c r="H113" s="45"/>
      <c r="I113" s="45"/>
      <c r="J113" s="45"/>
    </row>
    <row r="114" spans="2:10" x14ac:dyDescent="0.35">
      <c r="B114" s="45"/>
      <c r="C114" s="45"/>
      <c r="D114" s="45"/>
      <c r="E114" s="45"/>
      <c r="F114" s="45"/>
      <c r="G114" s="45"/>
      <c r="H114" s="45"/>
      <c r="I114" s="45"/>
      <c r="J114" s="45"/>
    </row>
    <row r="115" spans="2:10" x14ac:dyDescent="0.35">
      <c r="B115" s="45"/>
      <c r="C115" s="45"/>
      <c r="D115" s="45"/>
      <c r="E115" s="45"/>
      <c r="F115" s="45"/>
      <c r="G115" s="45"/>
      <c r="H115" s="45"/>
      <c r="I115" s="45"/>
      <c r="J115" s="45"/>
    </row>
    <row r="116" spans="2:10" x14ac:dyDescent="0.35">
      <c r="B116" s="45"/>
      <c r="C116" s="45"/>
      <c r="D116" s="45"/>
      <c r="E116" s="45"/>
      <c r="F116" s="45"/>
      <c r="G116" s="45"/>
      <c r="H116" s="45"/>
      <c r="I116" s="45"/>
      <c r="J116" s="45"/>
    </row>
    <row r="117" spans="2:10" x14ac:dyDescent="0.35">
      <c r="B117" s="45"/>
      <c r="C117" s="45"/>
      <c r="D117" s="45"/>
      <c r="E117" s="45"/>
      <c r="F117" s="45"/>
      <c r="G117" s="45"/>
      <c r="H117" s="45"/>
      <c r="I117" s="45"/>
      <c r="J117" s="45"/>
    </row>
    <row r="118" spans="2:10" x14ac:dyDescent="0.35">
      <c r="B118" s="45"/>
      <c r="C118" s="45"/>
      <c r="D118" s="45"/>
      <c r="E118" s="45"/>
      <c r="F118" s="45"/>
      <c r="G118" s="45"/>
      <c r="H118" s="45"/>
      <c r="I118" s="45"/>
      <c r="J118" s="45"/>
    </row>
    <row r="119" spans="2:10" x14ac:dyDescent="0.35">
      <c r="B119" s="45"/>
      <c r="C119" s="45"/>
      <c r="D119" s="45"/>
      <c r="E119" s="45"/>
      <c r="F119" s="45"/>
      <c r="G119" s="45"/>
      <c r="H119" s="45"/>
      <c r="I119" s="45"/>
      <c r="J119" s="45"/>
    </row>
    <row r="120" spans="2:10" x14ac:dyDescent="0.35">
      <c r="B120" s="45"/>
      <c r="C120" s="45"/>
      <c r="D120" s="45"/>
      <c r="E120" s="45"/>
      <c r="F120" s="45"/>
      <c r="G120" s="45"/>
      <c r="H120" s="45"/>
      <c r="I120" s="45"/>
      <c r="J120" s="45"/>
    </row>
    <row r="121" spans="2:10" x14ac:dyDescent="0.35">
      <c r="B121" s="45"/>
      <c r="C121" s="45"/>
      <c r="D121" s="45"/>
      <c r="E121" s="45"/>
      <c r="F121" s="45"/>
      <c r="G121" s="45"/>
      <c r="H121" s="45"/>
      <c r="I121" s="45"/>
      <c r="J121" s="45"/>
    </row>
    <row r="122" spans="2:10" x14ac:dyDescent="0.35">
      <c r="B122" s="45"/>
      <c r="C122" s="45"/>
      <c r="D122" s="45"/>
      <c r="E122" s="45"/>
      <c r="F122" s="45"/>
      <c r="G122" s="45"/>
      <c r="H122" s="45"/>
      <c r="I122" s="45"/>
      <c r="J122" s="45"/>
    </row>
    <row r="123" spans="2:10" x14ac:dyDescent="0.35">
      <c r="B123" s="45"/>
      <c r="C123" s="45"/>
      <c r="D123" s="45"/>
      <c r="E123" s="45"/>
      <c r="F123" s="45"/>
      <c r="G123" s="45"/>
      <c r="H123" s="45"/>
      <c r="I123" s="45"/>
      <c r="J123" s="45"/>
    </row>
    <row r="124" spans="2:10" x14ac:dyDescent="0.35">
      <c r="B124" s="45"/>
      <c r="C124" s="45"/>
      <c r="D124" s="45"/>
      <c r="E124" s="45"/>
      <c r="F124" s="45"/>
      <c r="G124" s="45"/>
      <c r="H124" s="45"/>
      <c r="I124" s="45"/>
      <c r="J124" s="45"/>
    </row>
    <row r="125" spans="2:10" x14ac:dyDescent="0.35">
      <c r="B125" s="45"/>
      <c r="C125" s="45"/>
      <c r="D125" s="45"/>
      <c r="E125" s="45"/>
      <c r="F125" s="45"/>
      <c r="G125" s="45"/>
      <c r="H125" s="45"/>
      <c r="I125" s="45"/>
      <c r="J125" s="45"/>
    </row>
    <row r="126" spans="2:10" x14ac:dyDescent="0.35">
      <c r="B126" s="45"/>
      <c r="C126" s="45"/>
      <c r="D126" s="45"/>
      <c r="E126" s="45"/>
      <c r="F126" s="45"/>
      <c r="G126" s="45"/>
      <c r="H126" s="45"/>
      <c r="I126" s="45"/>
      <c r="J126" s="45"/>
    </row>
    <row r="127" spans="2:10" x14ac:dyDescent="0.35">
      <c r="B127" s="45"/>
      <c r="C127" s="45"/>
      <c r="D127" s="45"/>
      <c r="E127" s="45"/>
      <c r="F127" s="45"/>
      <c r="G127" s="45"/>
      <c r="H127" s="45"/>
      <c r="I127" s="45"/>
      <c r="J127" s="45"/>
    </row>
    <row r="128" spans="2:10" x14ac:dyDescent="0.35">
      <c r="B128" s="45"/>
      <c r="C128" s="45"/>
      <c r="D128" s="45"/>
      <c r="E128" s="45"/>
      <c r="F128" s="45"/>
      <c r="G128" s="45"/>
      <c r="H128" s="45"/>
      <c r="I128" s="45"/>
      <c r="J128" s="45"/>
    </row>
    <row r="129" spans="2:10" x14ac:dyDescent="0.35">
      <c r="B129" s="45"/>
      <c r="C129" s="45"/>
      <c r="D129" s="45"/>
      <c r="E129" s="45"/>
      <c r="F129" s="45"/>
      <c r="G129" s="45"/>
      <c r="H129" s="45"/>
      <c r="I129" s="45"/>
      <c r="J129" s="45"/>
    </row>
    <row r="130" spans="2:10" x14ac:dyDescent="0.35">
      <c r="B130" s="45"/>
      <c r="C130" s="45"/>
      <c r="D130" s="45"/>
      <c r="E130" s="45"/>
      <c r="F130" s="45"/>
      <c r="G130" s="45"/>
      <c r="H130" s="45"/>
      <c r="I130" s="45"/>
      <c r="J130" s="45"/>
    </row>
    <row r="131" spans="2:10" x14ac:dyDescent="0.35">
      <c r="B131" s="45"/>
      <c r="C131" s="45"/>
      <c r="D131" s="45"/>
      <c r="E131" s="45"/>
      <c r="F131" s="45"/>
      <c r="G131" s="45"/>
      <c r="H131" s="45"/>
      <c r="I131" s="45"/>
      <c r="J131" s="45"/>
    </row>
    <row r="132" spans="2:10" x14ac:dyDescent="0.35">
      <c r="B132" s="45"/>
      <c r="C132" s="45"/>
      <c r="D132" s="45"/>
      <c r="E132" s="45"/>
      <c r="F132" s="45"/>
      <c r="G132" s="45"/>
      <c r="H132" s="45"/>
      <c r="I132" s="45"/>
      <c r="J132" s="45"/>
    </row>
    <row r="133" spans="2:10" x14ac:dyDescent="0.35">
      <c r="B133" s="45"/>
      <c r="C133" s="45"/>
      <c r="D133" s="45"/>
      <c r="E133" s="45"/>
      <c r="F133" s="45"/>
      <c r="G133" s="45"/>
      <c r="H133" s="45"/>
      <c r="I133" s="45"/>
      <c r="J133" s="45"/>
    </row>
    <row r="134" spans="2:10" x14ac:dyDescent="0.35">
      <c r="B134" s="45"/>
      <c r="C134" s="45"/>
      <c r="D134" s="45"/>
      <c r="E134" s="45"/>
      <c r="F134" s="45"/>
      <c r="G134" s="45"/>
      <c r="H134" s="45"/>
      <c r="I134" s="45"/>
      <c r="J134" s="45"/>
    </row>
    <row r="135" spans="2:10" x14ac:dyDescent="0.35">
      <c r="B135" s="45"/>
      <c r="C135" s="45"/>
      <c r="D135" s="45"/>
      <c r="E135" s="45"/>
      <c r="F135" s="45"/>
      <c r="G135" s="45"/>
      <c r="H135" s="45"/>
      <c r="I135" s="45"/>
      <c r="J135" s="45"/>
    </row>
    <row r="136" spans="2:10" x14ac:dyDescent="0.35">
      <c r="B136" s="45"/>
      <c r="C136" s="45"/>
      <c r="D136" s="45"/>
      <c r="E136" s="45"/>
      <c r="F136" s="45"/>
      <c r="G136" s="45"/>
      <c r="H136" s="45"/>
      <c r="I136" s="45"/>
      <c r="J136" s="45"/>
    </row>
    <row r="137" spans="2:10" x14ac:dyDescent="0.35">
      <c r="B137" s="45"/>
      <c r="C137" s="45"/>
      <c r="D137" s="45"/>
      <c r="E137" s="45"/>
      <c r="F137" s="45"/>
      <c r="G137" s="45"/>
      <c r="H137" s="45"/>
      <c r="I137" s="45"/>
      <c r="J137" s="45"/>
    </row>
    <row r="138" spans="2:10" x14ac:dyDescent="0.35">
      <c r="B138" s="45"/>
      <c r="C138" s="45"/>
      <c r="D138" s="45"/>
      <c r="E138" s="45"/>
      <c r="F138" s="45"/>
      <c r="G138" s="45"/>
      <c r="H138" s="45"/>
      <c r="I138" s="45"/>
      <c r="J138" s="45"/>
    </row>
    <row r="139" spans="2:10" x14ac:dyDescent="0.35">
      <c r="B139" s="45"/>
      <c r="C139" s="45"/>
      <c r="D139" s="45"/>
      <c r="E139" s="45"/>
      <c r="F139" s="45"/>
      <c r="G139" s="45"/>
      <c r="H139" s="45"/>
      <c r="I139" s="45"/>
      <c r="J139" s="45"/>
    </row>
    <row r="140" spans="2:10" x14ac:dyDescent="0.35">
      <c r="B140" s="45"/>
      <c r="C140" s="45"/>
      <c r="D140" s="45"/>
      <c r="E140" s="45"/>
      <c r="F140" s="45"/>
      <c r="G140" s="45"/>
      <c r="H140" s="45"/>
      <c r="I140" s="45"/>
      <c r="J140" s="45"/>
    </row>
    <row r="141" spans="2:10" x14ac:dyDescent="0.35">
      <c r="B141" s="45"/>
      <c r="C141" s="45"/>
      <c r="D141" s="45"/>
      <c r="E141" s="45"/>
      <c r="F141" s="45"/>
      <c r="G141" s="45"/>
      <c r="H141" s="45"/>
      <c r="I141" s="45"/>
      <c r="J141" s="45"/>
    </row>
    <row r="142" spans="2:10" x14ac:dyDescent="0.35">
      <c r="B142" s="45"/>
      <c r="C142" s="45"/>
      <c r="D142" s="45"/>
      <c r="E142" s="45"/>
      <c r="F142" s="45"/>
      <c r="G142" s="45"/>
      <c r="H142" s="45"/>
      <c r="I142" s="45"/>
      <c r="J142" s="45"/>
    </row>
    <row r="143" spans="2:10" x14ac:dyDescent="0.35">
      <c r="B143" s="45"/>
      <c r="C143" s="45"/>
      <c r="D143" s="45"/>
      <c r="E143" s="45"/>
      <c r="F143" s="45"/>
      <c r="G143" s="45"/>
      <c r="H143" s="45"/>
      <c r="I143" s="45"/>
      <c r="J143" s="45"/>
    </row>
    <row r="144" spans="2:10" x14ac:dyDescent="0.35">
      <c r="B144" s="45"/>
      <c r="C144" s="45"/>
      <c r="D144" s="45"/>
      <c r="E144" s="45"/>
      <c r="F144" s="45"/>
      <c r="G144" s="45"/>
      <c r="H144" s="45"/>
      <c r="I144" s="45"/>
      <c r="J144" s="45"/>
    </row>
    <row r="145" spans="2:10" x14ac:dyDescent="0.35">
      <c r="B145" s="45"/>
      <c r="C145" s="45"/>
      <c r="D145" s="45"/>
      <c r="E145" s="45"/>
      <c r="F145" s="45"/>
      <c r="G145" s="45"/>
      <c r="H145" s="45"/>
      <c r="I145" s="45"/>
      <c r="J145" s="45"/>
    </row>
    <row r="146" spans="2:10" x14ac:dyDescent="0.35">
      <c r="B146" s="45"/>
      <c r="C146" s="45"/>
      <c r="D146" s="45"/>
      <c r="E146" s="45"/>
      <c r="F146" s="45"/>
      <c r="G146" s="45"/>
      <c r="H146" s="45"/>
      <c r="I146" s="45"/>
      <c r="J146" s="45"/>
    </row>
    <row r="147" spans="2:10" x14ac:dyDescent="0.35">
      <c r="B147" s="45"/>
      <c r="C147" s="45"/>
      <c r="D147" s="45"/>
      <c r="E147" s="45"/>
      <c r="F147" s="45"/>
      <c r="G147" s="45"/>
      <c r="H147" s="45"/>
      <c r="I147" s="45"/>
      <c r="J147" s="45"/>
    </row>
    <row r="148" spans="2:10" x14ac:dyDescent="0.35">
      <c r="B148" s="45"/>
      <c r="C148" s="45"/>
      <c r="D148" s="45"/>
      <c r="E148" s="45"/>
      <c r="F148" s="45"/>
      <c r="G148" s="45"/>
      <c r="H148" s="45"/>
      <c r="I148" s="45"/>
      <c r="J148" s="45"/>
    </row>
    <row r="149" spans="2:10" x14ac:dyDescent="0.35">
      <c r="B149" s="45"/>
      <c r="C149" s="45"/>
      <c r="D149" s="45"/>
      <c r="E149" s="45"/>
      <c r="F149" s="45"/>
      <c r="G149" s="45"/>
      <c r="H149" s="45"/>
      <c r="I149" s="45"/>
      <c r="J149" s="45"/>
    </row>
    <row r="150" spans="2:10" x14ac:dyDescent="0.35">
      <c r="B150" s="45"/>
      <c r="C150" s="45"/>
      <c r="D150" s="45"/>
      <c r="E150" s="45"/>
      <c r="F150" s="45"/>
      <c r="G150" s="45"/>
      <c r="H150" s="45"/>
      <c r="I150" s="45"/>
      <c r="J150" s="45"/>
    </row>
    <row r="151" spans="2:10" x14ac:dyDescent="0.35">
      <c r="B151" s="45"/>
      <c r="C151" s="45"/>
      <c r="D151" s="45"/>
      <c r="E151" s="45"/>
      <c r="F151" s="45"/>
      <c r="G151" s="45"/>
      <c r="H151" s="45"/>
      <c r="I151" s="45"/>
      <c r="J151" s="45"/>
    </row>
    <row r="152" spans="2:10" x14ac:dyDescent="0.35">
      <c r="B152" s="45"/>
      <c r="C152" s="45"/>
      <c r="D152" s="45"/>
      <c r="E152" s="45"/>
      <c r="F152" s="45"/>
      <c r="G152" s="45"/>
      <c r="H152" s="45"/>
      <c r="I152" s="45"/>
      <c r="J152" s="45"/>
    </row>
    <row r="153" spans="2:10" x14ac:dyDescent="0.35">
      <c r="B153" s="45"/>
      <c r="C153" s="45"/>
      <c r="D153" s="45"/>
      <c r="E153" s="45"/>
      <c r="F153" s="45"/>
      <c r="G153" s="45"/>
      <c r="H153" s="45"/>
      <c r="I153" s="45"/>
      <c r="J153" s="45"/>
    </row>
    <row r="154" spans="2:10" x14ac:dyDescent="0.35">
      <c r="B154" s="45"/>
      <c r="C154" s="45"/>
      <c r="D154" s="45"/>
      <c r="E154" s="45"/>
      <c r="F154" s="45"/>
      <c r="G154" s="45"/>
      <c r="H154" s="45"/>
      <c r="I154" s="45"/>
      <c r="J154" s="45"/>
    </row>
    <row r="155" spans="2:10" x14ac:dyDescent="0.35">
      <c r="B155" s="45"/>
      <c r="C155" s="45"/>
      <c r="D155" s="45"/>
      <c r="E155" s="45"/>
      <c r="F155" s="45"/>
      <c r="G155" s="45"/>
      <c r="H155" s="45"/>
      <c r="I155" s="45"/>
      <c r="J155" s="45"/>
    </row>
    <row r="156" spans="2:10" x14ac:dyDescent="0.35">
      <c r="B156" s="45"/>
      <c r="C156" s="45"/>
      <c r="D156" s="45"/>
      <c r="E156" s="45"/>
      <c r="F156" s="45"/>
      <c r="G156" s="45"/>
      <c r="H156" s="45"/>
      <c r="I156" s="45"/>
      <c r="J156" s="45"/>
    </row>
    <row r="157" spans="2:10" x14ac:dyDescent="0.35">
      <c r="B157" s="45"/>
      <c r="C157" s="45"/>
      <c r="D157" s="45"/>
      <c r="E157" s="45"/>
      <c r="F157" s="45"/>
      <c r="G157" s="45"/>
      <c r="H157" s="45"/>
      <c r="I157" s="45"/>
      <c r="J157" s="45"/>
    </row>
    <row r="158" spans="2:10" x14ac:dyDescent="0.35">
      <c r="B158" s="45"/>
      <c r="C158" s="45"/>
      <c r="D158" s="45"/>
      <c r="E158" s="45"/>
      <c r="F158" s="45"/>
      <c r="G158" s="45"/>
      <c r="H158" s="45"/>
      <c r="I158" s="45"/>
      <c r="J158" s="45"/>
    </row>
    <row r="159" spans="2:10" x14ac:dyDescent="0.35">
      <c r="B159" s="45"/>
      <c r="C159" s="45"/>
      <c r="D159" s="45"/>
      <c r="E159" s="45"/>
      <c r="F159" s="45"/>
      <c r="G159" s="45"/>
      <c r="H159" s="45"/>
      <c r="I159" s="45"/>
      <c r="J159" s="45"/>
    </row>
    <row r="160" spans="2:10" x14ac:dyDescent="0.35">
      <c r="B160" s="45"/>
      <c r="C160" s="45"/>
      <c r="D160" s="45"/>
      <c r="E160" s="45"/>
      <c r="F160" s="45"/>
      <c r="G160" s="45"/>
      <c r="H160" s="45"/>
      <c r="I160" s="45"/>
      <c r="J160" s="45"/>
    </row>
    <row r="161" spans="2:10" x14ac:dyDescent="0.35">
      <c r="B161" s="45"/>
      <c r="C161" s="45"/>
      <c r="D161" s="45"/>
      <c r="E161" s="45"/>
      <c r="F161" s="45"/>
      <c r="G161" s="45"/>
      <c r="H161" s="45"/>
      <c r="I161" s="45"/>
      <c r="J161" s="45"/>
    </row>
    <row r="162" spans="2:10" x14ac:dyDescent="0.35">
      <c r="B162" s="45"/>
      <c r="C162" s="45"/>
      <c r="D162" s="45"/>
      <c r="E162" s="45"/>
      <c r="F162" s="45"/>
      <c r="G162" s="45"/>
      <c r="H162" s="45"/>
      <c r="I162" s="45"/>
      <c r="J162" s="45"/>
    </row>
    <row r="163" spans="2:10" x14ac:dyDescent="0.35">
      <c r="B163" s="45"/>
      <c r="C163" s="45"/>
      <c r="D163" s="45"/>
      <c r="E163" s="45"/>
      <c r="F163" s="45"/>
      <c r="G163" s="45"/>
      <c r="H163" s="45"/>
      <c r="I163" s="45"/>
      <c r="J163" s="45"/>
    </row>
    <row r="164" spans="2:10" x14ac:dyDescent="0.35">
      <c r="B164" s="45"/>
      <c r="C164" s="45"/>
      <c r="D164" s="45"/>
      <c r="E164" s="45"/>
      <c r="F164" s="45"/>
      <c r="G164" s="45"/>
      <c r="H164" s="45"/>
      <c r="I164" s="45"/>
      <c r="J164" s="45"/>
    </row>
    <row r="165" spans="2:10" x14ac:dyDescent="0.35">
      <c r="B165" s="45"/>
      <c r="C165" s="45"/>
      <c r="D165" s="45"/>
      <c r="E165" s="45"/>
      <c r="F165" s="45"/>
      <c r="G165" s="45"/>
      <c r="H165" s="45"/>
      <c r="I165" s="45"/>
      <c r="J165" s="45"/>
    </row>
    <row r="166" spans="2:10" x14ac:dyDescent="0.35">
      <c r="B166" s="45"/>
      <c r="C166" s="45"/>
      <c r="D166" s="45"/>
      <c r="E166" s="45"/>
      <c r="F166" s="45"/>
      <c r="G166" s="45"/>
      <c r="H166" s="45"/>
      <c r="I166" s="45"/>
      <c r="J166" s="45"/>
    </row>
    <row r="167" spans="2:10" x14ac:dyDescent="0.35">
      <c r="B167" s="45"/>
      <c r="C167" s="45"/>
      <c r="D167" s="45"/>
      <c r="E167" s="45"/>
      <c r="F167" s="45"/>
      <c r="G167" s="45"/>
      <c r="H167" s="45"/>
      <c r="I167" s="45"/>
      <c r="J167" s="45"/>
    </row>
    <row r="168" spans="2:10" x14ac:dyDescent="0.35">
      <c r="B168" s="45"/>
      <c r="C168" s="45"/>
      <c r="D168" s="45"/>
      <c r="E168" s="45"/>
      <c r="F168" s="45"/>
      <c r="G168" s="45"/>
      <c r="H168" s="45"/>
      <c r="I168" s="45"/>
      <c r="J168" s="45"/>
    </row>
    <row r="169" spans="2:10" x14ac:dyDescent="0.35">
      <c r="B169" s="45"/>
      <c r="C169" s="45"/>
      <c r="D169" s="45"/>
      <c r="E169" s="45"/>
      <c r="F169" s="45"/>
      <c r="G169" s="45"/>
      <c r="H169" s="45"/>
      <c r="I169" s="45"/>
      <c r="J169" s="45"/>
    </row>
    <row r="170" spans="2:10" x14ac:dyDescent="0.35">
      <c r="B170" s="45"/>
      <c r="C170" s="45"/>
      <c r="D170" s="45"/>
      <c r="E170" s="45"/>
      <c r="F170" s="45"/>
      <c r="G170" s="45"/>
      <c r="H170" s="45"/>
      <c r="I170" s="45"/>
      <c r="J170" s="45"/>
    </row>
    <row r="171" spans="2:10" x14ac:dyDescent="0.35">
      <c r="B171" s="45"/>
      <c r="C171" s="45"/>
      <c r="D171" s="45"/>
      <c r="E171" s="45"/>
      <c r="F171" s="45"/>
      <c r="G171" s="45"/>
      <c r="H171" s="45"/>
      <c r="I171" s="45"/>
      <c r="J171" s="45"/>
    </row>
    <row r="172" spans="2:10" x14ac:dyDescent="0.35">
      <c r="B172" s="45"/>
      <c r="C172" s="45"/>
      <c r="D172" s="45"/>
      <c r="E172" s="45"/>
      <c r="F172" s="45"/>
      <c r="G172" s="45"/>
      <c r="H172" s="45"/>
      <c r="I172" s="45"/>
      <c r="J172" s="45"/>
    </row>
    <row r="173" spans="2:10" x14ac:dyDescent="0.35">
      <c r="B173" s="45"/>
      <c r="C173" s="45"/>
      <c r="D173" s="45"/>
      <c r="E173" s="45"/>
      <c r="F173" s="45"/>
      <c r="G173" s="45"/>
      <c r="H173" s="45"/>
      <c r="I173" s="45"/>
      <c r="J173" s="45"/>
    </row>
    <row r="174" spans="2:10" x14ac:dyDescent="0.35">
      <c r="B174" s="45"/>
      <c r="C174" s="45"/>
      <c r="D174" s="45"/>
      <c r="E174" s="45"/>
      <c r="F174" s="45"/>
      <c r="G174" s="45"/>
      <c r="H174" s="45"/>
      <c r="I174" s="45"/>
      <c r="J174" s="45"/>
    </row>
    <row r="175" spans="2:10" x14ac:dyDescent="0.35">
      <c r="B175" s="45"/>
      <c r="C175" s="45"/>
      <c r="D175" s="45"/>
      <c r="E175" s="45"/>
      <c r="F175" s="45"/>
      <c r="G175" s="45"/>
      <c r="H175" s="45"/>
      <c r="I175" s="45"/>
      <c r="J175" s="45"/>
    </row>
    <row r="176" spans="2:10" x14ac:dyDescent="0.35">
      <c r="B176" s="45"/>
      <c r="C176" s="45"/>
      <c r="D176" s="45"/>
      <c r="E176" s="45"/>
      <c r="F176" s="45"/>
      <c r="G176" s="45"/>
      <c r="H176" s="45"/>
      <c r="I176" s="45"/>
      <c r="J176" s="45"/>
    </row>
    <row r="177" spans="2:10" x14ac:dyDescent="0.35">
      <c r="B177" s="45"/>
      <c r="C177" s="45"/>
      <c r="D177" s="45"/>
      <c r="E177" s="45"/>
      <c r="F177" s="45"/>
      <c r="G177" s="45"/>
      <c r="H177" s="45"/>
      <c r="I177" s="45"/>
      <c r="J177" s="45"/>
    </row>
    <row r="178" spans="2:10" x14ac:dyDescent="0.35">
      <c r="B178" s="45"/>
      <c r="C178" s="45"/>
      <c r="D178" s="45"/>
      <c r="E178" s="45"/>
      <c r="F178" s="45"/>
      <c r="G178" s="45"/>
      <c r="H178" s="45"/>
      <c r="I178" s="45"/>
      <c r="J178" s="45"/>
    </row>
    <row r="179" spans="2:10" x14ac:dyDescent="0.35">
      <c r="B179" s="45"/>
      <c r="C179" s="45"/>
      <c r="D179" s="45"/>
      <c r="E179" s="45"/>
      <c r="F179" s="45"/>
      <c r="G179" s="45"/>
      <c r="H179" s="45"/>
      <c r="I179" s="45"/>
      <c r="J179" s="45"/>
    </row>
    <row r="180" spans="2:10" x14ac:dyDescent="0.35">
      <c r="B180" s="45"/>
      <c r="C180" s="45"/>
      <c r="D180" s="45"/>
      <c r="E180" s="45"/>
      <c r="F180" s="45"/>
      <c r="G180" s="45"/>
      <c r="H180" s="45"/>
      <c r="I180" s="45"/>
      <c r="J180" s="45"/>
    </row>
    <row r="181" spans="2:10" x14ac:dyDescent="0.35">
      <c r="B181" s="45"/>
      <c r="C181" s="45"/>
      <c r="D181" s="45"/>
      <c r="E181" s="45"/>
      <c r="F181" s="45"/>
      <c r="G181" s="45"/>
      <c r="H181" s="45"/>
      <c r="I181" s="45"/>
      <c r="J181" s="45"/>
    </row>
    <row r="182" spans="2:10" x14ac:dyDescent="0.35">
      <c r="B182" s="45"/>
      <c r="C182" s="45"/>
      <c r="D182" s="45"/>
      <c r="E182" s="45"/>
      <c r="F182" s="45"/>
      <c r="G182" s="45"/>
      <c r="H182" s="45"/>
      <c r="I182" s="45"/>
      <c r="J182" s="45"/>
    </row>
    <row r="183" spans="2:10" x14ac:dyDescent="0.35">
      <c r="B183" s="45"/>
      <c r="C183" s="45"/>
      <c r="D183" s="45"/>
      <c r="E183" s="45"/>
      <c r="F183" s="45"/>
      <c r="G183" s="45"/>
      <c r="H183" s="45"/>
      <c r="I183" s="45"/>
      <c r="J183" s="45"/>
    </row>
    <row r="184" spans="2:10" x14ac:dyDescent="0.35">
      <c r="B184" s="45"/>
      <c r="C184" s="45"/>
      <c r="D184" s="45"/>
      <c r="E184" s="45"/>
      <c r="F184" s="45"/>
      <c r="G184" s="45"/>
      <c r="H184" s="45"/>
      <c r="I184" s="45"/>
      <c r="J184" s="45"/>
    </row>
    <row r="185" spans="2:10" x14ac:dyDescent="0.35">
      <c r="B185" s="45"/>
      <c r="C185" s="45"/>
      <c r="D185" s="45"/>
      <c r="E185" s="45"/>
      <c r="F185" s="45"/>
      <c r="G185" s="45"/>
      <c r="H185" s="45"/>
      <c r="I185" s="45"/>
      <c r="J185" s="45"/>
    </row>
    <row r="186" spans="2:10" x14ac:dyDescent="0.35">
      <c r="B186" s="45"/>
      <c r="C186" s="45"/>
      <c r="D186" s="45"/>
      <c r="E186" s="45"/>
      <c r="F186" s="45"/>
      <c r="G186" s="45"/>
      <c r="H186" s="45"/>
      <c r="I186" s="45"/>
      <c r="J186" s="45"/>
    </row>
    <row r="187" spans="2:10" x14ac:dyDescent="0.35">
      <c r="B187" s="45"/>
      <c r="C187" s="45"/>
      <c r="D187" s="45"/>
      <c r="E187" s="45"/>
      <c r="F187" s="45"/>
      <c r="G187" s="45"/>
      <c r="H187" s="45"/>
      <c r="I187" s="45"/>
      <c r="J187" s="45"/>
    </row>
    <row r="188" spans="2:10" x14ac:dyDescent="0.35">
      <c r="B188" s="45"/>
      <c r="C188" s="45"/>
      <c r="D188" s="45"/>
      <c r="E188" s="45"/>
      <c r="F188" s="45"/>
      <c r="G188" s="45"/>
      <c r="H188" s="45"/>
      <c r="I188" s="45"/>
      <c r="J188" s="45"/>
    </row>
    <row r="189" spans="2:10" x14ac:dyDescent="0.35">
      <c r="B189" s="45"/>
      <c r="C189" s="45"/>
      <c r="D189" s="45"/>
      <c r="E189" s="45"/>
      <c r="F189" s="45"/>
      <c r="G189" s="45"/>
      <c r="H189" s="45"/>
      <c r="I189" s="45"/>
      <c r="J189" s="45"/>
    </row>
    <row r="190" spans="2:10" x14ac:dyDescent="0.35">
      <c r="B190" s="45"/>
      <c r="C190" s="45"/>
      <c r="D190" s="45"/>
      <c r="E190" s="45"/>
      <c r="F190" s="45"/>
      <c r="G190" s="45"/>
      <c r="H190" s="45"/>
      <c r="I190" s="45"/>
      <c r="J190" s="45"/>
    </row>
    <row r="191" spans="2:10" x14ac:dyDescent="0.35">
      <c r="B191" s="45"/>
      <c r="C191" s="45"/>
      <c r="D191" s="45"/>
      <c r="E191" s="45"/>
      <c r="F191" s="45"/>
      <c r="G191" s="45"/>
      <c r="H191" s="45"/>
      <c r="I191" s="45"/>
      <c r="J191" s="45"/>
    </row>
    <row r="192" spans="2:10" x14ac:dyDescent="0.35">
      <c r="B192" s="45"/>
      <c r="C192" s="45"/>
      <c r="D192" s="45"/>
      <c r="E192" s="45"/>
      <c r="F192" s="45"/>
      <c r="G192" s="45"/>
      <c r="H192" s="45"/>
      <c r="I192" s="45"/>
      <c r="J192" s="45"/>
    </row>
    <row r="193" spans="2:10" x14ac:dyDescent="0.35">
      <c r="B193" s="45"/>
      <c r="C193" s="45"/>
      <c r="D193" s="45"/>
      <c r="E193" s="45"/>
      <c r="F193" s="45"/>
      <c r="G193" s="45"/>
      <c r="H193" s="45"/>
      <c r="I193" s="45"/>
      <c r="J193" s="45"/>
    </row>
    <row r="194" spans="2:10" x14ac:dyDescent="0.35">
      <c r="B194" s="45"/>
      <c r="C194" s="45"/>
      <c r="D194" s="45"/>
      <c r="E194" s="45"/>
      <c r="F194" s="45"/>
      <c r="G194" s="45"/>
      <c r="H194" s="45"/>
      <c r="I194" s="45"/>
      <c r="J194" s="45"/>
    </row>
    <row r="195" spans="2:10" x14ac:dyDescent="0.35">
      <c r="B195" s="45"/>
      <c r="C195" s="45"/>
      <c r="D195" s="45"/>
      <c r="E195" s="45"/>
      <c r="F195" s="45"/>
      <c r="G195" s="45"/>
      <c r="H195" s="45"/>
      <c r="I195" s="45"/>
      <c r="J195" s="45"/>
    </row>
    <row r="196" spans="2:10" x14ac:dyDescent="0.35">
      <c r="B196" s="45"/>
      <c r="C196" s="45"/>
      <c r="D196" s="45"/>
      <c r="E196" s="45"/>
      <c r="F196" s="45"/>
      <c r="G196" s="45"/>
      <c r="H196" s="45"/>
      <c r="I196" s="45"/>
      <c r="J196" s="45"/>
    </row>
    <row r="197" spans="2:10" x14ac:dyDescent="0.35">
      <c r="B197" s="45"/>
      <c r="C197" s="45"/>
      <c r="D197" s="45"/>
      <c r="E197" s="45"/>
      <c r="F197" s="45"/>
      <c r="G197" s="45"/>
      <c r="H197" s="45"/>
      <c r="I197" s="45"/>
      <c r="J197" s="45"/>
    </row>
    <row r="198" spans="2:10" x14ac:dyDescent="0.35">
      <c r="B198" s="45"/>
      <c r="C198" s="45"/>
      <c r="D198" s="45"/>
      <c r="E198" s="45"/>
      <c r="F198" s="45"/>
      <c r="G198" s="45"/>
      <c r="H198" s="45"/>
      <c r="I198" s="45"/>
      <c r="J198" s="45"/>
    </row>
    <row r="199" spans="2:10" x14ac:dyDescent="0.35">
      <c r="B199" s="45"/>
      <c r="C199" s="45"/>
      <c r="D199" s="45"/>
      <c r="E199" s="45"/>
      <c r="F199" s="45"/>
      <c r="G199" s="45"/>
      <c r="H199" s="45"/>
      <c r="I199" s="45"/>
      <c r="J199" s="45"/>
    </row>
    <row r="200" spans="2:10" x14ac:dyDescent="0.35">
      <c r="B200" s="45"/>
      <c r="C200" s="45"/>
      <c r="D200" s="45"/>
      <c r="E200" s="45"/>
      <c r="F200" s="45"/>
      <c r="G200" s="45"/>
      <c r="H200" s="45"/>
      <c r="I200" s="45"/>
      <c r="J200" s="45"/>
    </row>
    <row r="201" spans="2:10" x14ac:dyDescent="0.35">
      <c r="B201" s="45"/>
      <c r="C201" s="45"/>
      <c r="D201" s="45"/>
      <c r="E201" s="45"/>
      <c r="F201" s="45"/>
      <c r="G201" s="45"/>
      <c r="H201" s="45"/>
      <c r="I201" s="45"/>
      <c r="J201" s="45"/>
    </row>
    <row r="202" spans="2:10" x14ac:dyDescent="0.35">
      <c r="B202" s="45"/>
      <c r="C202" s="45"/>
      <c r="D202" s="45"/>
      <c r="E202" s="45"/>
      <c r="F202" s="45"/>
      <c r="G202" s="45"/>
      <c r="H202" s="45"/>
      <c r="I202" s="45"/>
      <c r="J202" s="45"/>
    </row>
    <row r="203" spans="2:10" x14ac:dyDescent="0.35">
      <c r="B203" s="45"/>
      <c r="C203" s="45"/>
      <c r="D203" s="45"/>
      <c r="E203" s="45"/>
      <c r="F203" s="45"/>
      <c r="G203" s="45"/>
      <c r="H203" s="45"/>
      <c r="I203" s="45"/>
      <c r="J203" s="45"/>
    </row>
    <row r="204" spans="2:10" x14ac:dyDescent="0.35">
      <c r="B204" s="45"/>
      <c r="C204" s="45"/>
      <c r="D204" s="45"/>
      <c r="E204" s="45"/>
      <c r="F204" s="45"/>
      <c r="G204" s="45"/>
      <c r="H204" s="45"/>
      <c r="I204" s="45"/>
      <c r="J204" s="45"/>
    </row>
    <row r="205" spans="2:10" x14ac:dyDescent="0.35">
      <c r="B205" s="45"/>
      <c r="C205" s="45"/>
      <c r="D205" s="45"/>
      <c r="E205" s="45"/>
      <c r="F205" s="45"/>
      <c r="G205" s="45"/>
      <c r="H205" s="45"/>
      <c r="I205" s="45"/>
      <c r="J205" s="45"/>
    </row>
    <row r="206" spans="2:10" x14ac:dyDescent="0.35">
      <c r="B206" s="45"/>
      <c r="C206" s="45"/>
      <c r="D206" s="45"/>
      <c r="E206" s="45"/>
      <c r="F206" s="45"/>
      <c r="G206" s="45"/>
      <c r="H206" s="45"/>
      <c r="I206" s="45"/>
      <c r="J206" s="45"/>
    </row>
    <row r="207" spans="2:10" x14ac:dyDescent="0.35">
      <c r="B207" s="45"/>
      <c r="C207" s="45"/>
      <c r="D207" s="45"/>
      <c r="E207" s="45"/>
      <c r="F207" s="45"/>
      <c r="G207" s="45"/>
      <c r="H207" s="45"/>
      <c r="I207" s="45"/>
      <c r="J207" s="45"/>
    </row>
    <row r="208" spans="2:10" x14ac:dyDescent="0.35">
      <c r="B208" s="45"/>
      <c r="C208" s="45"/>
      <c r="D208" s="45"/>
      <c r="E208" s="45"/>
      <c r="F208" s="45"/>
      <c r="G208" s="45"/>
      <c r="H208" s="45"/>
      <c r="I208" s="45"/>
      <c r="J208" s="45"/>
    </row>
    <row r="209" spans="2:10" x14ac:dyDescent="0.35">
      <c r="B209" s="45"/>
      <c r="C209" s="45"/>
      <c r="D209" s="45"/>
      <c r="E209" s="45"/>
      <c r="F209" s="45"/>
      <c r="G209" s="45"/>
      <c r="H209" s="45"/>
      <c r="I209" s="45"/>
      <c r="J209" s="45"/>
    </row>
    <row r="210" spans="2:10" x14ac:dyDescent="0.35">
      <c r="B210" s="45"/>
      <c r="C210" s="45"/>
      <c r="D210" s="45"/>
      <c r="E210" s="45"/>
      <c r="F210" s="45"/>
      <c r="G210" s="45"/>
      <c r="H210" s="45"/>
      <c r="I210" s="45"/>
      <c r="J210" s="45"/>
    </row>
    <row r="211" spans="2:10" x14ac:dyDescent="0.35">
      <c r="B211" s="45"/>
      <c r="C211" s="45"/>
      <c r="D211" s="45"/>
      <c r="E211" s="45"/>
      <c r="F211" s="45"/>
      <c r="G211" s="45"/>
      <c r="H211" s="45"/>
      <c r="I211" s="45"/>
      <c r="J211" s="45"/>
    </row>
    <row r="212" spans="2:10" x14ac:dyDescent="0.35">
      <c r="B212" s="45"/>
      <c r="C212" s="45"/>
      <c r="D212" s="45"/>
      <c r="E212" s="45"/>
      <c r="F212" s="45"/>
      <c r="G212" s="45"/>
      <c r="H212" s="45"/>
      <c r="I212" s="45"/>
      <c r="J212" s="45"/>
    </row>
    <row r="213" spans="2:10" x14ac:dyDescent="0.35">
      <c r="B213" s="45"/>
      <c r="C213" s="45"/>
      <c r="D213" s="45"/>
      <c r="E213" s="45"/>
      <c r="F213" s="45"/>
      <c r="G213" s="45"/>
      <c r="H213" s="45"/>
      <c r="I213" s="45"/>
      <c r="J213" s="45"/>
    </row>
    <row r="214" spans="2:10" x14ac:dyDescent="0.35">
      <c r="B214" s="45"/>
      <c r="C214" s="45"/>
      <c r="D214" s="45"/>
      <c r="E214" s="45"/>
      <c r="F214" s="45"/>
      <c r="G214" s="45"/>
      <c r="H214" s="45"/>
      <c r="I214" s="45"/>
      <c r="J214" s="45"/>
    </row>
    <row r="215" spans="2:10" x14ac:dyDescent="0.35">
      <c r="B215" s="45"/>
      <c r="C215" s="45"/>
      <c r="D215" s="45"/>
      <c r="E215" s="45"/>
      <c r="F215" s="45"/>
      <c r="G215" s="45"/>
      <c r="H215" s="45"/>
      <c r="I215" s="45"/>
      <c r="J215" s="45"/>
    </row>
    <row r="216" spans="2:10" x14ac:dyDescent="0.35">
      <c r="B216" s="45"/>
      <c r="C216" s="45"/>
      <c r="D216" s="45"/>
      <c r="E216" s="45"/>
      <c r="F216" s="45"/>
      <c r="G216" s="45"/>
      <c r="H216" s="45"/>
      <c r="I216" s="45"/>
      <c r="J216" s="45"/>
    </row>
    <row r="217" spans="2:10" x14ac:dyDescent="0.35">
      <c r="B217" s="45"/>
      <c r="C217" s="45"/>
      <c r="D217" s="45"/>
      <c r="E217" s="45"/>
      <c r="F217" s="45"/>
      <c r="G217" s="45"/>
      <c r="H217" s="45"/>
      <c r="I217" s="45"/>
      <c r="J217" s="45"/>
    </row>
    <row r="218" spans="2:10" x14ac:dyDescent="0.35">
      <c r="B218" s="45"/>
      <c r="C218" s="45"/>
      <c r="D218" s="45"/>
      <c r="E218" s="45"/>
      <c r="F218" s="45"/>
      <c r="G218" s="45"/>
      <c r="H218" s="45"/>
      <c r="I218" s="45"/>
      <c r="J218" s="45"/>
    </row>
    <row r="219" spans="2:10" x14ac:dyDescent="0.35">
      <c r="B219" s="45"/>
      <c r="C219" s="45"/>
      <c r="D219" s="45"/>
      <c r="E219" s="45"/>
      <c r="F219" s="45"/>
      <c r="G219" s="45"/>
      <c r="H219" s="45"/>
      <c r="I219" s="45"/>
      <c r="J219" s="45"/>
    </row>
    <row r="220" spans="2:10" x14ac:dyDescent="0.35">
      <c r="B220" s="45"/>
      <c r="C220" s="45"/>
      <c r="D220" s="45"/>
      <c r="E220" s="45"/>
      <c r="F220" s="45"/>
      <c r="G220" s="45"/>
      <c r="H220" s="45"/>
      <c r="I220" s="45"/>
      <c r="J220" s="45"/>
    </row>
    <row r="221" spans="2:10" x14ac:dyDescent="0.35">
      <c r="B221" s="45"/>
      <c r="C221" s="45"/>
      <c r="D221" s="45"/>
      <c r="E221" s="45"/>
      <c r="F221" s="45"/>
      <c r="G221" s="45"/>
      <c r="H221" s="45"/>
      <c r="I221" s="45"/>
      <c r="J221" s="45"/>
    </row>
    <row r="222" spans="2:10" x14ac:dyDescent="0.35">
      <c r="B222" s="45"/>
      <c r="C222" s="45"/>
      <c r="D222" s="45"/>
      <c r="E222" s="45"/>
      <c r="F222" s="45"/>
      <c r="G222" s="45"/>
      <c r="H222" s="45"/>
      <c r="I222" s="45"/>
      <c r="J222" s="45"/>
    </row>
    <row r="223" spans="2:10" x14ac:dyDescent="0.35">
      <c r="B223" s="45"/>
      <c r="C223" s="45"/>
      <c r="D223" s="45"/>
      <c r="E223" s="45"/>
      <c r="F223" s="45"/>
      <c r="G223" s="45"/>
      <c r="H223" s="45"/>
      <c r="I223" s="45"/>
      <c r="J223" s="45"/>
    </row>
    <row r="224" spans="2:10" x14ac:dyDescent="0.35">
      <c r="B224" s="45"/>
      <c r="C224" s="45"/>
      <c r="D224" s="45"/>
      <c r="E224" s="45"/>
      <c r="F224" s="45"/>
      <c r="G224" s="45"/>
      <c r="H224" s="45"/>
      <c r="I224" s="45"/>
      <c r="J224" s="45"/>
    </row>
    <row r="225" spans="2:10" x14ac:dyDescent="0.35">
      <c r="B225" s="45"/>
      <c r="C225" s="45"/>
      <c r="D225" s="45"/>
      <c r="E225" s="45"/>
      <c r="F225" s="45"/>
      <c r="G225" s="45"/>
      <c r="H225" s="45"/>
      <c r="I225" s="45"/>
      <c r="J225" s="45"/>
    </row>
    <row r="226" spans="2:10" x14ac:dyDescent="0.35">
      <c r="B226" s="45"/>
      <c r="C226" s="45"/>
      <c r="D226" s="45"/>
      <c r="E226" s="45"/>
      <c r="F226" s="45"/>
      <c r="G226" s="45"/>
      <c r="H226" s="45"/>
      <c r="I226" s="45"/>
      <c r="J226" s="45"/>
    </row>
    <row r="227" spans="2:10" x14ac:dyDescent="0.35">
      <c r="B227" s="45"/>
      <c r="C227" s="45"/>
      <c r="D227" s="45"/>
      <c r="E227" s="45"/>
      <c r="F227" s="45"/>
      <c r="G227" s="45"/>
      <c r="H227" s="45"/>
      <c r="I227" s="45"/>
      <c r="J227" s="45"/>
    </row>
    <row r="228" spans="2:10" x14ac:dyDescent="0.35">
      <c r="B228" s="45"/>
      <c r="C228" s="45"/>
      <c r="D228" s="45"/>
      <c r="E228" s="45"/>
      <c r="F228" s="45"/>
      <c r="G228" s="45"/>
      <c r="H228" s="45"/>
      <c r="I228" s="45"/>
      <c r="J228" s="45"/>
    </row>
    <row r="229" spans="2:10" x14ac:dyDescent="0.35">
      <c r="B229" s="45"/>
      <c r="C229" s="45"/>
      <c r="D229" s="45"/>
      <c r="E229" s="45"/>
      <c r="F229" s="45"/>
      <c r="G229" s="45"/>
      <c r="H229" s="45"/>
      <c r="I229" s="45"/>
      <c r="J229" s="45"/>
    </row>
    <row r="230" spans="2:10" x14ac:dyDescent="0.35">
      <c r="B230" s="45"/>
      <c r="C230" s="45"/>
      <c r="D230" s="45"/>
      <c r="E230" s="45"/>
      <c r="F230" s="45"/>
      <c r="G230" s="45"/>
      <c r="H230" s="45"/>
      <c r="I230" s="45"/>
      <c r="J230" s="45"/>
    </row>
    <row r="231" spans="2:10" x14ac:dyDescent="0.35">
      <c r="B231" s="45"/>
      <c r="C231" s="45"/>
      <c r="D231" s="45"/>
      <c r="E231" s="45"/>
      <c r="F231" s="45"/>
      <c r="G231" s="45"/>
      <c r="H231" s="45"/>
      <c r="I231" s="45"/>
      <c r="J231" s="45"/>
    </row>
    <row r="232" spans="2:10" x14ac:dyDescent="0.35">
      <c r="B232" s="45"/>
      <c r="C232" s="45"/>
      <c r="D232" s="45"/>
      <c r="E232" s="45"/>
      <c r="F232" s="45"/>
      <c r="G232" s="45"/>
      <c r="H232" s="45"/>
      <c r="I232" s="45"/>
      <c r="J232" s="45"/>
    </row>
    <row r="233" spans="2:10" x14ac:dyDescent="0.35">
      <c r="B233" s="45"/>
      <c r="C233" s="45"/>
      <c r="D233" s="45"/>
      <c r="E233" s="45"/>
      <c r="F233" s="45"/>
      <c r="G233" s="45"/>
      <c r="H233" s="45"/>
      <c r="I233" s="45"/>
      <c r="J233" s="45"/>
    </row>
    <row r="234" spans="2:10" x14ac:dyDescent="0.35">
      <c r="B234" s="45"/>
      <c r="C234" s="45"/>
      <c r="D234" s="45"/>
      <c r="E234" s="45"/>
      <c r="F234" s="45"/>
      <c r="G234" s="45"/>
      <c r="H234" s="45"/>
      <c r="I234" s="45"/>
      <c r="J234" s="45"/>
    </row>
    <row r="235" spans="2:10" x14ac:dyDescent="0.35">
      <c r="B235" s="45"/>
      <c r="C235" s="45"/>
      <c r="D235" s="45"/>
      <c r="E235" s="45"/>
      <c r="F235" s="45"/>
      <c r="G235" s="45"/>
      <c r="H235" s="45"/>
      <c r="I235" s="45"/>
      <c r="J235" s="45"/>
    </row>
    <row r="236" spans="2:10" x14ac:dyDescent="0.35">
      <c r="B236" s="45"/>
      <c r="C236" s="45"/>
      <c r="D236" s="45"/>
      <c r="E236" s="45"/>
      <c r="F236" s="45"/>
      <c r="G236" s="45"/>
      <c r="H236" s="45"/>
      <c r="I236" s="45"/>
      <c r="J236" s="45"/>
    </row>
    <row r="237" spans="2:10" x14ac:dyDescent="0.35">
      <c r="B237" s="45"/>
      <c r="C237" s="45"/>
      <c r="D237" s="45"/>
      <c r="E237" s="45"/>
      <c r="F237" s="45"/>
      <c r="G237" s="45"/>
      <c r="H237" s="45"/>
      <c r="I237" s="45"/>
      <c r="J237" s="45"/>
    </row>
    <row r="238" spans="2:10" x14ac:dyDescent="0.35">
      <c r="B238" s="45"/>
      <c r="C238" s="45"/>
      <c r="D238" s="45"/>
      <c r="E238" s="45"/>
      <c r="F238" s="45"/>
      <c r="G238" s="45"/>
      <c r="H238" s="45"/>
      <c r="I238" s="45"/>
      <c r="J238" s="45"/>
    </row>
    <row r="239" spans="2:10" x14ac:dyDescent="0.35">
      <c r="B239" s="45"/>
      <c r="C239" s="45"/>
      <c r="D239" s="45"/>
      <c r="E239" s="45"/>
      <c r="F239" s="45"/>
      <c r="G239" s="45"/>
      <c r="H239" s="45"/>
      <c r="I239" s="45"/>
      <c r="J239" s="45"/>
    </row>
    <row r="240" spans="2:10" x14ac:dyDescent="0.35">
      <c r="B240" s="45"/>
      <c r="C240" s="45"/>
      <c r="D240" s="45"/>
      <c r="E240" s="45"/>
      <c r="F240" s="45"/>
      <c r="G240" s="45"/>
      <c r="H240" s="45"/>
      <c r="I240" s="45"/>
      <c r="J240" s="45"/>
    </row>
    <row r="241" spans="2:10" x14ac:dyDescent="0.35">
      <c r="B241" s="45"/>
      <c r="C241" s="45"/>
      <c r="D241" s="45"/>
      <c r="E241" s="45"/>
      <c r="F241" s="45"/>
      <c r="G241" s="45"/>
      <c r="H241" s="45"/>
      <c r="I241" s="45"/>
      <c r="J241" s="45"/>
    </row>
    <row r="242" spans="2:10" x14ac:dyDescent="0.35">
      <c r="B242" s="45"/>
      <c r="C242" s="45"/>
      <c r="D242" s="45"/>
      <c r="E242" s="45"/>
      <c r="F242" s="45"/>
      <c r="G242" s="45"/>
      <c r="H242" s="45"/>
      <c r="I242" s="45"/>
      <c r="J242" s="45"/>
    </row>
    <row r="243" spans="2:10" x14ac:dyDescent="0.35">
      <c r="B243" s="45"/>
      <c r="C243" s="45"/>
      <c r="D243" s="45"/>
      <c r="E243" s="45"/>
      <c r="F243" s="45"/>
      <c r="G243" s="45"/>
      <c r="H243" s="45"/>
      <c r="I243" s="45"/>
      <c r="J243" s="45"/>
    </row>
    <row r="244" spans="2:10" x14ac:dyDescent="0.35">
      <c r="B244" s="45"/>
      <c r="C244" s="45"/>
      <c r="D244" s="45"/>
      <c r="E244" s="45"/>
      <c r="F244" s="45"/>
      <c r="G244" s="45"/>
      <c r="H244" s="45"/>
      <c r="I244" s="45"/>
      <c r="J244" s="45"/>
    </row>
    <row r="245" spans="2:10" x14ac:dyDescent="0.35">
      <c r="B245" s="45"/>
      <c r="C245" s="45"/>
      <c r="D245" s="45"/>
      <c r="E245" s="45"/>
      <c r="F245" s="45"/>
      <c r="G245" s="45"/>
      <c r="H245" s="45"/>
      <c r="I245" s="45"/>
      <c r="J245" s="45"/>
    </row>
    <row r="246" spans="2:10" x14ac:dyDescent="0.35">
      <c r="B246" s="45"/>
      <c r="C246" s="45"/>
      <c r="D246" s="45"/>
      <c r="E246" s="45"/>
      <c r="F246" s="45"/>
      <c r="G246" s="45"/>
      <c r="H246" s="45"/>
      <c r="I246" s="45"/>
      <c r="J246" s="45"/>
    </row>
    <row r="247" spans="2:10" x14ac:dyDescent="0.35">
      <c r="B247" s="45"/>
      <c r="C247" s="45"/>
      <c r="D247" s="45"/>
      <c r="E247" s="45"/>
      <c r="F247" s="45"/>
      <c r="G247" s="45"/>
      <c r="H247" s="45"/>
      <c r="I247" s="45"/>
      <c r="J247" s="45"/>
    </row>
    <row r="248" spans="2:10" x14ac:dyDescent="0.35">
      <c r="B248" s="45"/>
      <c r="C248" s="45"/>
      <c r="D248" s="45"/>
      <c r="E248" s="45"/>
      <c r="F248" s="45"/>
      <c r="G248" s="45"/>
      <c r="H248" s="45"/>
      <c r="I248" s="45"/>
      <c r="J248" s="45"/>
    </row>
    <row r="249" spans="2:10" x14ac:dyDescent="0.35">
      <c r="B249" s="45"/>
      <c r="C249" s="45"/>
      <c r="D249" s="45"/>
      <c r="E249" s="45"/>
      <c r="F249" s="45"/>
      <c r="G249" s="45"/>
      <c r="H249" s="45"/>
      <c r="I249" s="45"/>
      <c r="J249" s="45"/>
    </row>
    <row r="250" spans="2:10" x14ac:dyDescent="0.35">
      <c r="B250" s="45"/>
      <c r="C250" s="45"/>
      <c r="D250" s="45"/>
      <c r="E250" s="45"/>
      <c r="F250" s="45"/>
      <c r="G250" s="45"/>
      <c r="H250" s="45"/>
      <c r="I250" s="45"/>
      <c r="J250" s="45"/>
    </row>
    <row r="251" spans="2:10" x14ac:dyDescent="0.35">
      <c r="B251" s="45"/>
      <c r="C251" s="45"/>
      <c r="D251" s="45"/>
      <c r="E251" s="45"/>
      <c r="F251" s="45"/>
      <c r="G251" s="45"/>
      <c r="H251" s="45"/>
      <c r="I251" s="45"/>
      <c r="J251" s="45"/>
    </row>
    <row r="252" spans="2:10" x14ac:dyDescent="0.35">
      <c r="B252" s="45"/>
      <c r="C252" s="45"/>
      <c r="D252" s="45"/>
      <c r="E252" s="45"/>
      <c r="F252" s="45"/>
      <c r="G252" s="45"/>
      <c r="H252" s="45"/>
      <c r="I252" s="45"/>
      <c r="J252" s="45"/>
    </row>
    <row r="253" spans="2:10" x14ac:dyDescent="0.35">
      <c r="B253" s="45"/>
      <c r="C253" s="45"/>
      <c r="D253" s="45"/>
      <c r="E253" s="45"/>
      <c r="F253" s="45"/>
      <c r="G253" s="45"/>
      <c r="H253" s="45"/>
      <c r="I253" s="45"/>
      <c r="J253" s="45"/>
    </row>
    <row r="254" spans="2:10" x14ac:dyDescent="0.35">
      <c r="B254" s="45"/>
      <c r="C254" s="45"/>
      <c r="D254" s="45"/>
      <c r="E254" s="45"/>
      <c r="F254" s="45"/>
      <c r="G254" s="45"/>
      <c r="H254" s="45"/>
      <c r="I254" s="45"/>
      <c r="J254" s="45"/>
    </row>
    <row r="255" spans="2:10" x14ac:dyDescent="0.35">
      <c r="B255" s="45"/>
      <c r="C255" s="45"/>
      <c r="D255" s="45"/>
      <c r="E255" s="45"/>
      <c r="F255" s="45"/>
      <c r="G255" s="45"/>
      <c r="H255" s="45"/>
      <c r="I255" s="45"/>
      <c r="J255" s="45"/>
    </row>
    <row r="256" spans="2:10" x14ac:dyDescent="0.35">
      <c r="B256" s="45"/>
      <c r="C256" s="45"/>
      <c r="D256" s="45"/>
      <c r="E256" s="45"/>
      <c r="F256" s="45"/>
      <c r="G256" s="45"/>
      <c r="H256" s="45"/>
      <c r="I256" s="45"/>
      <c r="J256" s="45"/>
    </row>
    <row r="257" spans="2:10" x14ac:dyDescent="0.35">
      <c r="B257" s="45"/>
      <c r="C257" s="45"/>
      <c r="D257" s="45"/>
      <c r="E257" s="45"/>
      <c r="F257" s="45"/>
      <c r="G257" s="45"/>
      <c r="H257" s="45"/>
      <c r="I257" s="45"/>
      <c r="J257" s="45"/>
    </row>
    <row r="258" spans="2:10" x14ac:dyDescent="0.35">
      <c r="B258" s="45"/>
      <c r="C258" s="45"/>
      <c r="D258" s="45"/>
      <c r="E258" s="45"/>
      <c r="F258" s="45"/>
      <c r="G258" s="45"/>
      <c r="H258" s="45"/>
      <c r="I258" s="45"/>
      <c r="J258" s="45"/>
    </row>
    <row r="259" spans="2:10" x14ac:dyDescent="0.35">
      <c r="B259" s="45"/>
      <c r="C259" s="45"/>
      <c r="D259" s="45"/>
      <c r="E259" s="45"/>
      <c r="F259" s="45"/>
      <c r="G259" s="45"/>
      <c r="H259" s="45"/>
      <c r="I259" s="45"/>
      <c r="J259" s="45"/>
    </row>
    <row r="260" spans="2:10" x14ac:dyDescent="0.35">
      <c r="B260" s="45"/>
      <c r="C260" s="45"/>
      <c r="D260" s="45"/>
      <c r="E260" s="45"/>
      <c r="F260" s="45"/>
      <c r="G260" s="45"/>
      <c r="H260" s="45"/>
      <c r="I260" s="45"/>
      <c r="J260" s="45"/>
    </row>
    <row r="261" spans="2:10" x14ac:dyDescent="0.35">
      <c r="B261" s="45"/>
      <c r="C261" s="45"/>
      <c r="D261" s="45"/>
      <c r="E261" s="45"/>
      <c r="F261" s="45"/>
      <c r="G261" s="45"/>
      <c r="H261" s="45"/>
      <c r="I261" s="45"/>
      <c r="J261" s="45"/>
    </row>
    <row r="262" spans="2:10" x14ac:dyDescent="0.35">
      <c r="B262" s="45"/>
      <c r="C262" s="45"/>
      <c r="D262" s="45"/>
      <c r="E262" s="45"/>
      <c r="F262" s="45"/>
      <c r="G262" s="45"/>
      <c r="H262" s="45"/>
      <c r="I262" s="45"/>
      <c r="J262" s="45"/>
    </row>
    <row r="263" spans="2:10" x14ac:dyDescent="0.35">
      <c r="B263" s="45"/>
      <c r="C263" s="45"/>
      <c r="D263" s="45"/>
      <c r="E263" s="45"/>
      <c r="F263" s="45"/>
      <c r="G263" s="45"/>
      <c r="H263" s="45"/>
      <c r="I263" s="45"/>
      <c r="J263" s="45"/>
    </row>
    <row r="264" spans="2:10" x14ac:dyDescent="0.35">
      <c r="B264" s="45"/>
      <c r="C264" s="45"/>
      <c r="D264" s="45"/>
      <c r="E264" s="45"/>
      <c r="F264" s="45"/>
      <c r="G264" s="45"/>
      <c r="H264" s="45"/>
      <c r="I264" s="45"/>
      <c r="J264" s="45"/>
    </row>
    <row r="265" spans="2:10" x14ac:dyDescent="0.35">
      <c r="B265" s="45"/>
      <c r="C265" s="45"/>
      <c r="D265" s="45"/>
      <c r="E265" s="45"/>
      <c r="F265" s="45"/>
      <c r="G265" s="45"/>
      <c r="H265" s="45"/>
      <c r="I265" s="45"/>
      <c r="J265" s="45"/>
    </row>
    <row r="266" spans="2:10" x14ac:dyDescent="0.35">
      <c r="B266" s="45"/>
      <c r="C266" s="45"/>
      <c r="D266" s="45"/>
      <c r="E266" s="45"/>
      <c r="F266" s="45"/>
      <c r="G266" s="45"/>
      <c r="H266" s="45"/>
      <c r="I266" s="45"/>
      <c r="J266" s="45"/>
    </row>
    <row r="267" spans="2:10" x14ac:dyDescent="0.35">
      <c r="B267" s="45"/>
      <c r="C267" s="45"/>
      <c r="D267" s="45"/>
      <c r="E267" s="45"/>
      <c r="F267" s="45"/>
      <c r="G267" s="45"/>
      <c r="H267" s="45"/>
      <c r="I267" s="45"/>
      <c r="J267" s="45"/>
    </row>
    <row r="268" spans="2:10" x14ac:dyDescent="0.35">
      <c r="B268" s="45"/>
      <c r="C268" s="45"/>
      <c r="D268" s="45"/>
      <c r="E268" s="45"/>
      <c r="F268" s="45"/>
      <c r="G268" s="45"/>
      <c r="H268" s="45"/>
      <c r="I268" s="45"/>
      <c r="J268" s="45"/>
    </row>
    <row r="269" spans="2:10" x14ac:dyDescent="0.35">
      <c r="B269" s="45"/>
      <c r="C269" s="45"/>
      <c r="D269" s="45"/>
      <c r="E269" s="45"/>
      <c r="F269" s="45"/>
      <c r="G269" s="45"/>
      <c r="H269" s="45"/>
      <c r="I269" s="45"/>
      <c r="J269" s="45"/>
    </row>
    <row r="270" spans="2:10" x14ac:dyDescent="0.35">
      <c r="B270" s="45"/>
      <c r="C270" s="45"/>
      <c r="D270" s="45"/>
      <c r="E270" s="45"/>
      <c r="F270" s="45"/>
      <c r="G270" s="45"/>
      <c r="H270" s="45"/>
      <c r="I270" s="45"/>
      <c r="J270" s="45"/>
    </row>
    <row r="271" spans="2:10" x14ac:dyDescent="0.35">
      <c r="B271" s="45"/>
      <c r="C271" s="45"/>
      <c r="D271" s="45"/>
      <c r="E271" s="45"/>
      <c r="F271" s="45"/>
      <c r="G271" s="45"/>
      <c r="H271" s="45"/>
      <c r="I271" s="45"/>
      <c r="J271" s="45"/>
    </row>
    <row r="272" spans="2:10" x14ac:dyDescent="0.35">
      <c r="B272" s="45"/>
      <c r="C272" s="45"/>
      <c r="D272" s="45"/>
      <c r="E272" s="45"/>
      <c r="F272" s="45"/>
      <c r="G272" s="45"/>
      <c r="H272" s="45"/>
      <c r="I272" s="45"/>
      <c r="J272" s="45"/>
    </row>
    <row r="273" spans="2:10" x14ac:dyDescent="0.35">
      <c r="B273" s="45"/>
      <c r="C273" s="45"/>
      <c r="D273" s="45"/>
      <c r="E273" s="45"/>
      <c r="F273" s="45"/>
      <c r="G273" s="45"/>
      <c r="H273" s="45"/>
      <c r="I273" s="45"/>
      <c r="J273" s="45"/>
    </row>
    <row r="274" spans="2:10" x14ac:dyDescent="0.35">
      <c r="B274" s="45"/>
      <c r="C274" s="45"/>
      <c r="D274" s="45"/>
      <c r="E274" s="45"/>
      <c r="F274" s="45"/>
      <c r="G274" s="45"/>
      <c r="H274" s="45"/>
      <c r="I274" s="45"/>
      <c r="J274" s="45"/>
    </row>
    <row r="275" spans="2:10" x14ac:dyDescent="0.35">
      <c r="B275" s="45"/>
      <c r="C275" s="45"/>
      <c r="D275" s="45"/>
      <c r="E275" s="45"/>
      <c r="F275" s="45"/>
      <c r="G275" s="45"/>
      <c r="H275" s="45"/>
      <c r="I275" s="45"/>
      <c r="J275" s="45"/>
    </row>
    <row r="276" spans="2:10" x14ac:dyDescent="0.35">
      <c r="B276" s="45"/>
      <c r="C276" s="45"/>
      <c r="D276" s="45"/>
      <c r="E276" s="45"/>
      <c r="F276" s="45"/>
      <c r="G276" s="45"/>
      <c r="H276" s="45"/>
      <c r="I276" s="45"/>
      <c r="J276" s="45"/>
    </row>
    <row r="277" spans="2:10" x14ac:dyDescent="0.35">
      <c r="B277" s="45"/>
      <c r="C277" s="45"/>
      <c r="D277" s="45"/>
      <c r="E277" s="45"/>
      <c r="F277" s="45"/>
      <c r="G277" s="45"/>
      <c r="H277" s="45"/>
      <c r="I277" s="45"/>
      <c r="J277" s="45"/>
    </row>
    <row r="278" spans="2:10" x14ac:dyDescent="0.35">
      <c r="B278" s="45"/>
      <c r="C278" s="45"/>
      <c r="D278" s="45"/>
      <c r="E278" s="45"/>
      <c r="F278" s="45"/>
      <c r="G278" s="45"/>
      <c r="H278" s="45"/>
      <c r="I278" s="45"/>
      <c r="J278" s="45"/>
    </row>
    <row r="279" spans="2:10" x14ac:dyDescent="0.35">
      <c r="B279" s="45"/>
      <c r="C279" s="45"/>
      <c r="D279" s="45"/>
      <c r="E279" s="45"/>
      <c r="F279" s="45"/>
      <c r="G279" s="45"/>
      <c r="H279" s="45"/>
      <c r="I279" s="45"/>
      <c r="J279" s="45"/>
    </row>
    <row r="280" spans="2:10" x14ac:dyDescent="0.35">
      <c r="B280" s="45"/>
      <c r="C280" s="45"/>
      <c r="D280" s="45"/>
      <c r="E280" s="45"/>
      <c r="F280" s="45"/>
      <c r="G280" s="45"/>
      <c r="H280" s="45"/>
      <c r="I280" s="45"/>
      <c r="J280" s="45"/>
    </row>
    <row r="281" spans="2:10" x14ac:dyDescent="0.35">
      <c r="B281" s="45"/>
      <c r="C281" s="45"/>
      <c r="D281" s="45"/>
      <c r="E281" s="45"/>
      <c r="F281" s="45"/>
      <c r="G281" s="45"/>
      <c r="H281" s="45"/>
      <c r="I281" s="45"/>
      <c r="J281" s="45"/>
    </row>
    <row r="282" spans="2:10" x14ac:dyDescent="0.35">
      <c r="B282" s="45"/>
      <c r="C282" s="45"/>
      <c r="D282" s="45"/>
      <c r="E282" s="45"/>
      <c r="F282" s="45"/>
      <c r="G282" s="45"/>
      <c r="H282" s="45"/>
      <c r="I282" s="45"/>
      <c r="J282" s="45"/>
    </row>
    <row r="283" spans="2:10" x14ac:dyDescent="0.35">
      <c r="B283" s="45"/>
      <c r="C283" s="45"/>
      <c r="D283" s="45"/>
      <c r="E283" s="45"/>
      <c r="F283" s="45"/>
      <c r="G283" s="45"/>
      <c r="H283" s="45"/>
      <c r="I283" s="45"/>
      <c r="J283" s="45"/>
    </row>
    <row r="284" spans="2:10" x14ac:dyDescent="0.35">
      <c r="B284" s="45"/>
      <c r="C284" s="45"/>
      <c r="D284" s="45"/>
      <c r="E284" s="45"/>
      <c r="F284" s="45"/>
      <c r="G284" s="45"/>
      <c r="H284" s="45"/>
      <c r="I284" s="45"/>
      <c r="J284" s="45"/>
    </row>
    <row r="285" spans="2:10" x14ac:dyDescent="0.35">
      <c r="B285" s="45"/>
      <c r="C285" s="45"/>
      <c r="D285" s="45"/>
      <c r="E285" s="45"/>
      <c r="F285" s="45"/>
      <c r="G285" s="45"/>
      <c r="H285" s="45"/>
      <c r="I285" s="45"/>
      <c r="J285" s="45"/>
    </row>
    <row r="286" spans="2:10" x14ac:dyDescent="0.35">
      <c r="B286" s="45"/>
      <c r="C286" s="45"/>
      <c r="D286" s="45"/>
      <c r="E286" s="45"/>
      <c r="F286" s="45"/>
      <c r="G286" s="45"/>
      <c r="H286" s="45"/>
      <c r="I286" s="45"/>
      <c r="J286" s="45"/>
    </row>
    <row r="287" spans="2:10" x14ac:dyDescent="0.35">
      <c r="B287" s="45"/>
      <c r="C287" s="45"/>
      <c r="D287" s="45"/>
      <c r="E287" s="45"/>
      <c r="F287" s="45"/>
      <c r="G287" s="45"/>
      <c r="H287" s="45"/>
      <c r="I287" s="45"/>
      <c r="J287" s="45"/>
    </row>
    <row r="288" spans="2:10" x14ac:dyDescent="0.35">
      <c r="B288" s="45"/>
      <c r="C288" s="45"/>
      <c r="D288" s="45"/>
      <c r="E288" s="45"/>
      <c r="F288" s="45"/>
      <c r="G288" s="45"/>
      <c r="H288" s="45"/>
      <c r="I288" s="45"/>
      <c r="J288" s="45"/>
    </row>
    <row r="289" spans="2:10" x14ac:dyDescent="0.35">
      <c r="B289" s="45"/>
      <c r="C289" s="45"/>
      <c r="D289" s="45"/>
      <c r="E289" s="45"/>
      <c r="F289" s="45"/>
      <c r="G289" s="45"/>
      <c r="H289" s="45"/>
      <c r="I289" s="45"/>
      <c r="J289" s="45"/>
    </row>
    <row r="290" spans="2:10" x14ac:dyDescent="0.35">
      <c r="B290" s="45"/>
      <c r="C290" s="45"/>
      <c r="D290" s="45"/>
      <c r="E290" s="45"/>
      <c r="F290" s="45"/>
      <c r="G290" s="45"/>
      <c r="H290" s="45"/>
      <c r="I290" s="45"/>
      <c r="J290" s="45"/>
    </row>
    <row r="291" spans="2:10" x14ac:dyDescent="0.35">
      <c r="B291" s="45"/>
      <c r="C291" s="45"/>
      <c r="D291" s="45"/>
      <c r="E291" s="45"/>
      <c r="F291" s="45"/>
      <c r="G291" s="45"/>
      <c r="H291" s="45"/>
      <c r="I291" s="45"/>
      <c r="J291" s="45"/>
    </row>
    <row r="292" spans="2:10" x14ac:dyDescent="0.35">
      <c r="B292" s="45"/>
      <c r="C292" s="45"/>
      <c r="D292" s="45"/>
      <c r="E292" s="45"/>
      <c r="F292" s="45"/>
      <c r="G292" s="45"/>
      <c r="H292" s="45"/>
      <c r="I292" s="45"/>
      <c r="J292" s="45"/>
    </row>
    <row r="293" spans="2:10" x14ac:dyDescent="0.35">
      <c r="B293" s="45"/>
      <c r="C293" s="45"/>
      <c r="D293" s="45"/>
      <c r="E293" s="45"/>
      <c r="F293" s="45"/>
      <c r="G293" s="45"/>
      <c r="H293" s="45"/>
      <c r="I293" s="45"/>
      <c r="J293" s="45"/>
    </row>
    <row r="294" spans="2:10" x14ac:dyDescent="0.35">
      <c r="B294" s="45"/>
      <c r="C294" s="45"/>
      <c r="D294" s="45"/>
      <c r="E294" s="45"/>
      <c r="F294" s="45"/>
      <c r="G294" s="45"/>
      <c r="H294" s="45"/>
      <c r="I294" s="45"/>
      <c r="J294" s="45"/>
    </row>
    <row r="295" spans="2:10" x14ac:dyDescent="0.35">
      <c r="B295" s="45"/>
      <c r="C295" s="45"/>
      <c r="D295" s="45"/>
      <c r="E295" s="45"/>
      <c r="F295" s="45"/>
      <c r="G295" s="45"/>
      <c r="H295" s="45"/>
      <c r="I295" s="45"/>
      <c r="J295" s="45"/>
    </row>
    <row r="296" spans="2:10" x14ac:dyDescent="0.35">
      <c r="B296" s="45"/>
      <c r="C296" s="45"/>
      <c r="D296" s="45"/>
      <c r="E296" s="45"/>
      <c r="F296" s="45"/>
      <c r="G296" s="45"/>
      <c r="H296" s="45"/>
      <c r="I296" s="45"/>
      <c r="J296" s="45"/>
    </row>
    <row r="297" spans="2:10" x14ac:dyDescent="0.35">
      <c r="B297" s="45"/>
      <c r="C297" s="45"/>
      <c r="D297" s="45"/>
      <c r="E297" s="45"/>
      <c r="F297" s="45"/>
      <c r="G297" s="45"/>
      <c r="H297" s="45"/>
      <c r="I297" s="45"/>
      <c r="J297" s="45"/>
    </row>
    <row r="298" spans="2:10" x14ac:dyDescent="0.35">
      <c r="B298" s="45"/>
      <c r="C298" s="45"/>
      <c r="D298" s="45"/>
      <c r="E298" s="45"/>
      <c r="F298" s="45"/>
      <c r="G298" s="45"/>
      <c r="H298" s="45"/>
      <c r="I298" s="45"/>
      <c r="J298" s="45"/>
    </row>
    <row r="299" spans="2:10" x14ac:dyDescent="0.35">
      <c r="B299" s="45"/>
      <c r="C299" s="45"/>
      <c r="D299" s="45"/>
      <c r="E299" s="45"/>
      <c r="F299" s="45"/>
      <c r="G299" s="45"/>
      <c r="H299" s="45"/>
      <c r="I299" s="45"/>
      <c r="J299" s="45"/>
    </row>
    <row r="300" spans="2:10" x14ac:dyDescent="0.35">
      <c r="B300" s="45"/>
      <c r="C300" s="45"/>
      <c r="D300" s="45"/>
      <c r="E300" s="45"/>
      <c r="F300" s="45"/>
      <c r="G300" s="45"/>
      <c r="H300" s="45"/>
      <c r="I300" s="45"/>
      <c r="J300" s="45"/>
    </row>
    <row r="301" spans="2:10" x14ac:dyDescent="0.35">
      <c r="B301" s="45"/>
      <c r="C301" s="45"/>
      <c r="D301" s="45"/>
      <c r="E301" s="45"/>
      <c r="F301" s="45"/>
      <c r="G301" s="45"/>
      <c r="H301" s="45"/>
      <c r="I301" s="45"/>
      <c r="J301" s="45"/>
    </row>
    <row r="302" spans="2:10" x14ac:dyDescent="0.35">
      <c r="B302" s="45"/>
      <c r="C302" s="45"/>
      <c r="D302" s="45"/>
      <c r="E302" s="45"/>
      <c r="F302" s="45"/>
      <c r="G302" s="45"/>
      <c r="H302" s="45"/>
      <c r="I302" s="45"/>
      <c r="J302" s="45"/>
    </row>
    <row r="303" spans="2:10" x14ac:dyDescent="0.35">
      <c r="B303" s="45"/>
      <c r="C303" s="45"/>
      <c r="D303" s="45"/>
      <c r="E303" s="45"/>
      <c r="F303" s="45"/>
      <c r="G303" s="45"/>
      <c r="H303" s="45"/>
      <c r="I303" s="45"/>
      <c r="J303" s="45"/>
    </row>
    <row r="304" spans="2:10" x14ac:dyDescent="0.35">
      <c r="B304" s="45"/>
      <c r="C304" s="45"/>
      <c r="D304" s="45"/>
      <c r="E304" s="45"/>
      <c r="F304" s="45"/>
      <c r="G304" s="45"/>
      <c r="H304" s="45"/>
      <c r="I304" s="45"/>
      <c r="J304" s="45"/>
    </row>
    <row r="305" spans="2:10" x14ac:dyDescent="0.35">
      <c r="B305" s="45"/>
      <c r="C305" s="45"/>
      <c r="D305" s="45"/>
      <c r="E305" s="45"/>
      <c r="F305" s="45"/>
      <c r="G305" s="45"/>
      <c r="H305" s="45"/>
      <c r="I305" s="45"/>
      <c r="J305" s="45"/>
    </row>
    <row r="306" spans="2:10" x14ac:dyDescent="0.35">
      <c r="B306" s="45"/>
      <c r="C306" s="45"/>
      <c r="D306" s="45"/>
      <c r="E306" s="45"/>
      <c r="F306" s="45"/>
      <c r="G306" s="45"/>
      <c r="H306" s="45"/>
      <c r="I306" s="45"/>
      <c r="J306" s="45"/>
    </row>
    <row r="307" spans="2:10" x14ac:dyDescent="0.35">
      <c r="B307" s="45"/>
      <c r="C307" s="45"/>
      <c r="D307" s="45"/>
      <c r="E307" s="45"/>
      <c r="F307" s="45"/>
      <c r="G307" s="45"/>
      <c r="H307" s="45"/>
      <c r="I307" s="45"/>
      <c r="J307" s="45"/>
    </row>
    <row r="308" spans="2:10" x14ac:dyDescent="0.35">
      <c r="B308" s="45"/>
      <c r="C308" s="45"/>
      <c r="D308" s="45"/>
      <c r="E308" s="45"/>
      <c r="F308" s="45"/>
      <c r="G308" s="45"/>
      <c r="H308" s="45"/>
      <c r="I308" s="45"/>
      <c r="J308" s="45"/>
    </row>
    <row r="309" spans="2:10" x14ac:dyDescent="0.35">
      <c r="B309" s="45"/>
      <c r="C309" s="45"/>
      <c r="D309" s="45"/>
      <c r="E309" s="45"/>
      <c r="F309" s="45"/>
      <c r="G309" s="45"/>
      <c r="H309" s="45"/>
      <c r="I309" s="45"/>
      <c r="J309" s="45"/>
    </row>
    <row r="310" spans="2:10" x14ac:dyDescent="0.35">
      <c r="B310" s="45"/>
      <c r="C310" s="45"/>
      <c r="D310" s="45"/>
      <c r="E310" s="45"/>
      <c r="F310" s="45"/>
      <c r="G310" s="45"/>
      <c r="H310" s="45"/>
      <c r="I310" s="45"/>
      <c r="J310" s="45"/>
    </row>
    <row r="311" spans="2:10" x14ac:dyDescent="0.35">
      <c r="B311" s="45"/>
      <c r="C311" s="45"/>
      <c r="D311" s="45"/>
      <c r="E311" s="45"/>
      <c r="F311" s="45"/>
      <c r="G311" s="45"/>
      <c r="H311" s="45"/>
      <c r="I311" s="45"/>
      <c r="J311" s="45"/>
    </row>
    <row r="312" spans="2:10" x14ac:dyDescent="0.35">
      <c r="B312" s="45"/>
      <c r="C312" s="45"/>
      <c r="D312" s="45"/>
      <c r="E312" s="45"/>
      <c r="F312" s="45"/>
      <c r="G312" s="45"/>
      <c r="H312" s="45"/>
      <c r="I312" s="45"/>
      <c r="J312" s="45"/>
    </row>
    <row r="313" spans="2:10" x14ac:dyDescent="0.35">
      <c r="B313" s="45"/>
      <c r="C313" s="45"/>
      <c r="D313" s="45"/>
      <c r="E313" s="45"/>
      <c r="F313" s="45"/>
      <c r="G313" s="45"/>
      <c r="H313" s="45"/>
      <c r="I313" s="45"/>
      <c r="J313" s="45"/>
    </row>
    <row r="314" spans="2:10" x14ac:dyDescent="0.35">
      <c r="B314" s="45"/>
      <c r="C314" s="45"/>
      <c r="D314" s="45"/>
      <c r="E314" s="45"/>
      <c r="F314" s="45"/>
      <c r="G314" s="45"/>
      <c r="H314" s="45"/>
      <c r="I314" s="45"/>
      <c r="J314" s="45"/>
    </row>
    <row r="315" spans="2:10" x14ac:dyDescent="0.35">
      <c r="B315" s="45"/>
      <c r="C315" s="45"/>
      <c r="D315" s="45"/>
      <c r="E315" s="45"/>
      <c r="F315" s="45"/>
      <c r="G315" s="45"/>
      <c r="H315" s="45"/>
      <c r="I315" s="45"/>
      <c r="J315" s="45"/>
    </row>
    <row r="316" spans="2:10" x14ac:dyDescent="0.35">
      <c r="B316" s="45"/>
      <c r="C316" s="45"/>
      <c r="D316" s="45"/>
      <c r="E316" s="45"/>
      <c r="F316" s="45"/>
      <c r="G316" s="45"/>
      <c r="H316" s="45"/>
      <c r="I316" s="45"/>
      <c r="J316" s="45"/>
    </row>
    <row r="317" spans="2:10" x14ac:dyDescent="0.35">
      <c r="B317" s="45"/>
      <c r="C317" s="45"/>
      <c r="D317" s="45"/>
      <c r="E317" s="45"/>
      <c r="F317" s="45"/>
      <c r="G317" s="45"/>
      <c r="H317" s="45"/>
      <c r="I317" s="45"/>
      <c r="J317" s="45"/>
    </row>
    <row r="318" spans="2:10" x14ac:dyDescent="0.35">
      <c r="B318" s="45"/>
      <c r="C318" s="45"/>
      <c r="D318" s="45"/>
      <c r="E318" s="45"/>
      <c r="F318" s="45"/>
      <c r="G318" s="45"/>
      <c r="H318" s="45"/>
      <c r="I318" s="45"/>
      <c r="J318" s="45"/>
    </row>
    <row r="319" spans="2:10" x14ac:dyDescent="0.35">
      <c r="B319" s="45"/>
      <c r="C319" s="45"/>
      <c r="D319" s="45"/>
      <c r="E319" s="45"/>
      <c r="F319" s="45"/>
      <c r="G319" s="45"/>
      <c r="H319" s="45"/>
      <c r="I319" s="45"/>
      <c r="J319" s="45"/>
    </row>
    <row r="320" spans="2:10" x14ac:dyDescent="0.35">
      <c r="B320" s="45"/>
      <c r="C320" s="45"/>
      <c r="D320" s="45"/>
      <c r="E320" s="45"/>
      <c r="F320" s="45"/>
      <c r="G320" s="45"/>
      <c r="H320" s="45"/>
      <c r="I320" s="45"/>
      <c r="J320" s="45"/>
    </row>
    <row r="321" spans="2:10" x14ac:dyDescent="0.35">
      <c r="B321" s="45"/>
      <c r="C321" s="45"/>
      <c r="D321" s="45"/>
      <c r="E321" s="45"/>
      <c r="F321" s="45"/>
      <c r="G321" s="45"/>
      <c r="H321" s="45"/>
      <c r="I321" s="45"/>
      <c r="J321" s="45"/>
    </row>
    <row r="322" spans="2:10" x14ac:dyDescent="0.35">
      <c r="B322" s="45"/>
      <c r="C322" s="45"/>
      <c r="D322" s="45"/>
      <c r="E322" s="45"/>
      <c r="F322" s="45"/>
      <c r="G322" s="45"/>
      <c r="H322" s="45"/>
      <c r="I322" s="45"/>
      <c r="J322" s="45"/>
    </row>
    <row r="323" spans="2:10" x14ac:dyDescent="0.35">
      <c r="B323" s="45"/>
      <c r="C323" s="45"/>
      <c r="D323" s="45"/>
      <c r="E323" s="45"/>
      <c r="F323" s="45"/>
      <c r="G323" s="45"/>
      <c r="H323" s="45"/>
      <c r="I323" s="45"/>
      <c r="J323" s="45"/>
    </row>
    <row r="324" spans="2:10" x14ac:dyDescent="0.35">
      <c r="B324" s="45"/>
      <c r="C324" s="45"/>
      <c r="D324" s="45"/>
      <c r="E324" s="45"/>
      <c r="F324" s="45"/>
      <c r="G324" s="45"/>
      <c r="H324" s="45"/>
      <c r="I324" s="45"/>
      <c r="J324" s="45"/>
    </row>
    <row r="325" spans="2:10" x14ac:dyDescent="0.35">
      <c r="B325" s="45"/>
      <c r="C325" s="45"/>
      <c r="D325" s="45"/>
      <c r="E325" s="45"/>
      <c r="F325" s="45"/>
      <c r="G325" s="45"/>
      <c r="H325" s="45"/>
      <c r="I325" s="45"/>
      <c r="J325" s="45"/>
    </row>
    <row r="326" spans="2:10" x14ac:dyDescent="0.35">
      <c r="B326" s="45"/>
      <c r="C326" s="45"/>
      <c r="D326" s="45"/>
      <c r="E326" s="45"/>
      <c r="F326" s="45"/>
      <c r="G326" s="45"/>
      <c r="H326" s="45"/>
      <c r="I326" s="45"/>
      <c r="J326" s="45"/>
    </row>
    <row r="327" spans="2:10" x14ac:dyDescent="0.35">
      <c r="B327" s="45"/>
      <c r="C327" s="45"/>
      <c r="D327" s="45"/>
      <c r="E327" s="45"/>
      <c r="F327" s="45"/>
      <c r="G327" s="45"/>
      <c r="H327" s="45"/>
      <c r="I327" s="45"/>
      <c r="J327" s="45"/>
    </row>
    <row r="328" spans="2:10" x14ac:dyDescent="0.35">
      <c r="B328" s="45"/>
      <c r="C328" s="45"/>
      <c r="D328" s="45"/>
      <c r="E328" s="45"/>
      <c r="F328" s="45"/>
      <c r="G328" s="45"/>
      <c r="H328" s="45"/>
      <c r="I328" s="45"/>
      <c r="J328" s="45"/>
    </row>
    <row r="329" spans="2:10" x14ac:dyDescent="0.35">
      <c r="B329" s="45"/>
      <c r="C329" s="45"/>
      <c r="D329" s="45"/>
      <c r="E329" s="45"/>
      <c r="F329" s="45"/>
      <c r="G329" s="45"/>
      <c r="H329" s="45"/>
      <c r="I329" s="45"/>
      <c r="J329" s="45"/>
    </row>
    <row r="330" spans="2:10" x14ac:dyDescent="0.35">
      <c r="B330" s="45"/>
      <c r="C330" s="45"/>
      <c r="D330" s="45"/>
      <c r="E330" s="45"/>
      <c r="F330" s="45"/>
      <c r="G330" s="45"/>
      <c r="H330" s="45"/>
      <c r="I330" s="45"/>
      <c r="J330" s="45"/>
    </row>
    <row r="331" spans="2:10" x14ac:dyDescent="0.35">
      <c r="B331" s="45"/>
      <c r="C331" s="45"/>
      <c r="D331" s="45"/>
      <c r="E331" s="45"/>
      <c r="F331" s="45"/>
      <c r="G331" s="45"/>
      <c r="H331" s="45"/>
      <c r="I331" s="45"/>
      <c r="J331" s="45"/>
    </row>
    <row r="332" spans="2:10" x14ac:dyDescent="0.35">
      <c r="B332" s="45"/>
      <c r="C332" s="45"/>
      <c r="D332" s="45"/>
      <c r="E332" s="45"/>
      <c r="F332" s="45"/>
      <c r="G332" s="45"/>
      <c r="H332" s="45"/>
      <c r="I332" s="45"/>
      <c r="J332" s="45"/>
    </row>
    <row r="333" spans="2:10" x14ac:dyDescent="0.35">
      <c r="B333" s="45"/>
      <c r="C333" s="45"/>
      <c r="D333" s="45"/>
      <c r="E333" s="45"/>
      <c r="F333" s="45"/>
      <c r="G333" s="45"/>
      <c r="H333" s="45"/>
      <c r="I333" s="45"/>
      <c r="J333" s="45"/>
    </row>
    <row r="334" spans="2:10" x14ac:dyDescent="0.35">
      <c r="B334" s="45"/>
      <c r="C334" s="45"/>
      <c r="D334" s="45"/>
      <c r="E334" s="45"/>
      <c r="F334" s="45"/>
      <c r="G334" s="45"/>
      <c r="H334" s="45"/>
      <c r="I334" s="45"/>
      <c r="J334" s="45"/>
    </row>
    <row r="335" spans="2:10" x14ac:dyDescent="0.35">
      <c r="B335" s="45"/>
      <c r="C335" s="45"/>
      <c r="D335" s="45"/>
      <c r="E335" s="45"/>
      <c r="F335" s="45"/>
      <c r="G335" s="45"/>
      <c r="H335" s="45"/>
      <c r="I335" s="45"/>
      <c r="J335" s="45"/>
    </row>
    <row r="336" spans="2:10" x14ac:dyDescent="0.35">
      <c r="B336" s="45"/>
      <c r="C336" s="45"/>
      <c r="D336" s="45"/>
      <c r="E336" s="45"/>
      <c r="F336" s="45"/>
      <c r="G336" s="45"/>
      <c r="H336" s="45"/>
      <c r="I336" s="45"/>
      <c r="J336" s="45"/>
    </row>
    <row r="337" spans="2:10" x14ac:dyDescent="0.35">
      <c r="B337" s="45"/>
      <c r="C337" s="45"/>
      <c r="D337" s="45"/>
      <c r="E337" s="45"/>
      <c r="F337" s="45"/>
      <c r="G337" s="45"/>
      <c r="H337" s="45"/>
      <c r="I337" s="45"/>
      <c r="J337" s="45"/>
    </row>
    <row r="338" spans="2:10" x14ac:dyDescent="0.35">
      <c r="B338" s="45"/>
      <c r="C338" s="45"/>
      <c r="D338" s="45"/>
      <c r="E338" s="45"/>
      <c r="F338" s="45"/>
      <c r="G338" s="45"/>
      <c r="H338" s="45"/>
      <c r="I338" s="45"/>
      <c r="J338" s="45"/>
    </row>
    <row r="339" spans="2:10" x14ac:dyDescent="0.35">
      <c r="B339" s="45"/>
      <c r="C339" s="45"/>
      <c r="D339" s="45"/>
      <c r="E339" s="45"/>
      <c r="F339" s="45"/>
      <c r="G339" s="45"/>
      <c r="H339" s="45"/>
      <c r="I339" s="45"/>
      <c r="J339" s="45"/>
    </row>
    <row r="340" spans="2:10" x14ac:dyDescent="0.35">
      <c r="B340" s="45"/>
      <c r="C340" s="45"/>
      <c r="D340" s="45"/>
      <c r="E340" s="45"/>
      <c r="F340" s="45"/>
      <c r="G340" s="45"/>
      <c r="H340" s="45"/>
      <c r="I340" s="45"/>
      <c r="J340" s="45"/>
    </row>
    <row r="341" spans="2:10" x14ac:dyDescent="0.35">
      <c r="B341" s="45"/>
      <c r="C341" s="45"/>
      <c r="D341" s="45"/>
      <c r="E341" s="45"/>
      <c r="F341" s="45"/>
      <c r="G341" s="45"/>
      <c r="H341" s="45"/>
      <c r="I341" s="45"/>
      <c r="J341" s="45"/>
    </row>
    <row r="342" spans="2:10" x14ac:dyDescent="0.35">
      <c r="B342" s="45"/>
      <c r="C342" s="45"/>
      <c r="D342" s="45"/>
      <c r="E342" s="45"/>
      <c r="F342" s="45"/>
      <c r="G342" s="45"/>
      <c r="H342" s="45"/>
      <c r="I342" s="45"/>
      <c r="J342" s="45"/>
    </row>
    <row r="343" spans="2:10" x14ac:dyDescent="0.35">
      <c r="B343" s="45"/>
      <c r="C343" s="45"/>
      <c r="D343" s="45"/>
      <c r="E343" s="45"/>
      <c r="F343" s="45"/>
      <c r="G343" s="45"/>
      <c r="H343" s="45"/>
      <c r="I343" s="45"/>
      <c r="J343" s="45"/>
    </row>
    <row r="344" spans="2:10" x14ac:dyDescent="0.35">
      <c r="B344" s="45"/>
      <c r="C344" s="45"/>
      <c r="D344" s="45"/>
      <c r="E344" s="45"/>
      <c r="F344" s="45"/>
      <c r="G344" s="45"/>
      <c r="H344" s="45"/>
      <c r="I344" s="45"/>
      <c r="J344" s="45"/>
    </row>
    <row r="345" spans="2:10" x14ac:dyDescent="0.35">
      <c r="B345" s="45"/>
      <c r="C345" s="45"/>
      <c r="D345" s="45"/>
      <c r="E345" s="45"/>
      <c r="F345" s="45"/>
      <c r="G345" s="45"/>
      <c r="H345" s="45"/>
      <c r="I345" s="45"/>
      <c r="J345" s="45"/>
    </row>
    <row r="346" spans="2:10" x14ac:dyDescent="0.35">
      <c r="B346" s="45"/>
      <c r="C346" s="45"/>
      <c r="D346" s="45"/>
      <c r="E346" s="45"/>
      <c r="F346" s="45"/>
      <c r="G346" s="45"/>
      <c r="H346" s="45"/>
      <c r="I346" s="45"/>
      <c r="J346" s="45"/>
    </row>
    <row r="347" spans="2:10" x14ac:dyDescent="0.35">
      <c r="B347" s="45"/>
      <c r="C347" s="45"/>
      <c r="D347" s="45"/>
      <c r="E347" s="45"/>
      <c r="F347" s="45"/>
      <c r="G347" s="45"/>
      <c r="H347" s="45"/>
      <c r="I347" s="45"/>
      <c r="J347" s="45"/>
    </row>
    <row r="348" spans="2:10" x14ac:dyDescent="0.35">
      <c r="B348" s="45"/>
      <c r="C348" s="45"/>
      <c r="D348" s="45"/>
      <c r="E348" s="45"/>
      <c r="F348" s="45"/>
      <c r="G348" s="45"/>
      <c r="H348" s="45"/>
      <c r="I348" s="45"/>
      <c r="J348" s="45"/>
    </row>
    <row r="349" spans="2:10" x14ac:dyDescent="0.35">
      <c r="B349" s="45"/>
      <c r="C349" s="45"/>
      <c r="D349" s="45"/>
      <c r="E349" s="45"/>
      <c r="F349" s="45"/>
      <c r="G349" s="45"/>
      <c r="H349" s="45"/>
      <c r="I349" s="45"/>
      <c r="J349" s="45"/>
    </row>
    <row r="350" spans="2:10" x14ac:dyDescent="0.35">
      <c r="B350" s="45"/>
      <c r="C350" s="45"/>
      <c r="D350" s="45"/>
      <c r="E350" s="45"/>
      <c r="F350" s="45"/>
      <c r="G350" s="45"/>
      <c r="H350" s="45"/>
      <c r="I350" s="45"/>
      <c r="J350" s="45"/>
    </row>
    <row r="351" spans="2:10" x14ac:dyDescent="0.35">
      <c r="B351" s="45"/>
      <c r="C351" s="45"/>
      <c r="D351" s="45"/>
      <c r="E351" s="45"/>
      <c r="F351" s="45"/>
      <c r="G351" s="45"/>
      <c r="H351" s="45"/>
      <c r="I351" s="45"/>
      <c r="J351" s="45"/>
    </row>
    <row r="352" spans="2:10" x14ac:dyDescent="0.35">
      <c r="B352" s="45"/>
      <c r="C352" s="45"/>
      <c r="D352" s="45"/>
      <c r="E352" s="45"/>
      <c r="F352" s="45"/>
      <c r="G352" s="45"/>
      <c r="H352" s="45"/>
      <c r="I352" s="45"/>
      <c r="J352" s="45"/>
    </row>
    <row r="353" spans="2:10" x14ac:dyDescent="0.35">
      <c r="B353" s="45"/>
      <c r="C353" s="45"/>
      <c r="D353" s="45"/>
      <c r="E353" s="45"/>
      <c r="F353" s="45"/>
      <c r="G353" s="45"/>
      <c r="H353" s="45"/>
      <c r="I353" s="45"/>
      <c r="J353" s="45"/>
    </row>
    <row r="354" spans="2:10" x14ac:dyDescent="0.35">
      <c r="B354" s="45"/>
      <c r="C354" s="45"/>
      <c r="D354" s="45"/>
      <c r="E354" s="45"/>
      <c r="F354" s="45"/>
      <c r="G354" s="45"/>
      <c r="H354" s="45"/>
      <c r="I354" s="45"/>
      <c r="J354" s="45"/>
    </row>
    <row r="355" spans="2:10" x14ac:dyDescent="0.35">
      <c r="B355" s="45"/>
      <c r="C355" s="45"/>
      <c r="D355" s="45"/>
      <c r="E355" s="45"/>
      <c r="F355" s="45"/>
      <c r="G355" s="45"/>
      <c r="H355" s="45"/>
      <c r="I355" s="45"/>
      <c r="J355" s="45"/>
    </row>
    <row r="356" spans="2:10" x14ac:dyDescent="0.35">
      <c r="B356" s="45"/>
      <c r="C356" s="45"/>
      <c r="D356" s="45"/>
      <c r="E356" s="45"/>
      <c r="F356" s="45"/>
      <c r="G356" s="45"/>
      <c r="H356" s="45"/>
      <c r="I356" s="45"/>
      <c r="J356" s="45"/>
    </row>
    <row r="357" spans="2:10" x14ac:dyDescent="0.35">
      <c r="B357" s="45"/>
      <c r="C357" s="45"/>
      <c r="D357" s="45"/>
      <c r="E357" s="45"/>
      <c r="F357" s="45"/>
      <c r="G357" s="45"/>
      <c r="H357" s="45"/>
      <c r="I357" s="45"/>
      <c r="J357" s="45"/>
    </row>
    <row r="358" spans="2:10" x14ac:dyDescent="0.35">
      <c r="B358" s="45"/>
      <c r="C358" s="45"/>
      <c r="D358" s="45"/>
      <c r="E358" s="45"/>
      <c r="F358" s="45"/>
      <c r="G358" s="45"/>
      <c r="H358" s="45"/>
      <c r="I358" s="45"/>
      <c r="J358" s="45"/>
    </row>
    <row r="359" spans="2:10" x14ac:dyDescent="0.35">
      <c r="B359" s="45"/>
      <c r="C359" s="45"/>
      <c r="D359" s="45"/>
      <c r="E359" s="45"/>
      <c r="F359" s="45"/>
      <c r="G359" s="45"/>
      <c r="H359" s="45"/>
      <c r="I359" s="45"/>
      <c r="J359" s="45"/>
    </row>
    <row r="360" spans="2:10" x14ac:dyDescent="0.35">
      <c r="B360" s="45"/>
      <c r="C360" s="45"/>
      <c r="D360" s="45"/>
      <c r="E360" s="45"/>
      <c r="F360" s="45"/>
      <c r="G360" s="45"/>
      <c r="H360" s="45"/>
      <c r="I360" s="45"/>
      <c r="J360" s="45"/>
    </row>
    <row r="361" spans="2:10" x14ac:dyDescent="0.35">
      <c r="B361" s="45"/>
      <c r="C361" s="45"/>
      <c r="D361" s="45"/>
      <c r="E361" s="45"/>
      <c r="F361" s="45"/>
      <c r="G361" s="45"/>
      <c r="H361" s="45"/>
      <c r="I361" s="45"/>
      <c r="J361" s="45"/>
    </row>
    <row r="362" spans="2:10" x14ac:dyDescent="0.35">
      <c r="B362" s="45"/>
      <c r="C362" s="45"/>
      <c r="D362" s="45"/>
      <c r="E362" s="45"/>
      <c r="F362" s="45"/>
      <c r="G362" s="45"/>
      <c r="H362" s="45"/>
      <c r="I362" s="45"/>
      <c r="J362" s="45"/>
    </row>
    <row r="363" spans="2:10" x14ac:dyDescent="0.35">
      <c r="B363" s="45"/>
      <c r="C363" s="45"/>
      <c r="D363" s="45"/>
      <c r="E363" s="45"/>
      <c r="F363" s="45"/>
      <c r="G363" s="45"/>
      <c r="H363" s="45"/>
      <c r="I363" s="45"/>
      <c r="J363" s="45"/>
    </row>
    <row r="364" spans="2:10" x14ac:dyDescent="0.35">
      <c r="B364" s="45"/>
      <c r="C364" s="45"/>
      <c r="D364" s="45"/>
      <c r="E364" s="45"/>
      <c r="F364" s="45"/>
      <c r="G364" s="45"/>
      <c r="H364" s="45"/>
      <c r="I364" s="45"/>
      <c r="J364" s="45"/>
    </row>
    <row r="365" spans="2:10" x14ac:dyDescent="0.35">
      <c r="B365" s="45"/>
      <c r="C365" s="45"/>
      <c r="D365" s="45"/>
      <c r="E365" s="45"/>
      <c r="F365" s="45"/>
      <c r="G365" s="45"/>
      <c r="H365" s="45"/>
      <c r="I365" s="45"/>
      <c r="J365" s="45"/>
    </row>
    <row r="366" spans="2:10" x14ac:dyDescent="0.35">
      <c r="B366" s="45"/>
      <c r="C366" s="45"/>
      <c r="D366" s="45"/>
      <c r="E366" s="45"/>
      <c r="F366" s="45"/>
      <c r="G366" s="45"/>
      <c r="H366" s="45"/>
      <c r="I366" s="45"/>
      <c r="J366" s="45"/>
    </row>
    <row r="367" spans="2:10" x14ac:dyDescent="0.35">
      <c r="B367" s="45"/>
      <c r="C367" s="45"/>
      <c r="D367" s="45"/>
      <c r="E367" s="45"/>
      <c r="F367" s="45"/>
      <c r="G367" s="45"/>
      <c r="H367" s="45"/>
      <c r="I367" s="45"/>
      <c r="J367" s="45"/>
    </row>
    <row r="368" spans="2:10" x14ac:dyDescent="0.35">
      <c r="B368" s="45"/>
      <c r="C368" s="45"/>
      <c r="D368" s="45"/>
      <c r="E368" s="45"/>
      <c r="F368" s="45"/>
      <c r="G368" s="45"/>
      <c r="H368" s="45"/>
      <c r="I368" s="45"/>
      <c r="J368" s="45"/>
    </row>
    <row r="369" spans="2:10" x14ac:dyDescent="0.35">
      <c r="B369" s="45"/>
      <c r="C369" s="45"/>
      <c r="D369" s="45"/>
      <c r="E369" s="45"/>
      <c r="F369" s="45"/>
      <c r="G369" s="45"/>
      <c r="H369" s="45"/>
      <c r="I369" s="45"/>
      <c r="J369" s="45"/>
    </row>
    <row r="370" spans="2:10" x14ac:dyDescent="0.35">
      <c r="B370" s="45"/>
      <c r="C370" s="45"/>
      <c r="D370" s="45"/>
      <c r="E370" s="45"/>
      <c r="F370" s="45"/>
      <c r="G370" s="45"/>
      <c r="H370" s="45"/>
      <c r="I370" s="45"/>
      <c r="J370" s="45"/>
    </row>
    <row r="371" spans="2:10" x14ac:dyDescent="0.35">
      <c r="B371" s="45"/>
      <c r="C371" s="45"/>
      <c r="D371" s="45"/>
      <c r="E371" s="45"/>
      <c r="F371" s="45"/>
      <c r="G371" s="45"/>
      <c r="H371" s="45"/>
      <c r="I371" s="45"/>
      <c r="J371" s="45"/>
    </row>
    <row r="372" spans="2:10" x14ac:dyDescent="0.35">
      <c r="B372" s="45"/>
      <c r="C372" s="45"/>
      <c r="D372" s="45"/>
      <c r="E372" s="45"/>
      <c r="F372" s="45"/>
      <c r="G372" s="45"/>
      <c r="H372" s="45"/>
      <c r="I372" s="45"/>
      <c r="J372" s="45"/>
    </row>
    <row r="373" spans="2:10" x14ac:dyDescent="0.35">
      <c r="B373" s="45"/>
      <c r="C373" s="45"/>
      <c r="D373" s="45"/>
      <c r="E373" s="45"/>
      <c r="F373" s="45"/>
      <c r="G373" s="45"/>
      <c r="H373" s="45"/>
      <c r="I373" s="45"/>
      <c r="J373" s="45"/>
    </row>
    <row r="374" spans="2:10" x14ac:dyDescent="0.35">
      <c r="B374" s="45"/>
      <c r="C374" s="45"/>
      <c r="D374" s="45"/>
      <c r="E374" s="45"/>
      <c r="F374" s="45"/>
      <c r="G374" s="45"/>
      <c r="H374" s="45"/>
      <c r="I374" s="45"/>
      <c r="J374" s="45"/>
    </row>
    <row r="375" spans="2:10" x14ac:dyDescent="0.35">
      <c r="B375" s="45"/>
      <c r="C375" s="45"/>
      <c r="D375" s="45"/>
      <c r="E375" s="45"/>
      <c r="F375" s="45"/>
      <c r="G375" s="45"/>
      <c r="H375" s="45"/>
      <c r="I375" s="45"/>
      <c r="J375" s="45"/>
    </row>
    <row r="376" spans="2:10" x14ac:dyDescent="0.35">
      <c r="B376" s="45"/>
      <c r="C376" s="45"/>
      <c r="D376" s="45"/>
      <c r="E376" s="45"/>
      <c r="F376" s="45"/>
      <c r="G376" s="45"/>
      <c r="H376" s="45"/>
      <c r="I376" s="45"/>
      <c r="J376" s="45"/>
    </row>
    <row r="377" spans="2:10" x14ac:dyDescent="0.35">
      <c r="B377" s="45"/>
      <c r="C377" s="45"/>
      <c r="D377" s="45"/>
      <c r="E377" s="45"/>
      <c r="F377" s="45"/>
      <c r="G377" s="45"/>
      <c r="H377" s="45"/>
      <c r="I377" s="45"/>
      <c r="J377" s="45"/>
    </row>
    <row r="378" spans="2:10" x14ac:dyDescent="0.35">
      <c r="B378" s="45"/>
      <c r="C378" s="45"/>
      <c r="D378" s="45"/>
      <c r="E378" s="45"/>
      <c r="F378" s="45"/>
      <c r="G378" s="45"/>
      <c r="H378" s="45"/>
      <c r="I378" s="45"/>
      <c r="J378" s="45"/>
    </row>
    <row r="379" spans="2:10" x14ac:dyDescent="0.35">
      <c r="B379" s="45"/>
      <c r="C379" s="45"/>
      <c r="D379" s="45"/>
      <c r="E379" s="45"/>
      <c r="F379" s="45"/>
      <c r="G379" s="45"/>
      <c r="H379" s="45"/>
      <c r="I379" s="45"/>
      <c r="J379" s="45"/>
    </row>
    <row r="380" spans="2:10" x14ac:dyDescent="0.35">
      <c r="B380" s="45"/>
      <c r="C380" s="45"/>
      <c r="D380" s="45"/>
      <c r="E380" s="45"/>
      <c r="F380" s="45"/>
      <c r="G380" s="45"/>
      <c r="H380" s="45"/>
      <c r="I380" s="45"/>
      <c r="J380" s="45"/>
    </row>
    <row r="381" spans="2:10" x14ac:dyDescent="0.35">
      <c r="B381" s="45"/>
      <c r="C381" s="45"/>
      <c r="D381" s="45"/>
      <c r="E381" s="45"/>
      <c r="F381" s="45"/>
      <c r="G381" s="45"/>
      <c r="H381" s="45"/>
      <c r="I381" s="45"/>
      <c r="J381" s="45"/>
    </row>
    <row r="382" spans="2:10" x14ac:dyDescent="0.35">
      <c r="B382" s="45"/>
      <c r="C382" s="45"/>
      <c r="D382" s="45"/>
      <c r="E382" s="45"/>
      <c r="F382" s="45"/>
      <c r="G382" s="45"/>
      <c r="H382" s="45"/>
      <c r="I382" s="45"/>
      <c r="J382" s="45"/>
    </row>
    <row r="383" spans="2:10" x14ac:dyDescent="0.35">
      <c r="B383" s="45"/>
      <c r="C383" s="45"/>
      <c r="D383" s="45"/>
      <c r="E383" s="45"/>
      <c r="F383" s="45"/>
      <c r="G383" s="45"/>
      <c r="H383" s="45"/>
      <c r="I383" s="45"/>
      <c r="J383" s="45"/>
    </row>
    <row r="384" spans="2:10" x14ac:dyDescent="0.35">
      <c r="B384" s="45"/>
      <c r="C384" s="45"/>
      <c r="D384" s="45"/>
      <c r="E384" s="45"/>
      <c r="F384" s="45"/>
      <c r="G384" s="45"/>
      <c r="H384" s="45"/>
      <c r="I384" s="45"/>
      <c r="J384" s="45"/>
    </row>
    <row r="385" spans="2:10" x14ac:dyDescent="0.35">
      <c r="B385" s="45"/>
      <c r="C385" s="45"/>
      <c r="D385" s="45"/>
      <c r="E385" s="45"/>
      <c r="F385" s="45"/>
      <c r="G385" s="45"/>
      <c r="H385" s="45"/>
      <c r="I385" s="45"/>
      <c r="J385" s="45"/>
    </row>
    <row r="386" spans="2:10" x14ac:dyDescent="0.35">
      <c r="B386" s="45"/>
      <c r="C386" s="45"/>
      <c r="D386" s="45"/>
      <c r="E386" s="45"/>
      <c r="F386" s="45"/>
      <c r="G386" s="45"/>
      <c r="H386" s="45"/>
      <c r="I386" s="45"/>
      <c r="J386" s="45"/>
    </row>
    <row r="387" spans="2:10" x14ac:dyDescent="0.35">
      <c r="B387" s="45"/>
      <c r="C387" s="45"/>
      <c r="D387" s="45"/>
      <c r="E387" s="45"/>
      <c r="F387" s="45"/>
      <c r="G387" s="45"/>
      <c r="H387" s="45"/>
      <c r="I387" s="45"/>
      <c r="J387" s="45"/>
    </row>
    <row r="388" spans="2:10" x14ac:dyDescent="0.35">
      <c r="B388" s="45"/>
      <c r="C388" s="45"/>
      <c r="D388" s="45"/>
      <c r="E388" s="45"/>
      <c r="F388" s="45"/>
      <c r="G388" s="45"/>
      <c r="H388" s="45"/>
      <c r="I388" s="45"/>
      <c r="J388" s="45"/>
    </row>
    <row r="389" spans="2:10" x14ac:dyDescent="0.35">
      <c r="B389" s="45"/>
      <c r="C389" s="45"/>
      <c r="D389" s="45"/>
      <c r="E389" s="45"/>
      <c r="F389" s="45"/>
      <c r="G389" s="45"/>
      <c r="H389" s="45"/>
      <c r="I389" s="45"/>
      <c r="J389" s="45"/>
    </row>
    <row r="390" spans="2:10" x14ac:dyDescent="0.35">
      <c r="B390" s="45"/>
      <c r="C390" s="45"/>
      <c r="D390" s="45"/>
      <c r="E390" s="45"/>
      <c r="F390" s="45"/>
      <c r="G390" s="45"/>
      <c r="H390" s="45"/>
      <c r="I390" s="45"/>
      <c r="J390" s="45"/>
    </row>
    <row r="391" spans="2:10" x14ac:dyDescent="0.35">
      <c r="B391" s="45"/>
      <c r="C391" s="45"/>
      <c r="D391" s="45"/>
      <c r="E391" s="45"/>
      <c r="F391" s="45"/>
      <c r="G391" s="45"/>
      <c r="H391" s="45"/>
      <c r="I391" s="45"/>
      <c r="J391" s="45"/>
    </row>
    <row r="392" spans="2:10" x14ac:dyDescent="0.35">
      <c r="B392" s="45"/>
      <c r="C392" s="45"/>
      <c r="D392" s="45"/>
      <c r="E392" s="45"/>
      <c r="F392" s="45"/>
      <c r="G392" s="45"/>
      <c r="H392" s="45"/>
      <c r="I392" s="45"/>
      <c r="J392" s="45"/>
    </row>
    <row r="393" spans="2:10" x14ac:dyDescent="0.35">
      <c r="B393" s="45"/>
      <c r="C393" s="45"/>
      <c r="D393" s="45"/>
      <c r="E393" s="45"/>
      <c r="F393" s="45"/>
      <c r="G393" s="45"/>
      <c r="H393" s="45"/>
      <c r="I393" s="45"/>
      <c r="J393" s="45"/>
    </row>
    <row r="394" spans="2:10" x14ac:dyDescent="0.35">
      <c r="B394" s="45"/>
      <c r="C394" s="45"/>
      <c r="D394" s="45"/>
      <c r="E394" s="45"/>
      <c r="F394" s="45"/>
      <c r="G394" s="45"/>
      <c r="H394" s="45"/>
      <c r="I394" s="45"/>
      <c r="J394" s="45"/>
    </row>
    <row r="395" spans="2:10" x14ac:dyDescent="0.35">
      <c r="B395" s="45"/>
      <c r="C395" s="45"/>
      <c r="D395" s="45"/>
      <c r="E395" s="45"/>
      <c r="F395" s="45"/>
      <c r="G395" s="45"/>
      <c r="H395" s="45"/>
      <c r="I395" s="45"/>
      <c r="J395" s="45"/>
    </row>
    <row r="396" spans="2:10" x14ac:dyDescent="0.35">
      <c r="B396" s="45"/>
      <c r="C396" s="45"/>
      <c r="D396" s="45"/>
      <c r="E396" s="45"/>
      <c r="F396" s="45"/>
      <c r="G396" s="45"/>
      <c r="H396" s="45"/>
      <c r="I396" s="45"/>
      <c r="J396" s="45"/>
    </row>
    <row r="397" spans="2:10" x14ac:dyDescent="0.35">
      <c r="B397" s="45"/>
      <c r="C397" s="45"/>
      <c r="D397" s="45"/>
      <c r="E397" s="45"/>
      <c r="F397" s="45"/>
      <c r="G397" s="45"/>
      <c r="H397" s="45"/>
      <c r="I397" s="45"/>
      <c r="J397" s="45"/>
    </row>
    <row r="398" spans="2:10" x14ac:dyDescent="0.35">
      <c r="B398" s="45"/>
      <c r="C398" s="45"/>
      <c r="D398" s="45"/>
      <c r="E398" s="45"/>
      <c r="F398" s="45"/>
      <c r="G398" s="45"/>
      <c r="H398" s="45"/>
      <c r="I398" s="45"/>
      <c r="J398" s="45"/>
    </row>
    <row r="399" spans="2:10" x14ac:dyDescent="0.35">
      <c r="B399" s="45"/>
      <c r="C399" s="45"/>
      <c r="D399" s="45"/>
      <c r="E399" s="45"/>
      <c r="F399" s="45"/>
      <c r="G399" s="45"/>
      <c r="H399" s="45"/>
      <c r="I399" s="45"/>
      <c r="J399" s="45"/>
    </row>
    <row r="400" spans="2:10" x14ac:dyDescent="0.35">
      <c r="B400" s="45"/>
      <c r="C400" s="45"/>
      <c r="D400" s="45"/>
      <c r="E400" s="45"/>
      <c r="F400" s="45"/>
      <c r="G400" s="45"/>
      <c r="H400" s="45"/>
      <c r="I400" s="45"/>
      <c r="J400" s="45"/>
    </row>
    <row r="401" spans="2:10" x14ac:dyDescent="0.35">
      <c r="B401" s="45"/>
      <c r="C401" s="45"/>
      <c r="D401" s="45"/>
      <c r="E401" s="45"/>
      <c r="F401" s="45"/>
      <c r="G401" s="45"/>
      <c r="H401" s="45"/>
      <c r="I401" s="45"/>
      <c r="J401" s="45"/>
    </row>
    <row r="402" spans="2:10" x14ac:dyDescent="0.35">
      <c r="B402" s="45"/>
      <c r="C402" s="45"/>
      <c r="D402" s="45"/>
      <c r="E402" s="45"/>
      <c r="F402" s="45"/>
      <c r="G402" s="45"/>
      <c r="H402" s="45"/>
      <c r="I402" s="45"/>
      <c r="J402" s="45"/>
    </row>
    <row r="403" spans="2:10" x14ac:dyDescent="0.35">
      <c r="B403" s="45"/>
      <c r="C403" s="45"/>
      <c r="D403" s="45"/>
      <c r="E403" s="45"/>
      <c r="F403" s="45"/>
      <c r="G403" s="45"/>
      <c r="H403" s="45"/>
      <c r="I403" s="45"/>
      <c r="J403" s="45"/>
    </row>
    <row r="404" spans="2:10" x14ac:dyDescent="0.35">
      <c r="B404" s="45"/>
      <c r="C404" s="45"/>
      <c r="D404" s="45"/>
      <c r="E404" s="45"/>
      <c r="F404" s="45"/>
      <c r="G404" s="45"/>
      <c r="H404" s="45"/>
      <c r="I404" s="45"/>
      <c r="J404" s="45"/>
    </row>
    <row r="405" spans="2:10" x14ac:dyDescent="0.35">
      <c r="B405" s="45"/>
      <c r="C405" s="45"/>
      <c r="D405" s="45"/>
      <c r="E405" s="45"/>
      <c r="F405" s="45"/>
      <c r="G405" s="45"/>
      <c r="H405" s="45"/>
      <c r="I405" s="45"/>
      <c r="J405" s="45"/>
    </row>
    <row r="406" spans="2:10" x14ac:dyDescent="0.35">
      <c r="B406" s="45"/>
      <c r="C406" s="45"/>
      <c r="D406" s="45"/>
      <c r="E406" s="45"/>
      <c r="F406" s="45"/>
      <c r="G406" s="45"/>
      <c r="H406" s="45"/>
      <c r="I406" s="45"/>
      <c r="J406" s="45"/>
    </row>
    <row r="407" spans="2:10" x14ac:dyDescent="0.35">
      <c r="B407" s="45"/>
      <c r="C407" s="45"/>
      <c r="D407" s="45"/>
      <c r="E407" s="45"/>
      <c r="F407" s="45"/>
      <c r="G407" s="45"/>
      <c r="H407" s="45"/>
      <c r="I407" s="45"/>
      <c r="J407" s="45"/>
    </row>
    <row r="408" spans="2:10" x14ac:dyDescent="0.35">
      <c r="B408" s="45"/>
      <c r="C408" s="45"/>
      <c r="D408" s="45"/>
      <c r="E408" s="45"/>
      <c r="F408" s="45"/>
      <c r="G408" s="45"/>
      <c r="H408" s="45"/>
      <c r="I408" s="45"/>
      <c r="J408" s="45"/>
    </row>
    <row r="409" spans="2:10" x14ac:dyDescent="0.35">
      <c r="B409" s="45"/>
      <c r="C409" s="45"/>
      <c r="D409" s="45"/>
      <c r="E409" s="45"/>
      <c r="F409" s="45"/>
      <c r="G409" s="45"/>
      <c r="H409" s="45"/>
      <c r="I409" s="45"/>
      <c r="J409" s="45"/>
    </row>
    <row r="410" spans="2:10" x14ac:dyDescent="0.35">
      <c r="B410" s="45"/>
      <c r="C410" s="45"/>
      <c r="D410" s="45"/>
      <c r="E410" s="45"/>
      <c r="F410" s="45"/>
      <c r="G410" s="45"/>
      <c r="H410" s="45"/>
      <c r="I410" s="45"/>
      <c r="J410" s="45"/>
    </row>
    <row r="411" spans="2:10" x14ac:dyDescent="0.35">
      <c r="B411" s="45"/>
      <c r="C411" s="45"/>
      <c r="D411" s="45"/>
      <c r="E411" s="45"/>
      <c r="F411" s="45"/>
      <c r="G411" s="45"/>
      <c r="H411" s="45"/>
      <c r="I411" s="45"/>
      <c r="J411" s="45"/>
    </row>
    <row r="412" spans="2:10" x14ac:dyDescent="0.35">
      <c r="B412" s="45"/>
      <c r="C412" s="45"/>
      <c r="D412" s="45"/>
      <c r="E412" s="45"/>
      <c r="F412" s="45"/>
      <c r="G412" s="45"/>
      <c r="H412" s="45"/>
      <c r="I412" s="45"/>
      <c r="J412" s="45"/>
    </row>
    <row r="413" spans="2:10" x14ac:dyDescent="0.35">
      <c r="B413" s="45"/>
      <c r="C413" s="45"/>
      <c r="D413" s="45"/>
      <c r="E413" s="45"/>
      <c r="F413" s="45"/>
      <c r="G413" s="45"/>
      <c r="H413" s="45"/>
      <c r="I413" s="45"/>
      <c r="J413" s="45"/>
    </row>
    <row r="414" spans="2:10" x14ac:dyDescent="0.35">
      <c r="B414" s="45"/>
      <c r="C414" s="45"/>
      <c r="D414" s="45"/>
      <c r="E414" s="45"/>
      <c r="F414" s="45"/>
      <c r="G414" s="45"/>
      <c r="H414" s="45"/>
      <c r="I414" s="45"/>
      <c r="J414" s="45"/>
    </row>
    <row r="415" spans="2:10" x14ac:dyDescent="0.35">
      <c r="B415" s="45"/>
      <c r="C415" s="45"/>
      <c r="D415" s="45"/>
      <c r="E415" s="45"/>
      <c r="F415" s="45"/>
      <c r="G415" s="45"/>
      <c r="H415" s="45"/>
      <c r="I415" s="45"/>
      <c r="J415" s="45"/>
    </row>
    <row r="416" spans="2:10" x14ac:dyDescent="0.35">
      <c r="B416" s="45"/>
      <c r="C416" s="45"/>
      <c r="D416" s="45"/>
      <c r="E416" s="45"/>
      <c r="F416" s="45"/>
      <c r="G416" s="45"/>
      <c r="H416" s="45"/>
      <c r="I416" s="45"/>
      <c r="J416" s="45"/>
    </row>
    <row r="417" spans="2:10" x14ac:dyDescent="0.35">
      <c r="B417" s="45"/>
      <c r="C417" s="45"/>
      <c r="D417" s="45"/>
      <c r="E417" s="45"/>
      <c r="F417" s="45"/>
      <c r="G417" s="45"/>
      <c r="H417" s="45"/>
      <c r="I417" s="45"/>
      <c r="J417" s="45"/>
    </row>
    <row r="418" spans="2:10" x14ac:dyDescent="0.35">
      <c r="B418" s="45"/>
      <c r="C418" s="45"/>
      <c r="D418" s="45"/>
      <c r="E418" s="45"/>
      <c r="F418" s="45"/>
      <c r="G418" s="45"/>
      <c r="H418" s="45"/>
      <c r="I418" s="45"/>
      <c r="J418" s="45"/>
    </row>
    <row r="419" spans="2:10" x14ac:dyDescent="0.35">
      <c r="B419" s="45"/>
      <c r="C419" s="45"/>
      <c r="D419" s="45"/>
      <c r="E419" s="45"/>
      <c r="F419" s="45"/>
      <c r="G419" s="45"/>
      <c r="H419" s="45"/>
      <c r="I419" s="45"/>
      <c r="J419" s="45"/>
    </row>
    <row r="420" spans="2:10" x14ac:dyDescent="0.35">
      <c r="B420" s="45"/>
      <c r="C420" s="45"/>
      <c r="D420" s="45"/>
      <c r="E420" s="45"/>
      <c r="F420" s="45"/>
      <c r="G420" s="45"/>
      <c r="H420" s="45"/>
      <c r="I420" s="45"/>
      <c r="J420" s="45"/>
    </row>
    <row r="421" spans="2:10" x14ac:dyDescent="0.35">
      <c r="B421" s="45"/>
      <c r="C421" s="45"/>
      <c r="D421" s="45"/>
      <c r="E421" s="45"/>
      <c r="F421" s="45"/>
      <c r="G421" s="45"/>
      <c r="H421" s="45"/>
      <c r="I421" s="45"/>
      <c r="J421" s="45"/>
    </row>
    <row r="422" spans="2:10" x14ac:dyDescent="0.35">
      <c r="B422" s="45"/>
      <c r="C422" s="45"/>
      <c r="D422" s="45"/>
      <c r="E422" s="45"/>
      <c r="F422" s="45"/>
      <c r="G422" s="45"/>
      <c r="H422" s="45"/>
      <c r="I422" s="45"/>
      <c r="J422" s="45"/>
    </row>
    <row r="423" spans="2:10" x14ac:dyDescent="0.35">
      <c r="B423" s="45"/>
      <c r="C423" s="45"/>
      <c r="D423" s="45"/>
      <c r="E423" s="45"/>
      <c r="F423" s="45"/>
      <c r="G423" s="45"/>
      <c r="H423" s="45"/>
      <c r="I423" s="45"/>
      <c r="J423" s="45"/>
    </row>
    <row r="424" spans="2:10" x14ac:dyDescent="0.35">
      <c r="B424" s="45"/>
      <c r="C424" s="45"/>
      <c r="D424" s="45"/>
      <c r="E424" s="45"/>
      <c r="F424" s="45"/>
      <c r="G424" s="45"/>
      <c r="H424" s="45"/>
      <c r="I424" s="45"/>
      <c r="J424" s="45"/>
    </row>
    <row r="425" spans="2:10" x14ac:dyDescent="0.35">
      <c r="B425" s="45"/>
      <c r="C425" s="45"/>
      <c r="D425" s="45"/>
      <c r="E425" s="45"/>
      <c r="F425" s="45"/>
      <c r="G425" s="45"/>
      <c r="H425" s="45"/>
      <c r="I425" s="45"/>
      <c r="J425" s="45"/>
    </row>
    <row r="426" spans="2:10" x14ac:dyDescent="0.35">
      <c r="B426" s="45"/>
      <c r="C426" s="45"/>
      <c r="D426" s="45"/>
      <c r="E426" s="45"/>
      <c r="F426" s="45"/>
      <c r="G426" s="45"/>
      <c r="H426" s="45"/>
      <c r="I426" s="45"/>
      <c r="J426" s="45"/>
    </row>
    <row r="427" spans="2:10" x14ac:dyDescent="0.35">
      <c r="B427" s="45"/>
      <c r="C427" s="45"/>
      <c r="D427" s="45"/>
      <c r="E427" s="45"/>
      <c r="F427" s="45"/>
      <c r="G427" s="45"/>
      <c r="H427" s="45"/>
      <c r="I427" s="45"/>
      <c r="J427" s="45"/>
    </row>
    <row r="428" spans="2:10" x14ac:dyDescent="0.35">
      <c r="B428" s="45"/>
      <c r="C428" s="45"/>
      <c r="D428" s="45"/>
      <c r="E428" s="45"/>
      <c r="F428" s="45"/>
      <c r="G428" s="45"/>
      <c r="H428" s="45"/>
      <c r="I428" s="45"/>
      <c r="J428" s="45"/>
    </row>
    <row r="429" spans="2:10" x14ac:dyDescent="0.35">
      <c r="B429" s="45"/>
      <c r="C429" s="45"/>
      <c r="D429" s="45"/>
      <c r="E429" s="45"/>
      <c r="F429" s="45"/>
      <c r="G429" s="45"/>
      <c r="H429" s="45"/>
      <c r="I429" s="45"/>
      <c r="J429" s="45"/>
    </row>
    <row r="430" spans="2:10" x14ac:dyDescent="0.35">
      <c r="B430" s="45"/>
      <c r="C430" s="45"/>
      <c r="D430" s="45"/>
      <c r="E430" s="45"/>
      <c r="F430" s="45"/>
      <c r="G430" s="45"/>
      <c r="H430" s="45"/>
      <c r="I430" s="45"/>
      <c r="J430" s="45"/>
    </row>
    <row r="431" spans="2:10" x14ac:dyDescent="0.35">
      <c r="B431" s="45"/>
      <c r="C431" s="45"/>
      <c r="D431" s="45"/>
      <c r="E431" s="45"/>
      <c r="F431" s="45"/>
      <c r="G431" s="45"/>
      <c r="H431" s="45"/>
      <c r="I431" s="45"/>
      <c r="J431" s="45"/>
    </row>
    <row r="432" spans="2:10" x14ac:dyDescent="0.35">
      <c r="B432" s="45"/>
      <c r="C432" s="45"/>
      <c r="D432" s="45"/>
      <c r="E432" s="45"/>
      <c r="F432" s="45"/>
      <c r="G432" s="45"/>
      <c r="H432" s="45"/>
      <c r="I432" s="45"/>
      <c r="J432" s="45"/>
    </row>
    <row r="433" spans="2:10" x14ac:dyDescent="0.35">
      <c r="B433" s="45"/>
      <c r="C433" s="45"/>
      <c r="D433" s="45"/>
      <c r="E433" s="45"/>
      <c r="F433" s="45"/>
      <c r="G433" s="45"/>
      <c r="H433" s="45"/>
      <c r="I433" s="45"/>
      <c r="J433" s="45"/>
    </row>
    <row r="434" spans="2:10" x14ac:dyDescent="0.35">
      <c r="B434" s="45"/>
      <c r="C434" s="45"/>
      <c r="D434" s="45"/>
      <c r="E434" s="45"/>
      <c r="F434" s="45"/>
      <c r="G434" s="45"/>
      <c r="H434" s="45"/>
      <c r="I434" s="45"/>
      <c r="J434" s="45"/>
    </row>
    <row r="435" spans="2:10" x14ac:dyDescent="0.35">
      <c r="B435" s="45"/>
      <c r="C435" s="45"/>
      <c r="D435" s="45"/>
      <c r="E435" s="45"/>
      <c r="F435" s="45"/>
      <c r="G435" s="45"/>
      <c r="H435" s="45"/>
      <c r="I435" s="45"/>
      <c r="J435" s="45"/>
    </row>
    <row r="436" spans="2:10" x14ac:dyDescent="0.35">
      <c r="B436" s="45"/>
      <c r="C436" s="45"/>
      <c r="D436" s="45"/>
      <c r="E436" s="45"/>
      <c r="F436" s="45"/>
      <c r="G436" s="45"/>
      <c r="H436" s="45"/>
      <c r="I436" s="45"/>
      <c r="J436" s="45"/>
    </row>
    <row r="437" spans="2:10" x14ac:dyDescent="0.35">
      <c r="B437" s="45"/>
      <c r="C437" s="45"/>
      <c r="D437" s="45"/>
      <c r="E437" s="45"/>
      <c r="F437" s="45"/>
      <c r="G437" s="45"/>
      <c r="H437" s="45"/>
      <c r="I437" s="45"/>
      <c r="J437" s="45"/>
    </row>
    <row r="438" spans="2:10" x14ac:dyDescent="0.35">
      <c r="B438" s="45"/>
      <c r="C438" s="45"/>
      <c r="D438" s="45"/>
      <c r="E438" s="45"/>
      <c r="F438" s="45"/>
      <c r="G438" s="45"/>
      <c r="H438" s="45"/>
      <c r="I438" s="45"/>
      <c r="J438" s="45"/>
    </row>
    <row r="439" spans="2:10" x14ac:dyDescent="0.35">
      <c r="B439" s="45"/>
      <c r="C439" s="45"/>
      <c r="D439" s="45"/>
      <c r="E439" s="45"/>
      <c r="F439" s="45"/>
      <c r="G439" s="45"/>
      <c r="H439" s="45"/>
      <c r="I439" s="45"/>
      <c r="J439" s="45"/>
    </row>
    <row r="440" spans="2:10" x14ac:dyDescent="0.35">
      <c r="B440" s="45"/>
      <c r="C440" s="45"/>
      <c r="D440" s="45"/>
      <c r="E440" s="45"/>
      <c r="F440" s="45"/>
      <c r="G440" s="45"/>
      <c r="H440" s="45"/>
      <c r="I440" s="45"/>
      <c r="J440" s="45"/>
    </row>
    <row r="441" spans="2:10" x14ac:dyDescent="0.35">
      <c r="B441" s="45"/>
      <c r="C441" s="45"/>
      <c r="D441" s="45"/>
      <c r="E441" s="45"/>
      <c r="F441" s="45"/>
      <c r="G441" s="45"/>
      <c r="H441" s="45"/>
      <c r="I441" s="45"/>
      <c r="J441" s="45"/>
    </row>
    <row r="442" spans="2:10" x14ac:dyDescent="0.35">
      <c r="B442" s="45"/>
      <c r="C442" s="45"/>
      <c r="D442" s="45"/>
      <c r="E442" s="45"/>
      <c r="F442" s="45"/>
      <c r="G442" s="45"/>
      <c r="H442" s="45"/>
      <c r="I442" s="45"/>
      <c r="J442" s="45"/>
    </row>
    <row r="443" spans="2:10" x14ac:dyDescent="0.35">
      <c r="B443" s="45"/>
      <c r="C443" s="45"/>
      <c r="D443" s="45"/>
      <c r="E443" s="45"/>
      <c r="F443" s="45"/>
      <c r="G443" s="45"/>
      <c r="H443" s="45"/>
      <c r="I443" s="45"/>
      <c r="J443" s="45"/>
    </row>
    <row r="444" spans="2:10" x14ac:dyDescent="0.35">
      <c r="B444" s="45"/>
      <c r="C444" s="45"/>
      <c r="D444" s="45"/>
      <c r="E444" s="45"/>
      <c r="F444" s="45"/>
      <c r="G444" s="45"/>
      <c r="H444" s="45"/>
      <c r="I444" s="45"/>
      <c r="J444" s="45"/>
    </row>
    <row r="445" spans="2:10" x14ac:dyDescent="0.35">
      <c r="B445" s="45"/>
      <c r="C445" s="45"/>
      <c r="D445" s="45"/>
      <c r="E445" s="45"/>
      <c r="F445" s="45"/>
      <c r="G445" s="45"/>
      <c r="H445" s="45"/>
      <c r="I445" s="45"/>
      <c r="J445" s="45"/>
    </row>
    <row r="446" spans="2:10" x14ac:dyDescent="0.35">
      <c r="B446" s="45"/>
      <c r="C446" s="45"/>
      <c r="D446" s="45"/>
      <c r="E446" s="45"/>
      <c r="F446" s="45"/>
      <c r="G446" s="45"/>
      <c r="H446" s="45"/>
      <c r="I446" s="45"/>
      <c r="J446" s="45"/>
    </row>
    <row r="447" spans="2:10" x14ac:dyDescent="0.35">
      <c r="B447" s="45"/>
      <c r="C447" s="45"/>
      <c r="D447" s="45"/>
      <c r="E447" s="45"/>
      <c r="F447" s="45"/>
      <c r="G447" s="45"/>
      <c r="H447" s="45"/>
      <c r="I447" s="45"/>
      <c r="J447" s="45"/>
    </row>
    <row r="448" spans="2:10" x14ac:dyDescent="0.35">
      <c r="B448" s="45"/>
      <c r="C448" s="45"/>
      <c r="D448" s="45"/>
      <c r="E448" s="45"/>
      <c r="F448" s="45"/>
      <c r="G448" s="45"/>
      <c r="H448" s="45"/>
      <c r="I448" s="45"/>
      <c r="J448" s="45"/>
    </row>
    <row r="449" spans="2:10" x14ac:dyDescent="0.35">
      <c r="B449" s="45"/>
      <c r="C449" s="45"/>
      <c r="D449" s="45"/>
      <c r="E449" s="45"/>
      <c r="F449" s="45"/>
      <c r="G449" s="45"/>
      <c r="H449" s="45"/>
      <c r="I449" s="45"/>
      <c r="J449" s="45"/>
    </row>
    <row r="450" spans="2:10" x14ac:dyDescent="0.35">
      <c r="B450" s="45"/>
      <c r="C450" s="45"/>
      <c r="D450" s="45"/>
      <c r="E450" s="45"/>
      <c r="F450" s="45"/>
      <c r="G450" s="45"/>
      <c r="H450" s="45"/>
      <c r="I450" s="45"/>
      <c r="J450" s="45"/>
    </row>
    <row r="451" spans="2:10" x14ac:dyDescent="0.35">
      <c r="B451" s="45"/>
      <c r="C451" s="45"/>
      <c r="D451" s="45"/>
      <c r="E451" s="45"/>
      <c r="F451" s="45"/>
      <c r="G451" s="45"/>
      <c r="H451" s="45"/>
      <c r="I451" s="45"/>
      <c r="J451" s="45"/>
    </row>
    <row r="452" spans="2:10" x14ac:dyDescent="0.35">
      <c r="B452" s="45"/>
      <c r="C452" s="45"/>
      <c r="D452" s="45"/>
      <c r="E452" s="45"/>
      <c r="F452" s="45"/>
      <c r="G452" s="45"/>
      <c r="H452" s="45"/>
      <c r="I452" s="45"/>
      <c r="J452" s="45"/>
    </row>
    <row r="453" spans="2:10" x14ac:dyDescent="0.35">
      <c r="B453" s="45"/>
      <c r="C453" s="45"/>
      <c r="D453" s="45"/>
      <c r="E453" s="45"/>
      <c r="F453" s="45"/>
      <c r="G453" s="45"/>
      <c r="H453" s="45"/>
      <c r="I453" s="45"/>
      <c r="J453" s="45"/>
    </row>
    <row r="454" spans="2:10" x14ac:dyDescent="0.35">
      <c r="B454" s="45"/>
      <c r="C454" s="45"/>
      <c r="D454" s="45"/>
      <c r="E454" s="45"/>
      <c r="F454" s="45"/>
      <c r="G454" s="45"/>
      <c r="H454" s="45"/>
      <c r="I454" s="45"/>
      <c r="J454" s="45"/>
    </row>
    <row r="455" spans="2:10" x14ac:dyDescent="0.35">
      <c r="B455" s="45"/>
      <c r="C455" s="45"/>
      <c r="D455" s="45"/>
      <c r="E455" s="45"/>
      <c r="F455" s="45"/>
      <c r="G455" s="45"/>
      <c r="H455" s="45"/>
      <c r="I455" s="45"/>
      <c r="J455" s="45"/>
    </row>
    <row r="456" spans="2:10" x14ac:dyDescent="0.35">
      <c r="B456" s="45"/>
      <c r="C456" s="45"/>
      <c r="D456" s="45"/>
      <c r="E456" s="45"/>
      <c r="F456" s="45"/>
      <c r="G456" s="45"/>
      <c r="H456" s="45"/>
      <c r="I456" s="45"/>
      <c r="J456" s="45"/>
    </row>
    <row r="457" spans="2:10" x14ac:dyDescent="0.35">
      <c r="B457" s="45"/>
      <c r="C457" s="45"/>
      <c r="D457" s="45"/>
      <c r="E457" s="45"/>
      <c r="F457" s="45"/>
      <c r="G457" s="45"/>
      <c r="H457" s="45"/>
      <c r="I457" s="45"/>
      <c r="J457" s="45"/>
    </row>
    <row r="458" spans="2:10" x14ac:dyDescent="0.35">
      <c r="B458" s="45"/>
      <c r="C458" s="45"/>
      <c r="D458" s="45"/>
      <c r="E458" s="45"/>
      <c r="F458" s="45"/>
      <c r="G458" s="45"/>
      <c r="H458" s="45"/>
      <c r="I458" s="45"/>
      <c r="J458" s="45"/>
    </row>
    <row r="459" spans="2:10" x14ac:dyDescent="0.35">
      <c r="B459" s="45"/>
      <c r="C459" s="45"/>
      <c r="D459" s="45"/>
      <c r="E459" s="45"/>
      <c r="F459" s="45"/>
      <c r="G459" s="45"/>
      <c r="H459" s="45"/>
      <c r="I459" s="45"/>
      <c r="J459" s="45"/>
    </row>
    <row r="460" spans="2:10" x14ac:dyDescent="0.35">
      <c r="B460" s="45"/>
      <c r="C460" s="45"/>
      <c r="D460" s="45"/>
      <c r="E460" s="45"/>
      <c r="F460" s="45"/>
      <c r="G460" s="45"/>
      <c r="H460" s="45"/>
      <c r="I460" s="45"/>
      <c r="J460" s="45"/>
    </row>
    <row r="461" spans="2:10" x14ac:dyDescent="0.35">
      <c r="B461" s="45"/>
      <c r="C461" s="45"/>
      <c r="D461" s="45"/>
      <c r="E461" s="45"/>
      <c r="F461" s="45"/>
      <c r="G461" s="45"/>
      <c r="H461" s="45"/>
      <c r="I461" s="45"/>
      <c r="J461" s="45"/>
    </row>
    <row r="462" spans="2:10" x14ac:dyDescent="0.35">
      <c r="B462" s="45"/>
      <c r="C462" s="45"/>
      <c r="D462" s="45"/>
      <c r="E462" s="45"/>
      <c r="F462" s="45"/>
      <c r="G462" s="45"/>
      <c r="H462" s="45"/>
      <c r="I462" s="45"/>
      <c r="J462" s="45"/>
    </row>
    <row r="463" spans="2:10" x14ac:dyDescent="0.35">
      <c r="B463" s="45"/>
      <c r="C463" s="45"/>
      <c r="D463" s="45"/>
      <c r="E463" s="45"/>
      <c r="F463" s="45"/>
      <c r="G463" s="45"/>
      <c r="H463" s="45"/>
      <c r="I463" s="45"/>
      <c r="J463" s="45"/>
    </row>
    <row r="464" spans="2:10" x14ac:dyDescent="0.35">
      <c r="B464" s="45"/>
      <c r="C464" s="45"/>
      <c r="D464" s="45"/>
      <c r="E464" s="45"/>
      <c r="F464" s="45"/>
      <c r="G464" s="45"/>
      <c r="H464" s="45"/>
      <c r="I464" s="45"/>
      <c r="J464" s="45"/>
    </row>
    <row r="465" spans="2:10" x14ac:dyDescent="0.35">
      <c r="B465" s="45"/>
      <c r="C465" s="45"/>
      <c r="D465" s="45"/>
      <c r="E465" s="45"/>
      <c r="F465" s="45"/>
      <c r="G465" s="45"/>
      <c r="H465" s="45"/>
      <c r="I465" s="45"/>
      <c r="J465" s="45"/>
    </row>
    <row r="466" spans="2:10" x14ac:dyDescent="0.35">
      <c r="B466" s="45"/>
      <c r="C466" s="45"/>
      <c r="D466" s="45"/>
      <c r="E466" s="45"/>
      <c r="F466" s="45"/>
      <c r="G466" s="45"/>
      <c r="H466" s="45"/>
      <c r="I466" s="45"/>
      <c r="J466" s="45"/>
    </row>
    <row r="467" spans="2:10" x14ac:dyDescent="0.35">
      <c r="B467" s="45"/>
      <c r="C467" s="45"/>
      <c r="D467" s="45"/>
      <c r="E467" s="45"/>
      <c r="F467" s="45"/>
      <c r="G467" s="45"/>
      <c r="H467" s="45"/>
      <c r="I467" s="45"/>
      <c r="J467" s="45"/>
    </row>
    <row r="468" spans="2:10" x14ac:dyDescent="0.35">
      <c r="B468" s="45"/>
      <c r="C468" s="45"/>
      <c r="D468" s="45"/>
      <c r="E468" s="45"/>
      <c r="F468" s="45"/>
      <c r="G468" s="45"/>
      <c r="H468" s="45"/>
      <c r="I468" s="45"/>
      <c r="J468" s="45"/>
    </row>
    <row r="469" spans="2:10" x14ac:dyDescent="0.35">
      <c r="B469" s="45"/>
      <c r="C469" s="45"/>
      <c r="D469" s="45"/>
      <c r="E469" s="45"/>
      <c r="F469" s="45"/>
      <c r="G469" s="45"/>
      <c r="H469" s="45"/>
      <c r="I469" s="45"/>
      <c r="J469" s="45"/>
    </row>
    <row r="470" spans="2:10" x14ac:dyDescent="0.35">
      <c r="B470" s="45"/>
      <c r="C470" s="45"/>
      <c r="D470" s="45"/>
      <c r="E470" s="45"/>
      <c r="F470" s="45"/>
      <c r="G470" s="45"/>
      <c r="H470" s="45"/>
      <c r="I470" s="45"/>
      <c r="J470" s="45"/>
    </row>
    <row r="471" spans="2:10" x14ac:dyDescent="0.35">
      <c r="B471" s="45"/>
      <c r="C471" s="45"/>
      <c r="D471" s="45"/>
      <c r="E471" s="45"/>
      <c r="F471" s="45"/>
      <c r="G471" s="45"/>
      <c r="H471" s="45"/>
      <c r="I471" s="45"/>
      <c r="J471" s="45"/>
    </row>
    <row r="472" spans="2:10" x14ac:dyDescent="0.35">
      <c r="B472" s="45"/>
      <c r="C472" s="45"/>
      <c r="D472" s="45"/>
      <c r="E472" s="45"/>
      <c r="F472" s="45"/>
      <c r="G472" s="45"/>
      <c r="H472" s="45"/>
      <c r="I472" s="45"/>
      <c r="J472" s="45"/>
    </row>
    <row r="473" spans="2:10" x14ac:dyDescent="0.35">
      <c r="B473" s="45"/>
      <c r="C473" s="45"/>
      <c r="D473" s="45"/>
      <c r="E473" s="45"/>
      <c r="F473" s="45"/>
      <c r="G473" s="45"/>
      <c r="H473" s="45"/>
      <c r="I473" s="45"/>
      <c r="J473" s="45"/>
    </row>
    <row r="474" spans="2:10" x14ac:dyDescent="0.35">
      <c r="B474" s="45"/>
      <c r="C474" s="45"/>
      <c r="D474" s="45"/>
      <c r="E474" s="45"/>
      <c r="F474" s="45"/>
      <c r="G474" s="45"/>
      <c r="H474" s="45"/>
      <c r="I474" s="45"/>
      <c r="J474" s="45"/>
    </row>
    <row r="475" spans="2:10" x14ac:dyDescent="0.35">
      <c r="B475" s="45"/>
      <c r="C475" s="45"/>
      <c r="D475" s="45"/>
      <c r="E475" s="45"/>
      <c r="F475" s="45"/>
      <c r="G475" s="45"/>
      <c r="H475" s="45"/>
      <c r="I475" s="45"/>
      <c r="J475" s="45"/>
    </row>
    <row r="476" spans="2:10" x14ac:dyDescent="0.35">
      <c r="B476" s="45"/>
      <c r="C476" s="45"/>
      <c r="D476" s="45"/>
      <c r="E476" s="45"/>
      <c r="F476" s="45"/>
      <c r="G476" s="45"/>
      <c r="H476" s="45"/>
      <c r="I476" s="45"/>
      <c r="J476" s="45"/>
    </row>
    <row r="477" spans="2:10" x14ac:dyDescent="0.35">
      <c r="B477" s="45"/>
      <c r="C477" s="45"/>
      <c r="D477" s="45"/>
      <c r="E477" s="45"/>
      <c r="F477" s="45"/>
      <c r="G477" s="45"/>
      <c r="H477" s="45"/>
      <c r="I477" s="45"/>
      <c r="J477" s="45"/>
    </row>
    <row r="478" spans="2:10" x14ac:dyDescent="0.35">
      <c r="B478" s="45"/>
      <c r="C478" s="45"/>
      <c r="D478" s="45"/>
      <c r="E478" s="45"/>
      <c r="F478" s="45"/>
      <c r="G478" s="45"/>
      <c r="H478" s="45"/>
      <c r="I478" s="45"/>
      <c r="J478" s="45"/>
    </row>
    <row r="479" spans="2:10" x14ac:dyDescent="0.35">
      <c r="B479" s="45"/>
      <c r="C479" s="45"/>
      <c r="D479" s="45"/>
      <c r="E479" s="45"/>
      <c r="F479" s="45"/>
      <c r="G479" s="45"/>
      <c r="H479" s="45"/>
      <c r="I479" s="45"/>
      <c r="J479" s="45"/>
    </row>
    <row r="480" spans="2:10" x14ac:dyDescent="0.35">
      <c r="B480" s="45"/>
      <c r="C480" s="45"/>
      <c r="D480" s="45"/>
      <c r="E480" s="45"/>
      <c r="F480" s="45"/>
      <c r="G480" s="45"/>
      <c r="H480" s="45"/>
      <c r="I480" s="45"/>
      <c r="J480" s="45"/>
    </row>
    <row r="481" spans="2:10" x14ac:dyDescent="0.35">
      <c r="B481" s="45"/>
      <c r="C481" s="45"/>
      <c r="D481" s="45"/>
      <c r="E481" s="45"/>
      <c r="F481" s="45"/>
      <c r="G481" s="45"/>
      <c r="H481" s="45"/>
      <c r="I481" s="45"/>
      <c r="J481" s="45"/>
    </row>
    <row r="482" spans="2:10" x14ac:dyDescent="0.35">
      <c r="B482" s="45"/>
      <c r="C482" s="45"/>
      <c r="D482" s="45"/>
      <c r="E482" s="45"/>
      <c r="F482" s="45"/>
      <c r="G482" s="45"/>
      <c r="H482" s="45"/>
      <c r="I482" s="45"/>
      <c r="J482" s="45"/>
    </row>
    <row r="483" spans="2:10" x14ac:dyDescent="0.35">
      <c r="B483" s="45"/>
      <c r="C483" s="45"/>
      <c r="D483" s="45"/>
      <c r="E483" s="45"/>
      <c r="F483" s="45"/>
      <c r="G483" s="45"/>
      <c r="H483" s="45"/>
      <c r="I483" s="45"/>
      <c r="J483" s="45"/>
    </row>
    <row r="484" spans="2:10" x14ac:dyDescent="0.35">
      <c r="B484" s="45"/>
      <c r="C484" s="45"/>
      <c r="D484" s="45"/>
      <c r="E484" s="45"/>
      <c r="F484" s="45"/>
      <c r="G484" s="45"/>
      <c r="H484" s="45"/>
      <c r="I484" s="45"/>
      <c r="J484" s="45"/>
    </row>
    <row r="485" spans="2:10" x14ac:dyDescent="0.35">
      <c r="B485" s="45"/>
      <c r="C485" s="45"/>
      <c r="D485" s="45"/>
      <c r="E485" s="45"/>
      <c r="F485" s="45"/>
      <c r="G485" s="45"/>
      <c r="H485" s="45"/>
      <c r="I485" s="45"/>
      <c r="J485" s="45"/>
    </row>
    <row r="486" spans="2:10" x14ac:dyDescent="0.35">
      <c r="B486" s="45"/>
      <c r="C486" s="45"/>
      <c r="D486" s="45"/>
      <c r="E486" s="45"/>
      <c r="F486" s="45"/>
      <c r="G486" s="45"/>
      <c r="H486" s="45"/>
      <c r="I486" s="45"/>
      <c r="J486" s="45"/>
    </row>
    <row r="487" spans="2:10" x14ac:dyDescent="0.35">
      <c r="B487" s="45"/>
      <c r="C487" s="45"/>
      <c r="D487" s="45"/>
      <c r="E487" s="45"/>
      <c r="F487" s="45"/>
      <c r="G487" s="45"/>
      <c r="H487" s="45"/>
      <c r="I487" s="45"/>
      <c r="J487" s="45"/>
    </row>
    <row r="488" spans="2:10" x14ac:dyDescent="0.35">
      <c r="B488" s="45"/>
      <c r="C488" s="45"/>
      <c r="D488" s="45"/>
      <c r="E488" s="45"/>
      <c r="F488" s="45"/>
      <c r="G488" s="45"/>
      <c r="H488" s="45"/>
      <c r="I488" s="45"/>
      <c r="J488" s="45"/>
    </row>
    <row r="489" spans="2:10" x14ac:dyDescent="0.35">
      <c r="B489" s="45"/>
      <c r="C489" s="45"/>
      <c r="D489" s="45"/>
      <c r="E489" s="45"/>
      <c r="F489" s="45"/>
      <c r="G489" s="45"/>
      <c r="H489" s="45"/>
      <c r="I489" s="45"/>
      <c r="J489" s="45"/>
    </row>
    <row r="490" spans="2:10" x14ac:dyDescent="0.35">
      <c r="B490" s="45"/>
      <c r="C490" s="45"/>
      <c r="D490" s="45"/>
      <c r="E490" s="45"/>
      <c r="F490" s="45"/>
      <c r="G490" s="45"/>
      <c r="H490" s="45"/>
      <c r="I490" s="45"/>
      <c r="J490" s="45"/>
    </row>
    <row r="491" spans="2:10" x14ac:dyDescent="0.35">
      <c r="B491" s="45"/>
      <c r="C491" s="45"/>
      <c r="D491" s="45"/>
      <c r="E491" s="45"/>
      <c r="F491" s="45"/>
      <c r="G491" s="45"/>
      <c r="H491" s="45"/>
      <c r="I491" s="45"/>
      <c r="J491" s="45"/>
    </row>
    <row r="492" spans="2:10" x14ac:dyDescent="0.35">
      <c r="B492" s="45"/>
      <c r="C492" s="45"/>
      <c r="D492" s="45"/>
      <c r="E492" s="45"/>
      <c r="F492" s="45"/>
      <c r="G492" s="45"/>
      <c r="H492" s="45"/>
      <c r="I492" s="45"/>
      <c r="J492" s="45"/>
    </row>
    <row r="493" spans="2:10" x14ac:dyDescent="0.35">
      <c r="B493" s="45"/>
      <c r="C493" s="45"/>
      <c r="D493" s="45"/>
      <c r="E493" s="45"/>
      <c r="F493" s="45"/>
      <c r="G493" s="45"/>
      <c r="H493" s="45"/>
      <c r="I493" s="45"/>
      <c r="J493" s="45"/>
    </row>
    <row r="494" spans="2:10" x14ac:dyDescent="0.35">
      <c r="B494" s="45"/>
      <c r="C494" s="45"/>
      <c r="D494" s="45"/>
      <c r="E494" s="45"/>
      <c r="F494" s="45"/>
      <c r="G494" s="45"/>
      <c r="H494" s="45"/>
      <c r="I494" s="45"/>
      <c r="J494" s="45"/>
    </row>
    <row r="495" spans="2:10" x14ac:dyDescent="0.35">
      <c r="B495" s="45"/>
      <c r="C495" s="45"/>
      <c r="D495" s="45"/>
      <c r="E495" s="45"/>
      <c r="F495" s="45"/>
      <c r="G495" s="45"/>
      <c r="H495" s="45"/>
      <c r="I495" s="45"/>
      <c r="J495" s="45"/>
    </row>
    <row r="496" spans="2:10" x14ac:dyDescent="0.35">
      <c r="B496" s="45"/>
      <c r="C496" s="45"/>
      <c r="D496" s="45"/>
      <c r="E496" s="45"/>
      <c r="F496" s="45"/>
      <c r="G496" s="45"/>
      <c r="H496" s="45"/>
      <c r="I496" s="45"/>
      <c r="J496" s="45"/>
    </row>
    <row r="497" spans="2:10" x14ac:dyDescent="0.35">
      <c r="B497" s="45"/>
      <c r="C497" s="45"/>
      <c r="D497" s="45"/>
      <c r="E497" s="45"/>
      <c r="F497" s="45"/>
      <c r="G497" s="45"/>
      <c r="H497" s="45"/>
      <c r="I497" s="45"/>
      <c r="J497" s="45"/>
    </row>
    <row r="498" spans="2:10" x14ac:dyDescent="0.35">
      <c r="B498" s="45"/>
      <c r="C498" s="45"/>
      <c r="D498" s="45"/>
      <c r="E498" s="45"/>
      <c r="F498" s="45"/>
      <c r="G498" s="45"/>
      <c r="H498" s="45"/>
      <c r="I498" s="45"/>
      <c r="J498" s="45"/>
    </row>
    <row r="499" spans="2:10" x14ac:dyDescent="0.35">
      <c r="B499" s="45"/>
      <c r="C499" s="45"/>
      <c r="D499" s="45"/>
      <c r="E499" s="45"/>
      <c r="F499" s="45"/>
      <c r="G499" s="45"/>
      <c r="H499" s="45"/>
      <c r="I499" s="45"/>
      <c r="J499" s="45"/>
    </row>
    <row r="500" spans="2:10" x14ac:dyDescent="0.35">
      <c r="B500" s="45"/>
      <c r="C500" s="45"/>
      <c r="D500" s="45"/>
      <c r="E500" s="45"/>
      <c r="F500" s="45"/>
      <c r="G500" s="45"/>
      <c r="H500" s="45"/>
      <c r="I500" s="45"/>
      <c r="J500" s="45"/>
    </row>
    <row r="501" spans="2:10" x14ac:dyDescent="0.35">
      <c r="B501" s="45"/>
      <c r="C501" s="45"/>
      <c r="D501" s="45"/>
      <c r="E501" s="45"/>
      <c r="F501" s="45"/>
      <c r="G501" s="45"/>
      <c r="H501" s="45"/>
      <c r="I501" s="45"/>
      <c r="J501" s="45"/>
    </row>
    <row r="502" spans="2:10" x14ac:dyDescent="0.35">
      <c r="B502" s="45"/>
      <c r="C502" s="45"/>
      <c r="D502" s="45"/>
      <c r="E502" s="45"/>
      <c r="F502" s="45"/>
      <c r="G502" s="45"/>
      <c r="H502" s="45"/>
      <c r="I502" s="45"/>
      <c r="J502" s="45"/>
    </row>
    <row r="503" spans="2:10" x14ac:dyDescent="0.35">
      <c r="B503" s="45"/>
      <c r="C503" s="45"/>
      <c r="D503" s="45"/>
      <c r="E503" s="45"/>
      <c r="F503" s="45"/>
      <c r="G503" s="45"/>
      <c r="H503" s="45"/>
      <c r="I503" s="45"/>
      <c r="J503" s="45"/>
    </row>
    <row r="504" spans="2:10" x14ac:dyDescent="0.35">
      <c r="B504" s="45"/>
      <c r="C504" s="45"/>
      <c r="D504" s="45"/>
      <c r="E504" s="45"/>
      <c r="F504" s="45"/>
      <c r="G504" s="45"/>
      <c r="H504" s="45"/>
      <c r="I504" s="45"/>
      <c r="J504" s="45"/>
    </row>
    <row r="505" spans="2:10" x14ac:dyDescent="0.35">
      <c r="B505" s="45"/>
      <c r="C505" s="45"/>
      <c r="D505" s="45"/>
      <c r="E505" s="45"/>
      <c r="F505" s="45"/>
      <c r="G505" s="45"/>
      <c r="H505" s="45"/>
      <c r="I505" s="45"/>
      <c r="J505" s="45"/>
    </row>
    <row r="506" spans="2:10" x14ac:dyDescent="0.35">
      <c r="B506" s="45"/>
      <c r="C506" s="45"/>
      <c r="D506" s="45"/>
      <c r="E506" s="45"/>
      <c r="F506" s="45"/>
      <c r="G506" s="45"/>
      <c r="H506" s="45"/>
      <c r="I506" s="45"/>
      <c r="J506" s="45"/>
    </row>
    <row r="507" spans="2:10" x14ac:dyDescent="0.35">
      <c r="B507" s="45"/>
      <c r="C507" s="45"/>
      <c r="D507" s="45"/>
      <c r="E507" s="45"/>
      <c r="F507" s="45"/>
      <c r="G507" s="45"/>
      <c r="H507" s="45"/>
      <c r="I507" s="45"/>
      <c r="J507" s="45"/>
    </row>
    <row r="508" spans="2:10" x14ac:dyDescent="0.35">
      <c r="B508" s="45"/>
      <c r="C508" s="45"/>
      <c r="D508" s="45"/>
      <c r="E508" s="45"/>
      <c r="F508" s="45"/>
      <c r="G508" s="45"/>
      <c r="H508" s="45"/>
      <c r="I508" s="45"/>
      <c r="J508" s="45"/>
    </row>
    <row r="509" spans="2:10" x14ac:dyDescent="0.35">
      <c r="B509" s="45"/>
      <c r="C509" s="45"/>
      <c r="D509" s="45"/>
      <c r="E509" s="45"/>
      <c r="F509" s="45"/>
      <c r="G509" s="45"/>
      <c r="H509" s="45"/>
      <c r="I509" s="45"/>
      <c r="J509" s="45"/>
    </row>
    <row r="510" spans="2:10" x14ac:dyDescent="0.35">
      <c r="B510" s="45"/>
      <c r="C510" s="45"/>
      <c r="D510" s="45"/>
      <c r="E510" s="45"/>
      <c r="F510" s="45"/>
      <c r="G510" s="45"/>
      <c r="H510" s="45"/>
      <c r="I510" s="45"/>
      <c r="J510" s="45"/>
    </row>
    <row r="511" spans="2:10" x14ac:dyDescent="0.35">
      <c r="B511" s="45"/>
      <c r="C511" s="45"/>
      <c r="D511" s="45"/>
      <c r="E511" s="45"/>
      <c r="F511" s="45"/>
      <c r="G511" s="45"/>
      <c r="H511" s="45"/>
      <c r="I511" s="45"/>
      <c r="J511" s="45"/>
    </row>
    <row r="512" spans="2:10" x14ac:dyDescent="0.35">
      <c r="B512" s="45"/>
      <c r="C512" s="45"/>
      <c r="D512" s="45"/>
      <c r="E512" s="45"/>
      <c r="F512" s="45"/>
      <c r="G512" s="45"/>
      <c r="H512" s="45"/>
      <c r="I512" s="45"/>
      <c r="J512" s="45"/>
    </row>
    <row r="513" spans="2:10" x14ac:dyDescent="0.35">
      <c r="B513" s="45"/>
      <c r="C513" s="45"/>
      <c r="D513" s="45"/>
      <c r="E513" s="45"/>
      <c r="F513" s="45"/>
      <c r="G513" s="45"/>
      <c r="H513" s="45"/>
      <c r="I513" s="45"/>
      <c r="J513" s="45"/>
    </row>
    <row r="514" spans="2:10" x14ac:dyDescent="0.35">
      <c r="B514" s="45"/>
      <c r="C514" s="45"/>
      <c r="D514" s="45"/>
      <c r="E514" s="45"/>
      <c r="F514" s="45"/>
      <c r="G514" s="45"/>
      <c r="H514" s="45"/>
      <c r="I514" s="45"/>
      <c r="J514" s="45"/>
    </row>
    <row r="515" spans="2:10" x14ac:dyDescent="0.35">
      <c r="B515" s="45"/>
      <c r="C515" s="45"/>
      <c r="D515" s="45"/>
      <c r="E515" s="45"/>
      <c r="F515" s="45"/>
      <c r="G515" s="45"/>
      <c r="H515" s="45"/>
      <c r="I515" s="45"/>
      <c r="J515" s="45"/>
    </row>
    <row r="516" spans="2:10" x14ac:dyDescent="0.35">
      <c r="B516" s="45"/>
      <c r="C516" s="45"/>
      <c r="D516" s="45"/>
      <c r="E516" s="45"/>
      <c r="F516" s="45"/>
      <c r="G516" s="45"/>
      <c r="H516" s="45"/>
      <c r="I516" s="45"/>
      <c r="J516" s="45"/>
    </row>
    <row r="517" spans="2:10" x14ac:dyDescent="0.35">
      <c r="B517" s="45"/>
      <c r="C517" s="45"/>
      <c r="D517" s="45"/>
      <c r="E517" s="45"/>
      <c r="F517" s="45"/>
      <c r="G517" s="45"/>
      <c r="H517" s="45"/>
      <c r="I517" s="45"/>
      <c r="J517" s="45"/>
    </row>
    <row r="518" spans="2:10" x14ac:dyDescent="0.35">
      <c r="B518" s="45"/>
      <c r="C518" s="45"/>
      <c r="D518" s="45"/>
      <c r="E518" s="45"/>
      <c r="F518" s="45"/>
      <c r="G518" s="45"/>
      <c r="H518" s="45"/>
      <c r="I518" s="45"/>
      <c r="J518" s="45"/>
    </row>
    <row r="519" spans="2:10" x14ac:dyDescent="0.35">
      <c r="B519" s="45"/>
      <c r="C519" s="45"/>
      <c r="D519" s="45"/>
      <c r="E519" s="45"/>
      <c r="F519" s="45"/>
      <c r="G519" s="45"/>
      <c r="H519" s="45"/>
      <c r="I519" s="45"/>
      <c r="J519" s="45"/>
    </row>
    <row r="520" spans="2:10" x14ac:dyDescent="0.35">
      <c r="B520" s="45"/>
      <c r="C520" s="45"/>
      <c r="D520" s="45"/>
      <c r="E520" s="45"/>
      <c r="F520" s="45"/>
      <c r="G520" s="45"/>
      <c r="H520" s="45"/>
      <c r="I520" s="45"/>
      <c r="J520" s="45"/>
    </row>
    <row r="521" spans="2:10" x14ac:dyDescent="0.35">
      <c r="B521" s="45"/>
      <c r="C521" s="45"/>
      <c r="D521" s="45"/>
      <c r="E521" s="45"/>
      <c r="F521" s="45"/>
      <c r="G521" s="45"/>
      <c r="H521" s="45"/>
      <c r="I521" s="45"/>
      <c r="J521" s="45"/>
    </row>
    <row r="522" spans="2:10" x14ac:dyDescent="0.35">
      <c r="B522" s="45"/>
      <c r="C522" s="45"/>
      <c r="D522" s="45"/>
      <c r="E522" s="45"/>
      <c r="F522" s="45"/>
      <c r="G522" s="45"/>
      <c r="H522" s="45"/>
      <c r="I522" s="45"/>
      <c r="J522" s="45"/>
    </row>
    <row r="523" spans="2:10" x14ac:dyDescent="0.35">
      <c r="B523" s="45"/>
      <c r="C523" s="45"/>
      <c r="D523" s="45"/>
      <c r="E523" s="45"/>
      <c r="F523" s="45"/>
      <c r="G523" s="45"/>
      <c r="H523" s="45"/>
      <c r="I523" s="45"/>
      <c r="J523" s="45"/>
    </row>
    <row r="524" spans="2:10" x14ac:dyDescent="0.35">
      <c r="B524" s="45"/>
      <c r="C524" s="45"/>
      <c r="D524" s="45"/>
      <c r="E524" s="45"/>
      <c r="F524" s="45"/>
      <c r="G524" s="45"/>
      <c r="H524" s="45"/>
      <c r="I524" s="45"/>
      <c r="J524" s="45"/>
    </row>
    <row r="525" spans="2:10" x14ac:dyDescent="0.35">
      <c r="B525" s="45"/>
      <c r="C525" s="45"/>
      <c r="D525" s="45"/>
      <c r="E525" s="45"/>
      <c r="F525" s="45"/>
      <c r="G525" s="45"/>
      <c r="H525" s="45"/>
      <c r="I525" s="45"/>
      <c r="J525" s="45"/>
    </row>
    <row r="526" spans="2:10" x14ac:dyDescent="0.35">
      <c r="B526" s="45"/>
      <c r="C526" s="45"/>
      <c r="D526" s="45"/>
      <c r="E526" s="45"/>
      <c r="F526" s="45"/>
      <c r="G526" s="45"/>
      <c r="H526" s="45"/>
      <c r="I526" s="45"/>
      <c r="J526" s="45"/>
    </row>
    <row r="527" spans="2:10" x14ac:dyDescent="0.35">
      <c r="B527" s="45"/>
      <c r="C527" s="45"/>
      <c r="D527" s="45"/>
      <c r="E527" s="45"/>
      <c r="F527" s="45"/>
      <c r="G527" s="45"/>
      <c r="H527" s="45"/>
      <c r="I527" s="45"/>
      <c r="J527" s="45"/>
    </row>
    <row r="528" spans="2:10" x14ac:dyDescent="0.35">
      <c r="B528" s="45"/>
      <c r="C528" s="45"/>
      <c r="D528" s="45"/>
      <c r="E528" s="45"/>
      <c r="F528" s="45"/>
      <c r="G528" s="45"/>
      <c r="H528" s="45"/>
      <c r="I528" s="45"/>
      <c r="J528" s="45"/>
    </row>
    <row r="529" spans="2:10" x14ac:dyDescent="0.35">
      <c r="B529" s="45"/>
      <c r="C529" s="45"/>
      <c r="D529" s="45"/>
      <c r="E529" s="45"/>
      <c r="F529" s="45"/>
      <c r="G529" s="45"/>
      <c r="H529" s="45"/>
      <c r="I529" s="45"/>
      <c r="J529" s="45"/>
    </row>
    <row r="530" spans="2:10" x14ac:dyDescent="0.35">
      <c r="B530" s="45"/>
      <c r="C530" s="45"/>
      <c r="D530" s="45"/>
      <c r="E530" s="45"/>
      <c r="F530" s="45"/>
      <c r="G530" s="45"/>
      <c r="H530" s="45"/>
      <c r="I530" s="45"/>
      <c r="J530" s="45"/>
    </row>
    <row r="531" spans="2:10" x14ac:dyDescent="0.35">
      <c r="B531" s="45"/>
      <c r="C531" s="45"/>
      <c r="D531" s="45"/>
      <c r="E531" s="45"/>
      <c r="F531" s="45"/>
      <c r="G531" s="45"/>
      <c r="H531" s="45"/>
      <c r="I531" s="45"/>
      <c r="J531" s="45"/>
    </row>
    <row r="532" spans="2:10" x14ac:dyDescent="0.35">
      <c r="B532" s="45"/>
      <c r="C532" s="45"/>
      <c r="D532" s="45"/>
      <c r="E532" s="45"/>
      <c r="F532" s="45"/>
      <c r="G532" s="45"/>
      <c r="H532" s="45"/>
      <c r="I532" s="45"/>
      <c r="J532" s="45"/>
    </row>
    <row r="533" spans="2:10" x14ac:dyDescent="0.35">
      <c r="B533" s="45"/>
      <c r="C533" s="45"/>
      <c r="D533" s="45"/>
      <c r="E533" s="45"/>
      <c r="F533" s="45"/>
      <c r="G533" s="45"/>
      <c r="H533" s="45"/>
      <c r="I533" s="45"/>
      <c r="J533" s="45"/>
    </row>
    <row r="534" spans="2:10" x14ac:dyDescent="0.35">
      <c r="B534" s="45"/>
      <c r="C534" s="45"/>
      <c r="D534" s="45"/>
      <c r="E534" s="45"/>
      <c r="F534" s="45"/>
      <c r="G534" s="45"/>
      <c r="H534" s="45"/>
      <c r="I534" s="45"/>
      <c r="J534" s="45"/>
    </row>
    <row r="535" spans="2:10" x14ac:dyDescent="0.35">
      <c r="B535" s="45"/>
      <c r="C535" s="45"/>
      <c r="D535" s="45"/>
      <c r="E535" s="45"/>
      <c r="F535" s="45"/>
      <c r="G535" s="45"/>
      <c r="H535" s="45"/>
      <c r="I535" s="45"/>
      <c r="J535" s="45"/>
    </row>
    <row r="536" spans="2:10" x14ac:dyDescent="0.35">
      <c r="B536" s="45"/>
      <c r="C536" s="45"/>
      <c r="D536" s="45"/>
      <c r="E536" s="45"/>
      <c r="F536" s="45"/>
      <c r="G536" s="45"/>
      <c r="H536" s="45"/>
      <c r="I536" s="45"/>
      <c r="J536" s="45"/>
    </row>
    <row r="537" spans="2:10" x14ac:dyDescent="0.35">
      <c r="B537" s="45"/>
      <c r="C537" s="45"/>
      <c r="D537" s="45"/>
      <c r="E537" s="45"/>
      <c r="F537" s="45"/>
      <c r="G537" s="45"/>
      <c r="H537" s="45"/>
      <c r="I537" s="45"/>
      <c r="J537" s="45"/>
    </row>
    <row r="538" spans="2:10" x14ac:dyDescent="0.35">
      <c r="B538" s="45"/>
      <c r="C538" s="45"/>
      <c r="D538" s="45"/>
      <c r="E538" s="45"/>
      <c r="F538" s="45"/>
      <c r="G538" s="45"/>
      <c r="H538" s="45"/>
      <c r="I538" s="45"/>
      <c r="J538" s="45"/>
    </row>
    <row r="539" spans="2:10" x14ac:dyDescent="0.35">
      <c r="B539" s="45"/>
      <c r="C539" s="45"/>
      <c r="D539" s="45"/>
      <c r="E539" s="45"/>
      <c r="F539" s="45"/>
      <c r="G539" s="45"/>
      <c r="H539" s="45"/>
      <c r="I539" s="45"/>
      <c r="J539" s="45"/>
    </row>
    <row r="540" spans="2:10" x14ac:dyDescent="0.35">
      <c r="B540" s="45"/>
      <c r="C540" s="45"/>
      <c r="D540" s="45"/>
      <c r="E540" s="45"/>
      <c r="F540" s="45"/>
      <c r="G540" s="45"/>
      <c r="H540" s="45"/>
      <c r="I540" s="45"/>
      <c r="J540" s="45"/>
    </row>
    <row r="541" spans="2:10" x14ac:dyDescent="0.35">
      <c r="B541" s="45"/>
      <c r="C541" s="45"/>
      <c r="D541" s="45"/>
      <c r="E541" s="45"/>
      <c r="F541" s="45"/>
      <c r="G541" s="45"/>
      <c r="H541" s="45"/>
      <c r="I541" s="45"/>
      <c r="J541" s="45"/>
    </row>
    <row r="542" spans="2:10" x14ac:dyDescent="0.35">
      <c r="B542" s="45"/>
      <c r="C542" s="45"/>
      <c r="D542" s="45"/>
      <c r="E542" s="45"/>
      <c r="F542" s="45"/>
      <c r="G542" s="45"/>
      <c r="H542" s="45"/>
      <c r="I542" s="45"/>
      <c r="J542" s="45"/>
    </row>
    <row r="543" spans="2:10" x14ac:dyDescent="0.35">
      <c r="B543" s="45"/>
      <c r="C543" s="45"/>
      <c r="D543" s="45"/>
      <c r="E543" s="45"/>
      <c r="F543" s="45"/>
      <c r="G543" s="45"/>
      <c r="H543" s="45"/>
      <c r="I543" s="45"/>
      <c r="J543" s="45"/>
    </row>
    <row r="544" spans="2:10" x14ac:dyDescent="0.35">
      <c r="B544" s="45"/>
      <c r="C544" s="45"/>
      <c r="D544" s="45"/>
      <c r="E544" s="45"/>
      <c r="F544" s="45"/>
      <c r="G544" s="45"/>
      <c r="H544" s="45"/>
      <c r="I544" s="45"/>
      <c r="J544" s="45"/>
    </row>
    <row r="545" spans="2:10" x14ac:dyDescent="0.35">
      <c r="B545" s="45"/>
      <c r="C545" s="45"/>
      <c r="D545" s="45"/>
      <c r="E545" s="45"/>
      <c r="F545" s="45"/>
      <c r="G545" s="45"/>
      <c r="H545" s="45"/>
      <c r="I545" s="45"/>
      <c r="J545" s="45"/>
    </row>
    <row r="546" spans="2:10" x14ac:dyDescent="0.35">
      <c r="B546" s="45"/>
      <c r="C546" s="45"/>
      <c r="D546" s="45"/>
      <c r="E546" s="45"/>
      <c r="F546" s="45"/>
      <c r="G546" s="45"/>
      <c r="H546" s="45"/>
      <c r="I546" s="45"/>
      <c r="J546" s="45"/>
    </row>
    <row r="547" spans="2:10" x14ac:dyDescent="0.35">
      <c r="B547" s="45"/>
      <c r="C547" s="45"/>
      <c r="D547" s="45"/>
      <c r="E547" s="45"/>
      <c r="F547" s="45"/>
      <c r="G547" s="45"/>
      <c r="H547" s="45"/>
      <c r="I547" s="45"/>
      <c r="J547" s="45"/>
    </row>
    <row r="548" spans="2:10" x14ac:dyDescent="0.35">
      <c r="B548" s="45"/>
      <c r="C548" s="45"/>
      <c r="D548" s="45"/>
      <c r="E548" s="45"/>
      <c r="F548" s="45"/>
      <c r="G548" s="45"/>
      <c r="H548" s="45"/>
      <c r="I548" s="45"/>
      <c r="J548" s="45"/>
    </row>
    <row r="549" spans="2:10" x14ac:dyDescent="0.35">
      <c r="B549" s="45"/>
      <c r="C549" s="45"/>
      <c r="D549" s="45"/>
      <c r="E549" s="45"/>
      <c r="F549" s="45"/>
      <c r="G549" s="45"/>
      <c r="H549" s="45"/>
      <c r="I549" s="45"/>
      <c r="J549" s="45"/>
    </row>
    <row r="550" spans="2:10" x14ac:dyDescent="0.35">
      <c r="B550" s="45"/>
      <c r="C550" s="45"/>
      <c r="D550" s="45"/>
      <c r="E550" s="45"/>
      <c r="F550" s="45"/>
      <c r="G550" s="45"/>
      <c r="H550" s="45"/>
      <c r="I550" s="45"/>
      <c r="J550" s="45"/>
    </row>
    <row r="551" spans="2:10" x14ac:dyDescent="0.35">
      <c r="B551" s="45"/>
      <c r="C551" s="45"/>
      <c r="D551" s="45"/>
      <c r="E551" s="45"/>
      <c r="F551" s="45"/>
      <c r="G551" s="45"/>
      <c r="H551" s="45"/>
      <c r="I551" s="45"/>
      <c r="J551" s="45"/>
    </row>
    <row r="552" spans="2:10" x14ac:dyDescent="0.35">
      <c r="B552" s="45"/>
      <c r="C552" s="45"/>
      <c r="D552" s="45"/>
      <c r="E552" s="45"/>
      <c r="F552" s="45"/>
      <c r="G552" s="45"/>
      <c r="H552" s="45"/>
      <c r="I552" s="45"/>
      <c r="J552" s="45"/>
    </row>
    <row r="553" spans="2:10" x14ac:dyDescent="0.35">
      <c r="B553" s="45"/>
      <c r="C553" s="45"/>
      <c r="D553" s="45"/>
      <c r="E553" s="45"/>
      <c r="F553" s="45"/>
      <c r="G553" s="45"/>
      <c r="H553" s="45"/>
      <c r="I553" s="45"/>
      <c r="J553" s="45"/>
    </row>
    <row r="554" spans="2:10" x14ac:dyDescent="0.35">
      <c r="B554" s="45"/>
      <c r="C554" s="45"/>
      <c r="D554" s="45"/>
      <c r="E554" s="45"/>
      <c r="F554" s="45"/>
      <c r="G554" s="45"/>
      <c r="H554" s="45"/>
      <c r="I554" s="45"/>
      <c r="J554" s="45"/>
    </row>
    <row r="555" spans="2:10" x14ac:dyDescent="0.35">
      <c r="B555" s="45"/>
      <c r="C555" s="45"/>
      <c r="D555" s="45"/>
      <c r="E555" s="45"/>
      <c r="F555" s="45"/>
      <c r="G555" s="45"/>
      <c r="H555" s="45"/>
      <c r="I555" s="45"/>
      <c r="J555" s="45"/>
    </row>
    <row r="556" spans="2:10" x14ac:dyDescent="0.35">
      <c r="B556" s="45"/>
      <c r="C556" s="45"/>
      <c r="D556" s="45"/>
      <c r="E556" s="45"/>
      <c r="F556" s="45"/>
      <c r="G556" s="45"/>
      <c r="H556" s="45"/>
      <c r="I556" s="45"/>
      <c r="J556" s="45"/>
    </row>
    <row r="557" spans="2:10" x14ac:dyDescent="0.35">
      <c r="B557" s="45"/>
      <c r="C557" s="45"/>
      <c r="D557" s="45"/>
      <c r="E557" s="45"/>
      <c r="F557" s="45"/>
      <c r="G557" s="45"/>
      <c r="H557" s="45"/>
      <c r="I557" s="45"/>
      <c r="J557" s="45"/>
    </row>
    <row r="558" spans="2:10" x14ac:dyDescent="0.35">
      <c r="B558" s="45"/>
      <c r="C558" s="45"/>
      <c r="D558" s="45"/>
      <c r="E558" s="45"/>
      <c r="F558" s="45"/>
      <c r="G558" s="45"/>
      <c r="H558" s="45"/>
      <c r="I558" s="45"/>
      <c r="J558" s="45"/>
    </row>
    <row r="559" spans="2:10" x14ac:dyDescent="0.35">
      <c r="B559" s="45"/>
      <c r="C559" s="45"/>
      <c r="D559" s="45"/>
      <c r="E559" s="45"/>
      <c r="F559" s="45"/>
      <c r="G559" s="45"/>
      <c r="H559" s="45"/>
      <c r="I559" s="45"/>
      <c r="J559" s="45"/>
    </row>
    <row r="560" spans="2:10" x14ac:dyDescent="0.35">
      <c r="B560" s="45"/>
      <c r="C560" s="45"/>
      <c r="D560" s="45"/>
      <c r="E560" s="45"/>
      <c r="F560" s="45"/>
      <c r="G560" s="45"/>
      <c r="H560" s="45"/>
      <c r="I560" s="45"/>
      <c r="J560" s="45"/>
    </row>
    <row r="561" spans="2:10" x14ac:dyDescent="0.35">
      <c r="B561" s="45"/>
      <c r="C561" s="45"/>
      <c r="D561" s="45"/>
      <c r="E561" s="45"/>
      <c r="F561" s="45"/>
      <c r="G561" s="45"/>
      <c r="H561" s="45"/>
      <c r="I561" s="45"/>
      <c r="J561" s="45"/>
    </row>
    <row r="562" spans="2:10" x14ac:dyDescent="0.35">
      <c r="B562" s="45"/>
      <c r="C562" s="45"/>
      <c r="D562" s="45"/>
      <c r="E562" s="45"/>
      <c r="F562" s="45"/>
      <c r="G562" s="45"/>
      <c r="H562" s="45"/>
      <c r="I562" s="45"/>
      <c r="J562" s="45"/>
    </row>
    <row r="563" spans="2:10" x14ac:dyDescent="0.35">
      <c r="B563" s="45"/>
      <c r="C563" s="45"/>
      <c r="D563" s="45"/>
      <c r="E563" s="45"/>
      <c r="F563" s="45"/>
      <c r="G563" s="45"/>
      <c r="H563" s="45"/>
      <c r="I563" s="45"/>
      <c r="J563" s="45"/>
    </row>
    <row r="564" spans="2:10" x14ac:dyDescent="0.35">
      <c r="B564" s="45"/>
      <c r="C564" s="45"/>
      <c r="D564" s="45"/>
      <c r="E564" s="45"/>
      <c r="F564" s="45"/>
      <c r="G564" s="45"/>
      <c r="H564" s="45"/>
      <c r="I564" s="45"/>
      <c r="J564" s="45"/>
    </row>
    <row r="565" spans="2:10" x14ac:dyDescent="0.35">
      <c r="B565" s="45"/>
      <c r="C565" s="45"/>
      <c r="D565" s="45"/>
      <c r="E565" s="45"/>
      <c r="F565" s="45"/>
      <c r="G565" s="45"/>
      <c r="H565" s="45"/>
      <c r="I565" s="45"/>
      <c r="J565" s="45"/>
    </row>
    <row r="566" spans="2:10" x14ac:dyDescent="0.35">
      <c r="B566" s="45"/>
      <c r="C566" s="45"/>
      <c r="D566" s="45"/>
      <c r="E566" s="45"/>
      <c r="F566" s="45"/>
      <c r="G566" s="45"/>
      <c r="H566" s="45"/>
      <c r="I566" s="45"/>
      <c r="J566" s="45"/>
    </row>
    <row r="567" spans="2:10" x14ac:dyDescent="0.35">
      <c r="B567" s="45"/>
      <c r="C567" s="45"/>
      <c r="D567" s="45"/>
      <c r="E567" s="45"/>
      <c r="F567" s="45"/>
      <c r="G567" s="45"/>
      <c r="H567" s="45"/>
      <c r="I567" s="45"/>
      <c r="J567" s="45"/>
    </row>
    <row r="568" spans="2:10" x14ac:dyDescent="0.35">
      <c r="B568" s="45"/>
      <c r="C568" s="45"/>
      <c r="D568" s="45"/>
      <c r="E568" s="45"/>
      <c r="F568" s="45"/>
      <c r="G568" s="45"/>
      <c r="H568" s="45"/>
      <c r="I568" s="45"/>
      <c r="J568" s="45"/>
    </row>
    <row r="569" spans="2:10" x14ac:dyDescent="0.35">
      <c r="B569" s="45"/>
      <c r="C569" s="45"/>
      <c r="D569" s="45"/>
      <c r="E569" s="45"/>
      <c r="F569" s="45"/>
      <c r="G569" s="45"/>
      <c r="H569" s="45"/>
      <c r="I569" s="45"/>
      <c r="J569" s="45"/>
    </row>
    <row r="570" spans="2:10" x14ac:dyDescent="0.35">
      <c r="B570" s="45"/>
      <c r="C570" s="45"/>
      <c r="D570" s="45"/>
      <c r="E570" s="45"/>
      <c r="F570" s="45"/>
      <c r="G570" s="45"/>
      <c r="H570" s="45"/>
      <c r="I570" s="45"/>
      <c r="J570" s="45"/>
    </row>
    <row r="571" spans="2:10" x14ac:dyDescent="0.35">
      <c r="B571" s="45"/>
      <c r="C571" s="45"/>
      <c r="D571" s="45"/>
      <c r="E571" s="45"/>
      <c r="F571" s="45"/>
      <c r="G571" s="45"/>
      <c r="H571" s="45"/>
      <c r="I571" s="45"/>
      <c r="J571" s="45"/>
    </row>
    <row r="572" spans="2:10" x14ac:dyDescent="0.35">
      <c r="B572" s="45"/>
      <c r="C572" s="45"/>
      <c r="D572" s="45"/>
      <c r="E572" s="45"/>
      <c r="F572" s="45"/>
      <c r="G572" s="45"/>
      <c r="H572" s="45"/>
      <c r="I572" s="45"/>
      <c r="J572" s="45"/>
    </row>
    <row r="573" spans="2:10" x14ac:dyDescent="0.35">
      <c r="B573" s="45"/>
      <c r="C573" s="45"/>
      <c r="D573" s="45"/>
      <c r="E573" s="45"/>
      <c r="F573" s="45"/>
      <c r="G573" s="45"/>
      <c r="H573" s="45"/>
      <c r="I573" s="45"/>
      <c r="J573" s="45"/>
    </row>
    <row r="574" spans="2:10" x14ac:dyDescent="0.35">
      <c r="B574" s="45"/>
      <c r="C574" s="45"/>
      <c r="D574" s="45"/>
      <c r="E574" s="45"/>
      <c r="F574" s="45"/>
      <c r="G574" s="45"/>
      <c r="H574" s="45"/>
      <c r="I574" s="45"/>
      <c r="J574" s="45"/>
    </row>
    <row r="575" spans="2:10" x14ac:dyDescent="0.35">
      <c r="B575" s="45"/>
      <c r="C575" s="45"/>
      <c r="D575" s="45"/>
      <c r="E575" s="45"/>
      <c r="F575" s="45"/>
      <c r="G575" s="45"/>
      <c r="H575" s="45"/>
      <c r="I575" s="45"/>
      <c r="J575" s="45"/>
    </row>
    <row r="576" spans="2:10" x14ac:dyDescent="0.35">
      <c r="B576" s="45"/>
      <c r="C576" s="45"/>
      <c r="D576" s="45"/>
      <c r="E576" s="45"/>
      <c r="F576" s="45"/>
      <c r="G576" s="45"/>
      <c r="H576" s="45"/>
      <c r="I576" s="45"/>
      <c r="J576" s="45"/>
    </row>
    <row r="577" spans="2:10" x14ac:dyDescent="0.35">
      <c r="B577" s="45"/>
      <c r="C577" s="45"/>
      <c r="D577" s="45"/>
      <c r="E577" s="45"/>
      <c r="F577" s="45"/>
      <c r="G577" s="45"/>
      <c r="H577" s="45"/>
      <c r="I577" s="45"/>
      <c r="J577" s="45"/>
    </row>
    <row r="578" spans="2:10" x14ac:dyDescent="0.35">
      <c r="B578" s="45"/>
      <c r="C578" s="45"/>
      <c r="D578" s="45"/>
      <c r="E578" s="45"/>
      <c r="F578" s="45"/>
      <c r="G578" s="45"/>
      <c r="H578" s="45"/>
      <c r="I578" s="45"/>
      <c r="J578" s="45"/>
    </row>
    <row r="579" spans="2:10" x14ac:dyDescent="0.35">
      <c r="B579" s="45"/>
      <c r="C579" s="45"/>
      <c r="D579" s="45"/>
      <c r="E579" s="45"/>
      <c r="F579" s="45"/>
      <c r="G579" s="45"/>
      <c r="H579" s="45"/>
      <c r="I579" s="45"/>
      <c r="J579" s="45"/>
    </row>
    <row r="580" spans="2:10" x14ac:dyDescent="0.35">
      <c r="B580" s="45"/>
      <c r="C580" s="45"/>
      <c r="D580" s="45"/>
      <c r="E580" s="45"/>
      <c r="F580" s="45"/>
      <c r="G580" s="45"/>
      <c r="H580" s="45"/>
      <c r="I580" s="45"/>
      <c r="J580" s="45"/>
    </row>
    <row r="581" spans="2:10" x14ac:dyDescent="0.35">
      <c r="B581" s="45"/>
      <c r="C581" s="45"/>
      <c r="D581" s="45"/>
      <c r="E581" s="45"/>
      <c r="F581" s="45"/>
      <c r="G581" s="45"/>
      <c r="H581" s="45"/>
      <c r="I581" s="45"/>
      <c r="J581" s="45"/>
    </row>
    <row r="582" spans="2:10" x14ac:dyDescent="0.35">
      <c r="B582" s="45"/>
      <c r="C582" s="45"/>
      <c r="D582" s="45"/>
      <c r="E582" s="45"/>
      <c r="F582" s="45"/>
      <c r="G582" s="45"/>
      <c r="H582" s="45"/>
      <c r="I582" s="45"/>
      <c r="J582" s="45"/>
    </row>
    <row r="583" spans="2:10" x14ac:dyDescent="0.35">
      <c r="B583" s="45"/>
      <c r="C583" s="45"/>
      <c r="D583" s="45"/>
      <c r="E583" s="45"/>
      <c r="F583" s="45"/>
      <c r="G583" s="45"/>
      <c r="H583" s="45"/>
      <c r="I583" s="45"/>
      <c r="J583" s="45"/>
    </row>
    <row r="584" spans="2:10" x14ac:dyDescent="0.35">
      <c r="B584" s="45"/>
      <c r="C584" s="45"/>
      <c r="D584" s="45"/>
      <c r="E584" s="45"/>
      <c r="F584" s="45"/>
      <c r="G584" s="45"/>
      <c r="H584" s="45"/>
      <c r="I584" s="45"/>
      <c r="J584" s="45"/>
    </row>
    <row r="585" spans="2:10" x14ac:dyDescent="0.35">
      <c r="B585" s="45"/>
      <c r="C585" s="45"/>
      <c r="D585" s="45"/>
      <c r="E585" s="45"/>
      <c r="F585" s="45"/>
      <c r="G585" s="45"/>
      <c r="H585" s="45"/>
      <c r="I585" s="45"/>
      <c r="J585" s="45"/>
    </row>
    <row r="586" spans="2:10" x14ac:dyDescent="0.35">
      <c r="B586" s="45"/>
      <c r="C586" s="45"/>
      <c r="D586" s="45"/>
      <c r="E586" s="45"/>
      <c r="F586" s="45"/>
      <c r="G586" s="45"/>
      <c r="H586" s="45"/>
      <c r="I586" s="45"/>
      <c r="J586" s="45"/>
    </row>
    <row r="587" spans="2:10" x14ac:dyDescent="0.35">
      <c r="B587" s="45"/>
      <c r="C587" s="45"/>
      <c r="D587" s="45"/>
      <c r="E587" s="45"/>
      <c r="F587" s="45"/>
      <c r="G587" s="45"/>
      <c r="H587" s="45"/>
      <c r="I587" s="45"/>
      <c r="J587" s="45"/>
    </row>
    <row r="588" spans="2:10" x14ac:dyDescent="0.35">
      <c r="B588" s="45"/>
      <c r="C588" s="45"/>
      <c r="D588" s="45"/>
      <c r="E588" s="45"/>
      <c r="F588" s="45"/>
      <c r="G588" s="45"/>
      <c r="H588" s="45"/>
      <c r="I588" s="45"/>
      <c r="J588" s="45"/>
    </row>
    <row r="589" spans="2:10" x14ac:dyDescent="0.35">
      <c r="B589" s="45"/>
      <c r="C589" s="45"/>
      <c r="D589" s="45"/>
      <c r="E589" s="45"/>
      <c r="F589" s="45"/>
      <c r="G589" s="45"/>
      <c r="H589" s="45"/>
      <c r="I589" s="45"/>
      <c r="J589" s="45"/>
    </row>
    <row r="590" spans="2:10" x14ac:dyDescent="0.35">
      <c r="B590" s="45"/>
      <c r="C590" s="45"/>
      <c r="D590" s="45"/>
      <c r="E590" s="45"/>
      <c r="F590" s="45"/>
      <c r="G590" s="45"/>
      <c r="H590" s="45"/>
      <c r="I590" s="45"/>
      <c r="J590" s="45"/>
    </row>
    <row r="591" spans="2:10" x14ac:dyDescent="0.35">
      <c r="B591" s="45"/>
      <c r="C591" s="45"/>
      <c r="D591" s="45"/>
      <c r="E591" s="45"/>
      <c r="F591" s="45"/>
      <c r="G591" s="45"/>
      <c r="H591" s="45"/>
      <c r="I591" s="45"/>
      <c r="J591" s="45"/>
    </row>
    <row r="592" spans="2:10" x14ac:dyDescent="0.35">
      <c r="B592" s="45"/>
      <c r="C592" s="45"/>
      <c r="D592" s="45"/>
      <c r="E592" s="45"/>
      <c r="F592" s="45"/>
      <c r="G592" s="45"/>
      <c r="H592" s="45"/>
      <c r="I592" s="45"/>
      <c r="J592" s="45"/>
    </row>
    <row r="593" spans="2:10" x14ac:dyDescent="0.35">
      <c r="B593" s="45"/>
      <c r="C593" s="45"/>
      <c r="D593" s="45"/>
      <c r="E593" s="45"/>
      <c r="F593" s="45"/>
      <c r="G593" s="45"/>
      <c r="H593" s="45"/>
      <c r="I593" s="45"/>
      <c r="J593" s="45"/>
    </row>
    <row r="594" spans="2:10" x14ac:dyDescent="0.35">
      <c r="B594" s="45"/>
      <c r="C594" s="45"/>
      <c r="D594" s="45"/>
      <c r="E594" s="45"/>
      <c r="F594" s="45"/>
      <c r="G594" s="45"/>
      <c r="H594" s="45"/>
      <c r="I594" s="45"/>
      <c r="J594" s="45"/>
    </row>
    <row r="595" spans="2:10" x14ac:dyDescent="0.35">
      <c r="B595" s="45"/>
      <c r="C595" s="45"/>
      <c r="D595" s="45"/>
      <c r="E595" s="45"/>
      <c r="F595" s="45"/>
      <c r="G595" s="45"/>
      <c r="H595" s="45"/>
      <c r="I595" s="45"/>
      <c r="J595" s="45"/>
    </row>
    <row r="596" spans="2:10" x14ac:dyDescent="0.35">
      <c r="B596" s="45"/>
      <c r="C596" s="45"/>
      <c r="D596" s="45"/>
      <c r="E596" s="45"/>
      <c r="F596" s="45"/>
      <c r="G596" s="45"/>
      <c r="H596" s="45"/>
      <c r="I596" s="45"/>
      <c r="J596" s="45"/>
    </row>
    <row r="597" spans="2:10" x14ac:dyDescent="0.35">
      <c r="B597" s="45"/>
      <c r="C597" s="45"/>
      <c r="D597" s="45"/>
      <c r="E597" s="45"/>
      <c r="F597" s="45"/>
      <c r="G597" s="45"/>
      <c r="H597" s="45"/>
      <c r="I597" s="45"/>
      <c r="J597" s="45"/>
    </row>
    <row r="598" spans="2:10" x14ac:dyDescent="0.35">
      <c r="B598" s="45"/>
      <c r="C598" s="45"/>
      <c r="D598" s="45"/>
      <c r="E598" s="45"/>
      <c r="F598" s="45"/>
      <c r="G598" s="45"/>
      <c r="H598" s="45"/>
      <c r="I598" s="45"/>
      <c r="J598" s="45"/>
    </row>
    <row r="599" spans="2:10" x14ac:dyDescent="0.35">
      <c r="B599" s="45"/>
      <c r="C599" s="45"/>
      <c r="D599" s="45"/>
      <c r="E599" s="45"/>
      <c r="F599" s="45"/>
      <c r="G599" s="45"/>
      <c r="H599" s="45"/>
      <c r="I599" s="45"/>
      <c r="J599" s="45"/>
    </row>
    <row r="600" spans="2:10" x14ac:dyDescent="0.35">
      <c r="B600" s="45"/>
      <c r="C600" s="45"/>
      <c r="D600" s="45"/>
      <c r="E600" s="45"/>
      <c r="F600" s="45"/>
      <c r="G600" s="45"/>
      <c r="H600" s="45"/>
      <c r="I600" s="45"/>
      <c r="J600" s="45"/>
    </row>
    <row r="601" spans="2:10" x14ac:dyDescent="0.35">
      <c r="B601" s="45"/>
      <c r="C601" s="45"/>
      <c r="D601" s="45"/>
      <c r="E601" s="45"/>
      <c r="F601" s="45"/>
      <c r="G601" s="45"/>
      <c r="H601" s="45"/>
      <c r="I601" s="45"/>
      <c r="J601" s="45"/>
    </row>
    <row r="602" spans="2:10" x14ac:dyDescent="0.35">
      <c r="B602" s="45"/>
      <c r="C602" s="45"/>
      <c r="D602" s="45"/>
      <c r="E602" s="45"/>
      <c r="F602" s="45"/>
      <c r="G602" s="45"/>
      <c r="H602" s="45"/>
      <c r="I602" s="45"/>
      <c r="J602" s="45"/>
    </row>
    <row r="603" spans="2:10" x14ac:dyDescent="0.35">
      <c r="B603" s="45"/>
      <c r="C603" s="45"/>
      <c r="D603" s="45"/>
      <c r="E603" s="45"/>
      <c r="F603" s="45"/>
      <c r="G603" s="45"/>
      <c r="H603" s="45"/>
      <c r="I603" s="45"/>
      <c r="J603" s="45"/>
    </row>
    <row r="604" spans="2:10" x14ac:dyDescent="0.35">
      <c r="B604" s="45"/>
      <c r="C604" s="45"/>
      <c r="D604" s="45"/>
      <c r="E604" s="45"/>
      <c r="F604" s="45"/>
      <c r="G604" s="45"/>
      <c r="H604" s="45"/>
      <c r="I604" s="45"/>
      <c r="J604" s="45"/>
    </row>
    <row r="605" spans="2:10" x14ac:dyDescent="0.35">
      <c r="B605" s="45"/>
      <c r="C605" s="45"/>
      <c r="D605" s="45"/>
      <c r="E605" s="45"/>
      <c r="F605" s="45"/>
      <c r="G605" s="45"/>
      <c r="H605" s="45"/>
      <c r="I605" s="45"/>
      <c r="J605" s="45"/>
    </row>
    <row r="606" spans="2:10" x14ac:dyDescent="0.35">
      <c r="B606" s="45"/>
      <c r="C606" s="45"/>
      <c r="D606" s="45"/>
      <c r="E606" s="45"/>
      <c r="F606" s="45"/>
      <c r="G606" s="45"/>
      <c r="H606" s="45"/>
      <c r="I606" s="45"/>
      <c r="J606" s="45"/>
    </row>
    <row r="607" spans="2:10" x14ac:dyDescent="0.35">
      <c r="B607" s="45"/>
      <c r="C607" s="45"/>
      <c r="D607" s="45"/>
      <c r="E607" s="45"/>
      <c r="F607" s="45"/>
      <c r="G607" s="45"/>
      <c r="H607" s="45"/>
      <c r="I607" s="45"/>
      <c r="J607" s="45"/>
    </row>
    <row r="608" spans="2:10" x14ac:dyDescent="0.35">
      <c r="B608" s="45"/>
      <c r="C608" s="45"/>
      <c r="D608" s="45"/>
      <c r="E608" s="45"/>
      <c r="F608" s="45"/>
      <c r="G608" s="45"/>
      <c r="H608" s="45"/>
      <c r="I608" s="45"/>
      <c r="J608" s="45"/>
    </row>
    <row r="609" spans="2:10" x14ac:dyDescent="0.35">
      <c r="B609" s="45"/>
      <c r="C609" s="45"/>
      <c r="D609" s="45"/>
      <c r="E609" s="45"/>
      <c r="F609" s="45"/>
      <c r="G609" s="45"/>
      <c r="H609" s="45"/>
      <c r="I609" s="45"/>
      <c r="J609" s="45"/>
    </row>
    <row r="610" spans="2:10" x14ac:dyDescent="0.35">
      <c r="B610" s="45"/>
      <c r="C610" s="45"/>
      <c r="D610" s="45"/>
      <c r="E610" s="45"/>
      <c r="F610" s="45"/>
      <c r="G610" s="45"/>
      <c r="H610" s="45"/>
      <c r="I610" s="45"/>
      <c r="J610" s="45"/>
    </row>
    <row r="611" spans="2:10" x14ac:dyDescent="0.35">
      <c r="B611" s="45"/>
      <c r="C611" s="45"/>
      <c r="D611" s="45"/>
      <c r="E611" s="45"/>
      <c r="F611" s="45"/>
      <c r="G611" s="45"/>
      <c r="H611" s="45"/>
      <c r="I611" s="45"/>
      <c r="J611" s="45"/>
    </row>
    <row r="612" spans="2:10" x14ac:dyDescent="0.35">
      <c r="B612" s="45"/>
      <c r="C612" s="45"/>
      <c r="D612" s="45"/>
      <c r="E612" s="45"/>
      <c r="F612" s="45"/>
      <c r="G612" s="45"/>
      <c r="H612" s="45"/>
      <c r="I612" s="45"/>
      <c r="J612" s="45"/>
    </row>
    <row r="613" spans="2:10" x14ac:dyDescent="0.35">
      <c r="B613" s="45"/>
      <c r="C613" s="45"/>
      <c r="D613" s="45"/>
      <c r="E613" s="45"/>
      <c r="F613" s="45"/>
      <c r="G613" s="45"/>
      <c r="H613" s="45"/>
      <c r="I613" s="45"/>
      <c r="J613" s="45"/>
    </row>
    <row r="614" spans="2:10" x14ac:dyDescent="0.35">
      <c r="B614" s="45"/>
      <c r="C614" s="45"/>
      <c r="D614" s="45"/>
      <c r="E614" s="45"/>
      <c r="F614" s="45"/>
      <c r="G614" s="45"/>
      <c r="H614" s="45"/>
      <c r="I614" s="45"/>
      <c r="J614" s="45"/>
    </row>
    <row r="615" spans="2:10" x14ac:dyDescent="0.35">
      <c r="B615" s="45"/>
      <c r="C615" s="45"/>
      <c r="D615" s="45"/>
      <c r="E615" s="45"/>
      <c r="F615" s="45"/>
      <c r="G615" s="45"/>
      <c r="H615" s="45"/>
      <c r="I615" s="45"/>
      <c r="J615" s="45"/>
    </row>
    <row r="616" spans="2:10" x14ac:dyDescent="0.35">
      <c r="B616" s="45"/>
      <c r="C616" s="45"/>
      <c r="D616" s="45"/>
      <c r="E616" s="45"/>
      <c r="F616" s="45"/>
      <c r="G616" s="45"/>
      <c r="H616" s="45"/>
      <c r="I616" s="45"/>
      <c r="J616" s="45"/>
    </row>
    <row r="617" spans="2:10" x14ac:dyDescent="0.35">
      <c r="B617" s="45"/>
      <c r="C617" s="45"/>
      <c r="D617" s="45"/>
      <c r="E617" s="45"/>
      <c r="F617" s="45"/>
      <c r="G617" s="45"/>
      <c r="H617" s="45"/>
      <c r="I617" s="45"/>
      <c r="J617" s="45"/>
    </row>
    <row r="618" spans="2:10" x14ac:dyDescent="0.35">
      <c r="B618" s="45"/>
      <c r="C618" s="45"/>
      <c r="D618" s="45"/>
      <c r="E618" s="45"/>
      <c r="F618" s="45"/>
      <c r="G618" s="45"/>
      <c r="H618" s="45"/>
      <c r="I618" s="45"/>
      <c r="J618" s="45"/>
    </row>
    <row r="619" spans="2:10" x14ac:dyDescent="0.35">
      <c r="B619" s="45"/>
      <c r="C619" s="45"/>
      <c r="D619" s="45"/>
      <c r="E619" s="45"/>
      <c r="F619" s="45"/>
      <c r="G619" s="45"/>
      <c r="H619" s="45"/>
      <c r="I619" s="45"/>
      <c r="J619" s="45"/>
    </row>
    <row r="620" spans="2:10" x14ac:dyDescent="0.35">
      <c r="B620" s="45"/>
      <c r="C620" s="45"/>
      <c r="D620" s="45"/>
      <c r="E620" s="45"/>
      <c r="F620" s="45"/>
      <c r="G620" s="45"/>
      <c r="H620" s="45"/>
      <c r="I620" s="45"/>
      <c r="J620" s="45"/>
    </row>
    <row r="621" spans="2:10" x14ac:dyDescent="0.35">
      <c r="B621" s="45"/>
      <c r="C621" s="45"/>
      <c r="D621" s="45"/>
      <c r="E621" s="45"/>
      <c r="F621" s="45"/>
      <c r="G621" s="45"/>
      <c r="H621" s="45"/>
      <c r="I621" s="45"/>
      <c r="J621" s="45"/>
    </row>
    <row r="622" spans="2:10" x14ac:dyDescent="0.35">
      <c r="B622" s="45"/>
      <c r="C622" s="45"/>
      <c r="D622" s="45"/>
      <c r="E622" s="45"/>
      <c r="F622" s="45"/>
      <c r="G622" s="45"/>
      <c r="H622" s="45"/>
      <c r="I622" s="45"/>
      <c r="J622" s="45"/>
    </row>
    <row r="623" spans="2:10" x14ac:dyDescent="0.35">
      <c r="B623" s="45"/>
      <c r="C623" s="45"/>
      <c r="D623" s="45"/>
      <c r="E623" s="45"/>
      <c r="F623" s="45"/>
      <c r="G623" s="45"/>
      <c r="H623" s="45"/>
      <c r="I623" s="45"/>
      <c r="J623" s="45"/>
    </row>
    <row r="624" spans="2:10" x14ac:dyDescent="0.35">
      <c r="B624" s="45"/>
      <c r="C624" s="45"/>
      <c r="D624" s="45"/>
      <c r="E624" s="45"/>
      <c r="F624" s="45"/>
      <c r="G624" s="45"/>
      <c r="H624" s="45"/>
      <c r="I624" s="45"/>
      <c r="J624" s="45"/>
    </row>
    <row r="625" spans="2:10" x14ac:dyDescent="0.35">
      <c r="B625" s="45"/>
      <c r="C625" s="45"/>
      <c r="D625" s="45"/>
      <c r="E625" s="45"/>
      <c r="F625" s="45"/>
      <c r="G625" s="45"/>
      <c r="H625" s="45"/>
      <c r="I625" s="45"/>
      <c r="J625" s="45"/>
    </row>
    <row r="626" spans="2:10" x14ac:dyDescent="0.35">
      <c r="B626" s="45"/>
      <c r="C626" s="45"/>
      <c r="D626" s="45"/>
      <c r="E626" s="45"/>
      <c r="F626" s="45"/>
      <c r="G626" s="45"/>
      <c r="H626" s="45"/>
      <c r="I626" s="45"/>
      <c r="J626" s="45"/>
    </row>
    <row r="627" spans="2:10" x14ac:dyDescent="0.35">
      <c r="B627" s="45"/>
      <c r="C627" s="45"/>
      <c r="D627" s="45"/>
      <c r="E627" s="45"/>
      <c r="F627" s="45"/>
      <c r="G627" s="45"/>
      <c r="H627" s="45"/>
      <c r="I627" s="45"/>
      <c r="J627" s="45"/>
    </row>
    <row r="628" spans="2:10" x14ac:dyDescent="0.35">
      <c r="B628" s="45"/>
      <c r="C628" s="45"/>
      <c r="D628" s="45"/>
      <c r="E628" s="45"/>
      <c r="F628" s="45"/>
      <c r="G628" s="45"/>
      <c r="H628" s="45"/>
      <c r="I628" s="45"/>
      <c r="J628" s="45"/>
    </row>
    <row r="629" spans="2:10" x14ac:dyDescent="0.35">
      <c r="B629" s="45"/>
      <c r="C629" s="45"/>
      <c r="D629" s="45"/>
      <c r="E629" s="45"/>
      <c r="F629" s="45"/>
      <c r="G629" s="45"/>
      <c r="H629" s="45"/>
      <c r="I629" s="45"/>
      <c r="J629" s="45"/>
    </row>
    <row r="630" spans="2:10" x14ac:dyDescent="0.35">
      <c r="B630" s="45"/>
      <c r="C630" s="45"/>
      <c r="D630" s="45"/>
      <c r="E630" s="45"/>
      <c r="F630" s="45"/>
      <c r="G630" s="45"/>
      <c r="H630" s="45"/>
      <c r="I630" s="45"/>
      <c r="J630" s="45"/>
    </row>
    <row r="631" spans="2:10" x14ac:dyDescent="0.35">
      <c r="B631" s="45"/>
      <c r="C631" s="45"/>
      <c r="D631" s="45"/>
      <c r="E631" s="45"/>
      <c r="F631" s="45"/>
      <c r="G631" s="45"/>
      <c r="H631" s="45"/>
      <c r="I631" s="45"/>
      <c r="J631" s="45"/>
    </row>
    <row r="632" spans="2:10" x14ac:dyDescent="0.35">
      <c r="B632" s="45"/>
      <c r="C632" s="45"/>
      <c r="D632" s="45"/>
      <c r="E632" s="45"/>
      <c r="F632" s="45"/>
      <c r="G632" s="45"/>
      <c r="H632" s="45"/>
      <c r="I632" s="45"/>
      <c r="J632" s="45"/>
    </row>
    <row r="633" spans="2:10" x14ac:dyDescent="0.35">
      <c r="B633" s="45"/>
      <c r="C633" s="45"/>
      <c r="D633" s="45"/>
      <c r="E633" s="45"/>
      <c r="F633" s="45"/>
      <c r="G633" s="45"/>
      <c r="H633" s="45"/>
      <c r="I633" s="45"/>
      <c r="J633" s="45"/>
    </row>
    <row r="634" spans="2:10" x14ac:dyDescent="0.35">
      <c r="B634" s="45"/>
      <c r="C634" s="45"/>
      <c r="D634" s="45"/>
      <c r="E634" s="45"/>
      <c r="F634" s="45"/>
      <c r="G634" s="45"/>
      <c r="H634" s="45"/>
      <c r="I634" s="45"/>
      <c r="J634" s="45"/>
    </row>
    <row r="635" spans="2:10" x14ac:dyDescent="0.35">
      <c r="B635" s="45"/>
      <c r="C635" s="45"/>
      <c r="D635" s="45"/>
      <c r="E635" s="45"/>
      <c r="F635" s="45"/>
      <c r="G635" s="45"/>
      <c r="H635" s="45"/>
      <c r="I635" s="45"/>
      <c r="J635" s="45"/>
    </row>
    <row r="636" spans="2:10" x14ac:dyDescent="0.35">
      <c r="B636" s="45"/>
      <c r="C636" s="45"/>
      <c r="D636" s="45"/>
      <c r="E636" s="45"/>
      <c r="F636" s="45"/>
      <c r="G636" s="45"/>
      <c r="H636" s="45"/>
      <c r="I636" s="45"/>
      <c r="J636" s="45"/>
    </row>
    <row r="637" spans="2:10" x14ac:dyDescent="0.35">
      <c r="B637" s="45"/>
      <c r="C637" s="45"/>
      <c r="D637" s="45"/>
      <c r="E637" s="45"/>
      <c r="F637" s="45"/>
      <c r="G637" s="45"/>
      <c r="H637" s="45"/>
      <c r="I637" s="45"/>
      <c r="J637" s="45"/>
    </row>
    <row r="638" spans="2:10" x14ac:dyDescent="0.35">
      <c r="B638" s="45"/>
      <c r="C638" s="45"/>
      <c r="D638" s="45"/>
      <c r="E638" s="45"/>
      <c r="F638" s="45"/>
      <c r="G638" s="45"/>
      <c r="H638" s="45"/>
      <c r="I638" s="45"/>
      <c r="J638" s="45"/>
    </row>
    <row r="639" spans="2:10" x14ac:dyDescent="0.35">
      <c r="B639" s="45"/>
      <c r="C639" s="45"/>
      <c r="D639" s="45"/>
      <c r="E639" s="45"/>
      <c r="F639" s="45"/>
      <c r="G639" s="45"/>
      <c r="H639" s="45"/>
      <c r="I639" s="45"/>
      <c r="J639" s="45"/>
    </row>
    <row r="640" spans="2:10" x14ac:dyDescent="0.35">
      <c r="B640" s="45"/>
      <c r="C640" s="45"/>
      <c r="D640" s="45"/>
      <c r="E640" s="45"/>
      <c r="F640" s="45"/>
      <c r="G640" s="45"/>
      <c r="H640" s="45"/>
      <c r="I640" s="45"/>
      <c r="J640" s="45"/>
    </row>
    <row r="641" spans="2:10" x14ac:dyDescent="0.35">
      <c r="B641" s="45"/>
      <c r="C641" s="45"/>
      <c r="D641" s="45"/>
      <c r="E641" s="45"/>
      <c r="F641" s="45"/>
      <c r="G641" s="45"/>
      <c r="H641" s="45"/>
      <c r="I641" s="45"/>
      <c r="J641" s="45"/>
    </row>
    <row r="642" spans="2:10" x14ac:dyDescent="0.35">
      <c r="B642" s="45"/>
      <c r="C642" s="45"/>
      <c r="D642" s="45"/>
      <c r="E642" s="45"/>
      <c r="F642" s="45"/>
      <c r="G642" s="45"/>
      <c r="H642" s="45"/>
      <c r="I642" s="45"/>
      <c r="J642" s="45"/>
    </row>
    <row r="643" spans="2:10" x14ac:dyDescent="0.35">
      <c r="B643" s="45"/>
      <c r="C643" s="45"/>
      <c r="D643" s="45"/>
      <c r="E643" s="45"/>
      <c r="F643" s="45"/>
      <c r="G643" s="45"/>
      <c r="H643" s="45"/>
      <c r="I643" s="45"/>
      <c r="J643" s="45"/>
    </row>
    <row r="644" spans="2:10" x14ac:dyDescent="0.35">
      <c r="B644" s="45"/>
      <c r="C644" s="45"/>
      <c r="D644" s="45"/>
      <c r="E644" s="45"/>
      <c r="F644" s="45"/>
      <c r="G644" s="45"/>
      <c r="H644" s="45"/>
      <c r="I644" s="45"/>
      <c r="J644" s="45"/>
    </row>
    <row r="645" spans="2:10" x14ac:dyDescent="0.35">
      <c r="B645" s="45"/>
      <c r="C645" s="45"/>
      <c r="D645" s="45"/>
      <c r="E645" s="45"/>
      <c r="F645" s="45"/>
      <c r="G645" s="45"/>
      <c r="H645" s="45"/>
      <c r="I645" s="45"/>
      <c r="J645" s="45"/>
    </row>
    <row r="646" spans="2:10" x14ac:dyDescent="0.35">
      <c r="B646" s="45"/>
      <c r="C646" s="45"/>
      <c r="D646" s="45"/>
      <c r="E646" s="45"/>
      <c r="F646" s="45"/>
      <c r="G646" s="45"/>
      <c r="H646" s="45"/>
      <c r="I646" s="45"/>
      <c r="J646" s="45"/>
    </row>
    <row r="647" spans="2:10" x14ac:dyDescent="0.35">
      <c r="B647" s="45"/>
      <c r="C647" s="45"/>
      <c r="D647" s="45"/>
      <c r="E647" s="45"/>
      <c r="F647" s="45"/>
      <c r="G647" s="45"/>
      <c r="H647" s="45"/>
      <c r="I647" s="45"/>
      <c r="J647" s="45"/>
    </row>
    <row r="648" spans="2:10" x14ac:dyDescent="0.35">
      <c r="B648" s="45"/>
      <c r="C648" s="45"/>
      <c r="D648" s="45"/>
      <c r="E648" s="45"/>
      <c r="F648" s="45"/>
      <c r="G648" s="45"/>
      <c r="H648" s="45"/>
      <c r="I648" s="45"/>
      <c r="J648" s="45"/>
    </row>
    <row r="649" spans="2:10" x14ac:dyDescent="0.35">
      <c r="B649" s="45"/>
      <c r="C649" s="45"/>
      <c r="D649" s="45"/>
      <c r="E649" s="45"/>
      <c r="F649" s="45"/>
      <c r="G649" s="45"/>
      <c r="H649" s="45"/>
      <c r="I649" s="45"/>
      <c r="J649" s="45"/>
    </row>
    <row r="650" spans="2:10" x14ac:dyDescent="0.35">
      <c r="B650" s="45"/>
      <c r="C650" s="45"/>
      <c r="D650" s="45"/>
      <c r="E650" s="45"/>
      <c r="F650" s="45"/>
      <c r="G650" s="45"/>
      <c r="H650" s="45"/>
      <c r="I650" s="45"/>
      <c r="J650" s="45"/>
    </row>
    <row r="651" spans="2:10" x14ac:dyDescent="0.35">
      <c r="B651" s="45"/>
      <c r="C651" s="45"/>
      <c r="D651" s="45"/>
      <c r="E651" s="45"/>
      <c r="F651" s="45"/>
      <c r="G651" s="45"/>
      <c r="H651" s="45"/>
      <c r="I651" s="45"/>
      <c r="J651" s="45"/>
    </row>
    <row r="652" spans="2:10" x14ac:dyDescent="0.35">
      <c r="B652" s="45"/>
      <c r="C652" s="45"/>
      <c r="D652" s="45"/>
      <c r="E652" s="45"/>
      <c r="F652" s="45"/>
      <c r="G652" s="45"/>
      <c r="H652" s="45"/>
      <c r="I652" s="45"/>
      <c r="J652" s="45"/>
    </row>
    <row r="653" spans="2:10" x14ac:dyDescent="0.35">
      <c r="B653" s="45"/>
      <c r="C653" s="45"/>
      <c r="D653" s="45"/>
      <c r="E653" s="45"/>
      <c r="F653" s="45"/>
      <c r="G653" s="45"/>
      <c r="H653" s="45"/>
      <c r="I653" s="45"/>
      <c r="J653" s="45"/>
    </row>
    <row r="654" spans="2:10" x14ac:dyDescent="0.35">
      <c r="B654" s="45"/>
      <c r="C654" s="45"/>
      <c r="D654" s="45"/>
      <c r="E654" s="45"/>
      <c r="F654" s="45"/>
      <c r="G654" s="45"/>
      <c r="H654" s="45"/>
      <c r="I654" s="45"/>
      <c r="J654" s="45"/>
    </row>
    <row r="655" spans="2:10" x14ac:dyDescent="0.35">
      <c r="B655" s="45"/>
      <c r="C655" s="45"/>
      <c r="D655" s="45"/>
      <c r="E655" s="45"/>
      <c r="F655" s="45"/>
      <c r="G655" s="45"/>
      <c r="H655" s="45"/>
      <c r="I655" s="45"/>
      <c r="J655" s="45"/>
    </row>
    <row r="656" spans="2:10" x14ac:dyDescent="0.35">
      <c r="B656" s="45"/>
      <c r="C656" s="45"/>
      <c r="D656" s="45"/>
      <c r="E656" s="45"/>
      <c r="F656" s="45"/>
      <c r="G656" s="45"/>
      <c r="H656" s="45"/>
      <c r="I656" s="45"/>
      <c r="J656" s="45"/>
    </row>
    <row r="657" spans="2:10" x14ac:dyDescent="0.35">
      <c r="B657" s="45"/>
      <c r="C657" s="45"/>
      <c r="D657" s="45"/>
      <c r="E657" s="45"/>
      <c r="F657" s="45"/>
      <c r="G657" s="45"/>
      <c r="H657" s="45"/>
      <c r="I657" s="45"/>
      <c r="J657" s="45"/>
    </row>
    <row r="658" spans="2:10" x14ac:dyDescent="0.35">
      <c r="B658" s="45"/>
      <c r="C658" s="45"/>
      <c r="D658" s="45"/>
      <c r="E658" s="45"/>
      <c r="F658" s="45"/>
      <c r="G658" s="45"/>
      <c r="H658" s="45"/>
      <c r="I658" s="45"/>
      <c r="J658" s="45"/>
    </row>
    <row r="659" spans="2:10" x14ac:dyDescent="0.35">
      <c r="B659" s="45"/>
      <c r="C659" s="45"/>
      <c r="D659" s="45"/>
      <c r="E659" s="45"/>
      <c r="F659" s="45"/>
      <c r="G659" s="45"/>
      <c r="H659" s="45"/>
      <c r="I659" s="45"/>
      <c r="J659" s="45"/>
    </row>
    <row r="660" spans="2:10" x14ac:dyDescent="0.35">
      <c r="B660" s="45"/>
      <c r="C660" s="45"/>
      <c r="D660" s="45"/>
      <c r="E660" s="45"/>
      <c r="F660" s="45"/>
      <c r="G660" s="45"/>
      <c r="H660" s="45"/>
      <c r="I660" s="45"/>
      <c r="J660" s="45"/>
    </row>
    <row r="661" spans="2:10" x14ac:dyDescent="0.35">
      <c r="B661" s="45"/>
      <c r="C661" s="45"/>
      <c r="D661" s="45"/>
      <c r="E661" s="45"/>
      <c r="F661" s="45"/>
      <c r="G661" s="45"/>
      <c r="H661" s="45"/>
      <c r="I661" s="45"/>
      <c r="J661" s="45"/>
    </row>
    <row r="662" spans="2:10" x14ac:dyDescent="0.35">
      <c r="B662" s="45"/>
      <c r="C662" s="45"/>
      <c r="D662" s="45"/>
      <c r="E662" s="45"/>
      <c r="F662" s="45"/>
      <c r="G662" s="45"/>
      <c r="H662" s="45"/>
      <c r="I662" s="45"/>
      <c r="J662" s="45"/>
    </row>
    <row r="663" spans="2:10" x14ac:dyDescent="0.35">
      <c r="B663" s="45"/>
      <c r="C663" s="45"/>
      <c r="D663" s="45"/>
      <c r="E663" s="45"/>
      <c r="F663" s="45"/>
      <c r="G663" s="45"/>
      <c r="H663" s="45"/>
      <c r="I663" s="45"/>
      <c r="J663" s="45"/>
    </row>
    <row r="664" spans="2:10" x14ac:dyDescent="0.35">
      <c r="B664" s="45"/>
      <c r="C664" s="45"/>
      <c r="D664" s="45"/>
      <c r="E664" s="45"/>
      <c r="F664" s="45"/>
      <c r="G664" s="45"/>
      <c r="H664" s="45"/>
      <c r="I664" s="45"/>
      <c r="J664" s="45"/>
    </row>
    <row r="665" spans="2:10" x14ac:dyDescent="0.35">
      <c r="B665" s="45"/>
      <c r="C665" s="45"/>
      <c r="D665" s="45"/>
      <c r="E665" s="45"/>
      <c r="F665" s="45"/>
      <c r="G665" s="45"/>
      <c r="H665" s="45"/>
      <c r="I665" s="45"/>
      <c r="J665" s="45"/>
    </row>
    <row r="666" spans="2:10" x14ac:dyDescent="0.35">
      <c r="B666" s="45"/>
      <c r="C666" s="45"/>
      <c r="D666" s="45"/>
      <c r="E666" s="45"/>
      <c r="F666" s="45"/>
      <c r="G666" s="45"/>
      <c r="H666" s="45"/>
      <c r="I666" s="45"/>
      <c r="J666" s="45"/>
    </row>
    <row r="667" spans="2:10" x14ac:dyDescent="0.35">
      <c r="B667" s="45"/>
      <c r="C667" s="45"/>
      <c r="D667" s="45"/>
      <c r="E667" s="45"/>
      <c r="F667" s="45"/>
      <c r="G667" s="45"/>
      <c r="H667" s="45"/>
      <c r="I667" s="45"/>
      <c r="J667" s="45"/>
    </row>
    <row r="668" spans="2:10" x14ac:dyDescent="0.35">
      <c r="B668" s="45"/>
      <c r="C668" s="45"/>
      <c r="D668" s="45"/>
      <c r="E668" s="45"/>
      <c r="F668" s="45"/>
      <c r="G668" s="45"/>
      <c r="H668" s="45"/>
      <c r="I668" s="45"/>
      <c r="J668" s="45"/>
    </row>
    <row r="669" spans="2:10" x14ac:dyDescent="0.35">
      <c r="B669" s="45"/>
      <c r="C669" s="45"/>
      <c r="D669" s="45"/>
      <c r="E669" s="45"/>
      <c r="F669" s="45"/>
      <c r="G669" s="45"/>
      <c r="H669" s="45"/>
      <c r="I669" s="45"/>
      <c r="J669" s="45"/>
    </row>
    <row r="670" spans="2:10" x14ac:dyDescent="0.35">
      <c r="B670" s="45"/>
      <c r="C670" s="45"/>
      <c r="D670" s="45"/>
      <c r="E670" s="45"/>
      <c r="F670" s="45"/>
      <c r="G670" s="45"/>
      <c r="H670" s="45"/>
      <c r="I670" s="45"/>
      <c r="J670" s="45"/>
    </row>
    <row r="671" spans="2:10" x14ac:dyDescent="0.35">
      <c r="B671" s="45"/>
      <c r="C671" s="45"/>
      <c r="D671" s="45"/>
      <c r="E671" s="45"/>
      <c r="F671" s="45"/>
      <c r="G671" s="45"/>
      <c r="H671" s="45"/>
      <c r="I671" s="45"/>
      <c r="J671" s="45"/>
    </row>
    <row r="672" spans="2:10" x14ac:dyDescent="0.35">
      <c r="B672" s="45"/>
      <c r="C672" s="45"/>
      <c r="D672" s="45"/>
      <c r="E672" s="45"/>
      <c r="F672" s="45"/>
      <c r="G672" s="45"/>
      <c r="H672" s="45"/>
      <c r="I672" s="45"/>
      <c r="J672" s="45"/>
    </row>
    <row r="673" spans="2:10" x14ac:dyDescent="0.35">
      <c r="B673" s="45"/>
      <c r="C673" s="45"/>
      <c r="D673" s="45"/>
      <c r="E673" s="45"/>
      <c r="F673" s="45"/>
      <c r="G673" s="45"/>
      <c r="H673" s="45"/>
      <c r="I673" s="45"/>
      <c r="J673" s="45"/>
    </row>
    <row r="674" spans="2:10" x14ac:dyDescent="0.35">
      <c r="B674" s="45"/>
      <c r="C674" s="45"/>
      <c r="D674" s="45"/>
      <c r="E674" s="45"/>
      <c r="F674" s="45"/>
      <c r="G674" s="45"/>
      <c r="H674" s="45"/>
      <c r="I674" s="45"/>
      <c r="J674" s="45"/>
    </row>
    <row r="675" spans="2:10" x14ac:dyDescent="0.35">
      <c r="B675" s="45"/>
      <c r="C675" s="45"/>
      <c r="D675" s="45"/>
      <c r="E675" s="45"/>
      <c r="F675" s="45"/>
      <c r="G675" s="45"/>
      <c r="H675" s="45"/>
      <c r="I675" s="45"/>
      <c r="J675" s="45"/>
    </row>
    <row r="676" spans="2:10" x14ac:dyDescent="0.35">
      <c r="B676" s="45"/>
      <c r="C676" s="45"/>
      <c r="D676" s="45"/>
      <c r="E676" s="45"/>
      <c r="F676" s="45"/>
      <c r="G676" s="45"/>
      <c r="H676" s="45"/>
      <c r="I676" s="45"/>
      <c r="J676" s="45"/>
    </row>
    <row r="677" spans="2:10" x14ac:dyDescent="0.35">
      <c r="B677" s="45"/>
      <c r="C677" s="45"/>
      <c r="D677" s="45"/>
      <c r="E677" s="45"/>
      <c r="F677" s="45"/>
      <c r="G677" s="45"/>
      <c r="H677" s="45"/>
      <c r="I677" s="45"/>
      <c r="J677" s="45"/>
    </row>
    <row r="678" spans="2:10" x14ac:dyDescent="0.35">
      <c r="B678" s="45"/>
      <c r="C678" s="45"/>
      <c r="D678" s="45"/>
      <c r="E678" s="45"/>
      <c r="F678" s="45"/>
      <c r="G678" s="45"/>
      <c r="H678" s="45"/>
      <c r="I678" s="45"/>
      <c r="J678" s="45"/>
    </row>
    <row r="679" spans="2:10" x14ac:dyDescent="0.35">
      <c r="B679" s="45"/>
      <c r="C679" s="45"/>
      <c r="D679" s="45"/>
      <c r="E679" s="45"/>
      <c r="F679" s="45"/>
      <c r="G679" s="45"/>
      <c r="H679" s="45"/>
      <c r="I679" s="45"/>
      <c r="J679" s="45"/>
    </row>
    <row r="680" spans="2:10" x14ac:dyDescent="0.35">
      <c r="B680" s="45"/>
      <c r="C680" s="45"/>
      <c r="D680" s="45"/>
      <c r="E680" s="45"/>
      <c r="F680" s="45"/>
      <c r="G680" s="45"/>
      <c r="H680" s="45"/>
      <c r="I680" s="45"/>
      <c r="J680" s="45"/>
    </row>
    <row r="681" spans="2:10" x14ac:dyDescent="0.35">
      <c r="B681" s="45"/>
      <c r="C681" s="45"/>
      <c r="D681" s="45"/>
      <c r="E681" s="45"/>
      <c r="F681" s="45"/>
      <c r="G681" s="45"/>
      <c r="H681" s="45"/>
      <c r="I681" s="45"/>
      <c r="J681" s="45"/>
    </row>
    <row r="682" spans="2:10" x14ac:dyDescent="0.35">
      <c r="B682" s="45"/>
      <c r="C682" s="45"/>
      <c r="D682" s="45"/>
      <c r="E682" s="45"/>
      <c r="F682" s="45"/>
      <c r="G682" s="45"/>
      <c r="H682" s="45"/>
      <c r="I682" s="45"/>
      <c r="J682" s="45"/>
    </row>
    <row r="683" spans="2:10" x14ac:dyDescent="0.35">
      <c r="B683" s="45"/>
      <c r="C683" s="45"/>
      <c r="D683" s="45"/>
      <c r="E683" s="45"/>
      <c r="F683" s="45"/>
      <c r="G683" s="45"/>
      <c r="H683" s="45"/>
      <c r="I683" s="45"/>
      <c r="J683" s="45"/>
    </row>
    <row r="684" spans="2:10" x14ac:dyDescent="0.35">
      <c r="B684" s="45"/>
      <c r="C684" s="45"/>
      <c r="D684" s="45"/>
      <c r="E684" s="45"/>
      <c r="F684" s="45"/>
      <c r="G684" s="45"/>
      <c r="H684" s="45"/>
      <c r="I684" s="45"/>
      <c r="J684" s="45"/>
    </row>
    <row r="685" spans="2:10" x14ac:dyDescent="0.35">
      <c r="B685" s="45"/>
      <c r="C685" s="45"/>
      <c r="D685" s="45"/>
      <c r="E685" s="45"/>
      <c r="F685" s="45"/>
      <c r="G685" s="45"/>
      <c r="H685" s="45"/>
      <c r="I685" s="45"/>
      <c r="J685" s="45"/>
    </row>
    <row r="686" spans="2:10" x14ac:dyDescent="0.35">
      <c r="B686" s="45"/>
      <c r="C686" s="45"/>
      <c r="D686" s="45"/>
      <c r="E686" s="45"/>
      <c r="F686" s="45"/>
      <c r="G686" s="45"/>
      <c r="H686" s="45"/>
      <c r="I686" s="45"/>
      <c r="J686" s="45"/>
    </row>
    <row r="687" spans="2:10" x14ac:dyDescent="0.35">
      <c r="B687" s="45"/>
      <c r="C687" s="45"/>
      <c r="D687" s="45"/>
      <c r="E687" s="45"/>
      <c r="F687" s="45"/>
      <c r="G687" s="45"/>
      <c r="H687" s="45"/>
      <c r="I687" s="45"/>
      <c r="J687" s="45"/>
    </row>
    <row r="688" spans="2:10" x14ac:dyDescent="0.35">
      <c r="B688" s="45"/>
      <c r="C688" s="45"/>
      <c r="D688" s="45"/>
      <c r="E688" s="45"/>
      <c r="F688" s="45"/>
      <c r="G688" s="45"/>
      <c r="H688" s="45"/>
      <c r="I688" s="45"/>
      <c r="J688" s="45"/>
    </row>
    <row r="689" spans="2:10" x14ac:dyDescent="0.35">
      <c r="B689" s="45"/>
      <c r="C689" s="45"/>
      <c r="D689" s="45"/>
      <c r="E689" s="45"/>
      <c r="F689" s="45"/>
      <c r="G689" s="45"/>
      <c r="H689" s="45"/>
      <c r="I689" s="45"/>
      <c r="J689" s="45"/>
    </row>
    <row r="690" spans="2:10" x14ac:dyDescent="0.35">
      <c r="B690" s="45"/>
      <c r="C690" s="45"/>
      <c r="D690" s="45"/>
      <c r="E690" s="45"/>
      <c r="F690" s="45"/>
      <c r="G690" s="45"/>
      <c r="H690" s="45"/>
      <c r="I690" s="45"/>
      <c r="J690" s="45"/>
    </row>
    <row r="691" spans="2:10" x14ac:dyDescent="0.35">
      <c r="B691" s="45"/>
      <c r="C691" s="45"/>
      <c r="D691" s="45"/>
      <c r="E691" s="45"/>
      <c r="F691" s="45"/>
      <c r="G691" s="45"/>
      <c r="H691" s="45"/>
      <c r="I691" s="45"/>
      <c r="J691" s="45"/>
    </row>
    <row r="692" spans="2:10" x14ac:dyDescent="0.35">
      <c r="B692" s="45"/>
      <c r="C692" s="45"/>
      <c r="D692" s="45"/>
      <c r="E692" s="45"/>
      <c r="F692" s="45"/>
      <c r="G692" s="45"/>
      <c r="H692" s="45"/>
      <c r="I692" s="45"/>
      <c r="J692" s="45"/>
    </row>
    <row r="693" spans="2:10" x14ac:dyDescent="0.35">
      <c r="B693" s="45"/>
      <c r="C693" s="45"/>
      <c r="D693" s="45"/>
      <c r="E693" s="45"/>
      <c r="F693" s="45"/>
      <c r="G693" s="45"/>
      <c r="H693" s="45"/>
      <c r="I693" s="45"/>
      <c r="J693" s="45"/>
    </row>
    <row r="694" spans="2:10" x14ac:dyDescent="0.35">
      <c r="B694" s="45"/>
      <c r="C694" s="45"/>
      <c r="D694" s="45"/>
      <c r="E694" s="45"/>
      <c r="F694" s="45"/>
      <c r="G694" s="45"/>
      <c r="H694" s="45"/>
      <c r="I694" s="45"/>
      <c r="J694" s="45"/>
    </row>
    <row r="695" spans="2:10" x14ac:dyDescent="0.35">
      <c r="B695" s="45"/>
      <c r="C695" s="45"/>
      <c r="D695" s="45"/>
      <c r="E695" s="45"/>
      <c r="F695" s="45"/>
      <c r="G695" s="45"/>
      <c r="H695" s="45"/>
      <c r="I695" s="45"/>
      <c r="J695" s="45"/>
    </row>
    <row r="696" spans="2:10" x14ac:dyDescent="0.35">
      <c r="B696" s="45"/>
      <c r="C696" s="45"/>
      <c r="D696" s="45"/>
      <c r="E696" s="45"/>
      <c r="F696" s="45"/>
      <c r="G696" s="45"/>
      <c r="H696" s="45"/>
      <c r="I696" s="45"/>
      <c r="J696" s="45"/>
    </row>
    <row r="697" spans="2:10" x14ac:dyDescent="0.35">
      <c r="B697" s="45"/>
      <c r="C697" s="45"/>
      <c r="D697" s="45"/>
      <c r="E697" s="45"/>
      <c r="F697" s="45"/>
      <c r="G697" s="45"/>
      <c r="H697" s="45"/>
      <c r="I697" s="45"/>
      <c r="J697" s="45"/>
    </row>
    <row r="698" spans="2:10" x14ac:dyDescent="0.35">
      <c r="B698" s="45"/>
      <c r="C698" s="45"/>
      <c r="D698" s="45"/>
      <c r="E698" s="45"/>
      <c r="F698" s="45"/>
      <c r="G698" s="45"/>
      <c r="H698" s="45"/>
      <c r="I698" s="45"/>
      <c r="J698" s="45"/>
    </row>
    <row r="699" spans="2:10" x14ac:dyDescent="0.35">
      <c r="B699" s="45"/>
      <c r="C699" s="45"/>
      <c r="D699" s="45"/>
      <c r="E699" s="45"/>
      <c r="F699" s="45"/>
      <c r="G699" s="45"/>
      <c r="H699" s="45"/>
      <c r="I699" s="45"/>
      <c r="J699" s="45"/>
    </row>
    <row r="700" spans="2:10" x14ac:dyDescent="0.35">
      <c r="B700" s="45"/>
      <c r="C700" s="45"/>
      <c r="D700" s="45"/>
      <c r="E700" s="45"/>
      <c r="F700" s="45"/>
      <c r="G700" s="45"/>
      <c r="H700" s="45"/>
      <c r="I700" s="45"/>
      <c r="J700" s="45"/>
    </row>
    <row r="701" spans="2:10" x14ac:dyDescent="0.35">
      <c r="B701" s="45"/>
      <c r="C701" s="45"/>
      <c r="D701" s="45"/>
      <c r="E701" s="45"/>
      <c r="F701" s="45"/>
      <c r="G701" s="45"/>
      <c r="H701" s="45"/>
      <c r="I701" s="45"/>
      <c r="J701" s="45"/>
    </row>
    <row r="702" spans="2:10" x14ac:dyDescent="0.35">
      <c r="B702" s="45"/>
      <c r="C702" s="45"/>
      <c r="D702" s="45"/>
      <c r="E702" s="45"/>
      <c r="F702" s="45"/>
      <c r="G702" s="45"/>
      <c r="H702" s="45"/>
      <c r="I702" s="45"/>
      <c r="J702" s="45"/>
    </row>
    <row r="703" spans="2:10" x14ac:dyDescent="0.35">
      <c r="B703" s="45"/>
      <c r="C703" s="45"/>
      <c r="D703" s="45"/>
      <c r="E703" s="45"/>
      <c r="F703" s="45"/>
      <c r="G703" s="45"/>
      <c r="H703" s="45"/>
      <c r="I703" s="45"/>
      <c r="J703" s="45"/>
    </row>
    <row r="704" spans="2:10" x14ac:dyDescent="0.35">
      <c r="B704" s="45"/>
      <c r="C704" s="45"/>
      <c r="D704" s="45"/>
      <c r="E704" s="45"/>
      <c r="F704" s="45"/>
      <c r="G704" s="45"/>
      <c r="H704" s="45"/>
      <c r="I704" s="45"/>
      <c r="J704" s="45"/>
    </row>
    <row r="705" spans="2:10" x14ac:dyDescent="0.35">
      <c r="B705" s="45"/>
      <c r="C705" s="45"/>
      <c r="D705" s="45"/>
      <c r="E705" s="45"/>
      <c r="F705" s="45"/>
      <c r="G705" s="45"/>
      <c r="H705" s="45"/>
      <c r="I705" s="45"/>
      <c r="J705" s="45"/>
    </row>
    <row r="706" spans="2:10" x14ac:dyDescent="0.35">
      <c r="B706" s="45"/>
      <c r="C706" s="45"/>
      <c r="D706" s="45"/>
      <c r="E706" s="45"/>
      <c r="F706" s="45"/>
      <c r="G706" s="45"/>
      <c r="H706" s="45"/>
      <c r="I706" s="45"/>
      <c r="J706" s="45"/>
    </row>
    <row r="707" spans="2:10" x14ac:dyDescent="0.35">
      <c r="B707" s="45"/>
      <c r="C707" s="45"/>
      <c r="D707" s="45"/>
      <c r="E707" s="45"/>
      <c r="F707" s="45"/>
      <c r="G707" s="45"/>
      <c r="H707" s="45"/>
      <c r="I707" s="45"/>
      <c r="J707" s="45"/>
    </row>
    <row r="708" spans="2:10" x14ac:dyDescent="0.35">
      <c r="B708" s="45"/>
      <c r="C708" s="45"/>
      <c r="D708" s="45"/>
      <c r="E708" s="45"/>
      <c r="F708" s="45"/>
      <c r="G708" s="45"/>
      <c r="H708" s="45"/>
      <c r="I708" s="45"/>
      <c r="J708" s="45"/>
    </row>
    <row r="709" spans="2:10" x14ac:dyDescent="0.35">
      <c r="B709" s="45"/>
      <c r="C709" s="45"/>
      <c r="D709" s="45"/>
      <c r="E709" s="45"/>
      <c r="F709" s="45"/>
      <c r="G709" s="45"/>
      <c r="H709" s="45"/>
      <c r="I709" s="45"/>
      <c r="J709" s="45"/>
    </row>
    <row r="710" spans="2:10" x14ac:dyDescent="0.35">
      <c r="B710" s="45"/>
      <c r="C710" s="45"/>
      <c r="D710" s="45"/>
      <c r="E710" s="45"/>
      <c r="F710" s="45"/>
      <c r="G710" s="45"/>
      <c r="H710" s="45"/>
      <c r="I710" s="45"/>
      <c r="J710" s="45"/>
    </row>
    <row r="711" spans="2:10" x14ac:dyDescent="0.35">
      <c r="B711" s="45"/>
      <c r="C711" s="45"/>
      <c r="D711" s="45"/>
      <c r="E711" s="45"/>
      <c r="F711" s="45"/>
      <c r="G711" s="45"/>
      <c r="H711" s="45"/>
      <c r="I711" s="45"/>
      <c r="J711" s="45"/>
    </row>
    <row r="712" spans="2:10" x14ac:dyDescent="0.35">
      <c r="B712" s="45"/>
      <c r="C712" s="45"/>
      <c r="D712" s="45"/>
      <c r="E712" s="45"/>
      <c r="F712" s="45"/>
      <c r="G712" s="45"/>
      <c r="H712" s="45"/>
      <c r="I712" s="45"/>
      <c r="J712" s="45"/>
    </row>
    <row r="713" spans="2:10" x14ac:dyDescent="0.35">
      <c r="B713" s="45"/>
      <c r="C713" s="45"/>
      <c r="D713" s="45"/>
      <c r="E713" s="45"/>
      <c r="F713" s="45"/>
      <c r="G713" s="45"/>
      <c r="H713" s="45"/>
      <c r="I713" s="45"/>
      <c r="J713" s="45"/>
    </row>
    <row r="714" spans="2:10" x14ac:dyDescent="0.35">
      <c r="B714" s="45"/>
      <c r="C714" s="45"/>
      <c r="D714" s="45"/>
      <c r="E714" s="45"/>
      <c r="F714" s="45"/>
      <c r="G714" s="45"/>
      <c r="H714" s="45"/>
      <c r="I714" s="45"/>
      <c r="J714" s="45"/>
    </row>
    <row r="715" spans="2:10" x14ac:dyDescent="0.35">
      <c r="B715" s="45"/>
      <c r="C715" s="45"/>
      <c r="D715" s="45"/>
      <c r="E715" s="45"/>
      <c r="F715" s="45"/>
      <c r="G715" s="45"/>
      <c r="H715" s="45"/>
      <c r="I715" s="45"/>
      <c r="J715" s="45"/>
    </row>
    <row r="716" spans="2:10" x14ac:dyDescent="0.35">
      <c r="B716" s="45"/>
      <c r="C716" s="45"/>
      <c r="D716" s="45"/>
      <c r="E716" s="45"/>
      <c r="F716" s="45"/>
      <c r="G716" s="45"/>
      <c r="H716" s="45"/>
      <c r="I716" s="45"/>
      <c r="J716" s="45"/>
    </row>
    <row r="717" spans="2:10" x14ac:dyDescent="0.35">
      <c r="B717" s="45"/>
      <c r="C717" s="45"/>
      <c r="D717" s="45"/>
      <c r="E717" s="45"/>
      <c r="F717" s="45"/>
      <c r="G717" s="45"/>
      <c r="H717" s="45"/>
      <c r="I717" s="45"/>
      <c r="J717" s="45"/>
    </row>
    <row r="718" spans="2:10" x14ac:dyDescent="0.35">
      <c r="B718" s="45"/>
      <c r="C718" s="45"/>
      <c r="D718" s="45"/>
      <c r="E718" s="45"/>
      <c r="F718" s="45"/>
      <c r="G718" s="45"/>
      <c r="H718" s="45"/>
      <c r="I718" s="45"/>
      <c r="J718" s="45"/>
    </row>
    <row r="719" spans="2:10" x14ac:dyDescent="0.35">
      <c r="B719" s="45"/>
      <c r="C719" s="45"/>
      <c r="D719" s="45"/>
      <c r="E719" s="45"/>
      <c r="F719" s="45"/>
      <c r="G719" s="45"/>
      <c r="H719" s="45"/>
      <c r="I719" s="45"/>
      <c r="J719" s="45"/>
    </row>
    <row r="720" spans="2:10" x14ac:dyDescent="0.35">
      <c r="B720" s="45"/>
      <c r="C720" s="45"/>
      <c r="D720" s="45"/>
      <c r="E720" s="45"/>
      <c r="F720" s="45"/>
      <c r="G720" s="45"/>
      <c r="H720" s="45"/>
      <c r="I720" s="45"/>
      <c r="J720" s="45"/>
    </row>
    <row r="721" spans="2:10" x14ac:dyDescent="0.35">
      <c r="B721" s="45"/>
      <c r="C721" s="45"/>
      <c r="D721" s="45"/>
      <c r="E721" s="45"/>
      <c r="F721" s="45"/>
      <c r="G721" s="45"/>
      <c r="H721" s="45"/>
      <c r="I721" s="45"/>
      <c r="J721" s="45"/>
    </row>
    <row r="722" spans="2:10" x14ac:dyDescent="0.35">
      <c r="B722" s="45"/>
      <c r="C722" s="45"/>
      <c r="D722" s="45"/>
      <c r="E722" s="45"/>
      <c r="F722" s="45"/>
      <c r="G722" s="45"/>
      <c r="H722" s="45"/>
      <c r="I722" s="45"/>
      <c r="J722" s="45"/>
    </row>
    <row r="723" spans="2:10" x14ac:dyDescent="0.35">
      <c r="B723" s="45"/>
      <c r="C723" s="45"/>
      <c r="D723" s="45"/>
      <c r="E723" s="45"/>
      <c r="F723" s="45"/>
      <c r="G723" s="45"/>
      <c r="H723" s="45"/>
      <c r="I723" s="45"/>
      <c r="J723" s="45"/>
    </row>
    <row r="724" spans="2:10" x14ac:dyDescent="0.35">
      <c r="B724" s="45"/>
      <c r="C724" s="45"/>
      <c r="D724" s="45"/>
      <c r="E724" s="45"/>
      <c r="F724" s="45"/>
      <c r="G724" s="45"/>
      <c r="H724" s="45"/>
      <c r="I724" s="45"/>
      <c r="J724" s="45"/>
    </row>
    <row r="725" spans="2:10" x14ac:dyDescent="0.35">
      <c r="B725" s="45"/>
      <c r="C725" s="45"/>
      <c r="D725" s="45"/>
      <c r="E725" s="45"/>
      <c r="F725" s="45"/>
      <c r="G725" s="45"/>
      <c r="H725" s="45"/>
      <c r="I725" s="45"/>
      <c r="J725" s="45"/>
    </row>
    <row r="726" spans="2:10" x14ac:dyDescent="0.35">
      <c r="B726" s="45"/>
      <c r="C726" s="45"/>
      <c r="D726" s="45"/>
      <c r="E726" s="45"/>
      <c r="F726" s="45"/>
      <c r="G726" s="45"/>
      <c r="H726" s="45"/>
      <c r="I726" s="45"/>
      <c r="J726" s="45"/>
    </row>
    <row r="727" spans="2:10" x14ac:dyDescent="0.35">
      <c r="B727" s="45"/>
      <c r="C727" s="45"/>
      <c r="D727" s="45"/>
      <c r="E727" s="45"/>
      <c r="F727" s="45"/>
      <c r="G727" s="45"/>
      <c r="H727" s="45"/>
      <c r="I727" s="45"/>
      <c r="J727" s="45"/>
    </row>
    <row r="728" spans="2:10" x14ac:dyDescent="0.35">
      <c r="B728" s="45"/>
      <c r="C728" s="45"/>
      <c r="D728" s="45"/>
      <c r="E728" s="45"/>
      <c r="F728" s="45"/>
      <c r="G728" s="45"/>
      <c r="H728" s="45"/>
      <c r="I728" s="45"/>
      <c r="J728" s="45"/>
    </row>
    <row r="729" spans="2:10" x14ac:dyDescent="0.35">
      <c r="B729" s="45"/>
      <c r="C729" s="45"/>
      <c r="D729" s="45"/>
      <c r="E729" s="45"/>
      <c r="F729" s="45"/>
      <c r="G729" s="45"/>
      <c r="H729" s="45"/>
      <c r="I729" s="45"/>
      <c r="J729" s="45"/>
    </row>
    <row r="730" spans="2:10" x14ac:dyDescent="0.35">
      <c r="B730" s="45"/>
      <c r="C730" s="45"/>
      <c r="D730" s="45"/>
      <c r="E730" s="45"/>
      <c r="F730" s="45"/>
      <c r="G730" s="45"/>
      <c r="H730" s="45"/>
      <c r="I730" s="45"/>
      <c r="J730" s="45"/>
    </row>
    <row r="731" spans="2:10" x14ac:dyDescent="0.35">
      <c r="B731" s="45"/>
      <c r="C731" s="45"/>
      <c r="D731" s="45"/>
      <c r="E731" s="45"/>
      <c r="F731" s="45"/>
      <c r="G731" s="45"/>
      <c r="H731" s="45"/>
      <c r="I731" s="45"/>
      <c r="J731" s="45"/>
    </row>
    <row r="732" spans="2:10" x14ac:dyDescent="0.35">
      <c r="B732" s="45"/>
      <c r="C732" s="45"/>
      <c r="D732" s="45"/>
      <c r="E732" s="45"/>
      <c r="F732" s="45"/>
      <c r="G732" s="45"/>
      <c r="H732" s="45"/>
      <c r="I732" s="45"/>
      <c r="J732" s="45"/>
    </row>
    <row r="733" spans="2:10" x14ac:dyDescent="0.35">
      <c r="B733" s="45"/>
      <c r="C733" s="45"/>
      <c r="D733" s="45"/>
      <c r="E733" s="45"/>
      <c r="F733" s="45"/>
      <c r="G733" s="45"/>
      <c r="H733" s="45"/>
      <c r="I733" s="45"/>
      <c r="J733" s="45"/>
    </row>
    <row r="734" spans="2:10" x14ac:dyDescent="0.35">
      <c r="B734" s="45"/>
      <c r="C734" s="45"/>
      <c r="D734" s="45"/>
      <c r="E734" s="45"/>
      <c r="F734" s="45"/>
      <c r="G734" s="45"/>
      <c r="H734" s="45"/>
      <c r="I734" s="45"/>
      <c r="J734" s="45"/>
    </row>
    <row r="735" spans="2:10" x14ac:dyDescent="0.35">
      <c r="B735" s="45"/>
      <c r="C735" s="45"/>
      <c r="D735" s="45"/>
      <c r="E735" s="45"/>
      <c r="F735" s="45"/>
      <c r="G735" s="45"/>
      <c r="H735" s="45"/>
      <c r="I735" s="45"/>
      <c r="J735" s="45"/>
    </row>
    <row r="736" spans="2:10" x14ac:dyDescent="0.35">
      <c r="B736" s="45"/>
      <c r="C736" s="45"/>
      <c r="D736" s="45"/>
      <c r="E736" s="45"/>
      <c r="F736" s="45"/>
      <c r="G736" s="45"/>
      <c r="H736" s="45"/>
      <c r="I736" s="45"/>
      <c r="J736" s="45"/>
    </row>
    <row r="737" spans="2:10" x14ac:dyDescent="0.35">
      <c r="B737" s="45"/>
      <c r="C737" s="45"/>
      <c r="D737" s="45"/>
      <c r="E737" s="45"/>
      <c r="F737" s="45"/>
      <c r="G737" s="45"/>
      <c r="H737" s="45"/>
      <c r="I737" s="45"/>
      <c r="J737" s="45"/>
    </row>
    <row r="738" spans="2:10" x14ac:dyDescent="0.35">
      <c r="B738" s="45"/>
      <c r="C738" s="45"/>
      <c r="D738" s="45"/>
      <c r="E738" s="45"/>
      <c r="F738" s="45"/>
      <c r="G738" s="45"/>
      <c r="H738" s="45"/>
      <c r="I738" s="45"/>
      <c r="J738" s="45"/>
    </row>
    <row r="739" spans="2:10" x14ac:dyDescent="0.35">
      <c r="B739" s="45"/>
      <c r="C739" s="45"/>
      <c r="D739" s="45"/>
      <c r="E739" s="45"/>
      <c r="F739" s="45"/>
      <c r="G739" s="45"/>
      <c r="H739" s="45"/>
      <c r="I739" s="45"/>
      <c r="J739" s="45"/>
    </row>
    <row r="740" spans="2:10" x14ac:dyDescent="0.35">
      <c r="B740" s="45"/>
      <c r="C740" s="45"/>
      <c r="D740" s="45"/>
      <c r="E740" s="45"/>
      <c r="F740" s="45"/>
      <c r="G740" s="45"/>
      <c r="H740" s="45"/>
      <c r="I740" s="45"/>
      <c r="J740" s="45"/>
    </row>
    <row r="741" spans="2:10" x14ac:dyDescent="0.35">
      <c r="B741" s="45"/>
      <c r="C741" s="45"/>
      <c r="D741" s="45"/>
      <c r="E741" s="45"/>
      <c r="F741" s="45"/>
      <c r="G741" s="45"/>
      <c r="H741" s="45"/>
      <c r="I741" s="45"/>
      <c r="J741" s="45"/>
    </row>
    <row r="742" spans="2:10" x14ac:dyDescent="0.35">
      <c r="B742" s="45"/>
      <c r="C742" s="45"/>
      <c r="D742" s="45"/>
      <c r="E742" s="45"/>
      <c r="F742" s="45"/>
      <c r="G742" s="45"/>
      <c r="H742" s="45"/>
      <c r="I742" s="45"/>
      <c r="J742" s="45"/>
    </row>
    <row r="743" spans="2:10" x14ac:dyDescent="0.35">
      <c r="B743" s="45"/>
      <c r="C743" s="45"/>
      <c r="D743" s="45"/>
      <c r="E743" s="45"/>
      <c r="F743" s="45"/>
      <c r="G743" s="45"/>
      <c r="H743" s="45"/>
      <c r="I743" s="45"/>
      <c r="J743" s="45"/>
    </row>
    <row r="744" spans="2:10" x14ac:dyDescent="0.35">
      <c r="B744" s="45"/>
      <c r="C744" s="45"/>
      <c r="D744" s="45"/>
      <c r="E744" s="45"/>
      <c r="F744" s="45"/>
      <c r="G744" s="45"/>
      <c r="H744" s="45"/>
      <c r="I744" s="45"/>
      <c r="J744" s="45"/>
    </row>
    <row r="745" spans="2:10" x14ac:dyDescent="0.35">
      <c r="B745" s="45"/>
      <c r="C745" s="45"/>
      <c r="D745" s="45"/>
      <c r="E745" s="45"/>
      <c r="F745" s="45"/>
      <c r="G745" s="45"/>
      <c r="H745" s="45"/>
      <c r="I745" s="45"/>
      <c r="J745" s="45"/>
    </row>
    <row r="746" spans="2:10" x14ac:dyDescent="0.35">
      <c r="B746" s="45"/>
      <c r="C746" s="45"/>
      <c r="D746" s="45"/>
      <c r="E746" s="45"/>
      <c r="F746" s="45"/>
      <c r="G746" s="45"/>
      <c r="H746" s="45"/>
      <c r="I746" s="45"/>
      <c r="J746" s="45"/>
    </row>
    <row r="747" spans="2:10" x14ac:dyDescent="0.35">
      <c r="B747" s="45"/>
      <c r="C747" s="45"/>
      <c r="D747" s="45"/>
      <c r="E747" s="45"/>
      <c r="F747" s="45"/>
      <c r="G747" s="45"/>
      <c r="H747" s="45"/>
      <c r="I747" s="45"/>
      <c r="J747" s="45"/>
    </row>
    <row r="748" spans="2:10" x14ac:dyDescent="0.35">
      <c r="B748" s="45"/>
      <c r="C748" s="45"/>
      <c r="D748" s="45"/>
      <c r="E748" s="45"/>
      <c r="F748" s="45"/>
      <c r="G748" s="45"/>
      <c r="H748" s="45"/>
      <c r="I748" s="45"/>
      <c r="J748" s="45"/>
    </row>
    <row r="749" spans="2:10" x14ac:dyDescent="0.35">
      <c r="B749" s="45"/>
      <c r="C749" s="45"/>
      <c r="D749" s="45"/>
      <c r="E749" s="45"/>
      <c r="F749" s="45"/>
      <c r="G749" s="45"/>
      <c r="H749" s="45"/>
      <c r="I749" s="45"/>
      <c r="J749" s="45"/>
    </row>
    <row r="750" spans="2:10" x14ac:dyDescent="0.35">
      <c r="B750" s="45"/>
      <c r="C750" s="45"/>
      <c r="D750" s="45"/>
      <c r="E750" s="45"/>
      <c r="F750" s="45"/>
      <c r="G750" s="45"/>
      <c r="H750" s="45"/>
      <c r="I750" s="45"/>
      <c r="J750" s="45"/>
    </row>
    <row r="751" spans="2:10" x14ac:dyDescent="0.35">
      <c r="B751" s="45"/>
      <c r="C751" s="45"/>
      <c r="D751" s="45"/>
      <c r="E751" s="45"/>
      <c r="F751" s="45"/>
      <c r="G751" s="45"/>
      <c r="H751" s="45"/>
      <c r="I751" s="45"/>
      <c r="J751" s="45"/>
    </row>
    <row r="752" spans="2:10" x14ac:dyDescent="0.35">
      <c r="B752" s="45"/>
      <c r="C752" s="45"/>
      <c r="D752" s="45"/>
      <c r="E752" s="45"/>
      <c r="F752" s="45"/>
      <c r="G752" s="45"/>
      <c r="H752" s="45"/>
      <c r="I752" s="45"/>
      <c r="J752" s="45"/>
    </row>
    <row r="753" spans="2:10" x14ac:dyDescent="0.35">
      <c r="B753" s="45"/>
      <c r="C753" s="45"/>
      <c r="D753" s="45"/>
      <c r="E753" s="45"/>
      <c r="F753" s="45"/>
      <c r="G753" s="45"/>
      <c r="H753" s="45"/>
      <c r="I753" s="45"/>
      <c r="J753" s="45"/>
    </row>
    <row r="754" spans="2:10" x14ac:dyDescent="0.35">
      <c r="B754" s="45"/>
      <c r="C754" s="45"/>
      <c r="D754" s="45"/>
      <c r="E754" s="45"/>
      <c r="F754" s="45"/>
      <c r="G754" s="45"/>
      <c r="H754" s="45"/>
      <c r="I754" s="45"/>
      <c r="J754" s="45"/>
    </row>
    <row r="755" spans="2:10" x14ac:dyDescent="0.35">
      <c r="B755" s="45"/>
      <c r="C755" s="45"/>
      <c r="D755" s="45"/>
      <c r="E755" s="45"/>
      <c r="F755" s="45"/>
      <c r="G755" s="45"/>
      <c r="H755" s="45"/>
      <c r="I755" s="45"/>
      <c r="J755" s="45"/>
    </row>
    <row r="756" spans="2:10" x14ac:dyDescent="0.35">
      <c r="B756" s="45"/>
      <c r="C756" s="45"/>
      <c r="D756" s="45"/>
      <c r="E756" s="45"/>
      <c r="F756" s="45"/>
      <c r="G756" s="45"/>
      <c r="H756" s="45"/>
      <c r="I756" s="45"/>
      <c r="J756" s="45"/>
    </row>
    <row r="757" spans="2:10" x14ac:dyDescent="0.35">
      <c r="B757" s="45"/>
      <c r="C757" s="45"/>
      <c r="D757" s="45"/>
      <c r="E757" s="45"/>
      <c r="F757" s="45"/>
      <c r="G757" s="45"/>
      <c r="H757" s="45"/>
      <c r="I757" s="45"/>
      <c r="J757" s="45"/>
    </row>
    <row r="758" spans="2:10" x14ac:dyDescent="0.35">
      <c r="B758" s="45"/>
      <c r="C758" s="45"/>
      <c r="D758" s="45"/>
      <c r="E758" s="45"/>
      <c r="F758" s="45"/>
      <c r="G758" s="45"/>
      <c r="H758" s="45"/>
      <c r="I758" s="45"/>
      <c r="J758" s="45"/>
    </row>
    <row r="759" spans="2:10" x14ac:dyDescent="0.35">
      <c r="B759" s="45"/>
      <c r="C759" s="45"/>
      <c r="D759" s="45"/>
      <c r="E759" s="45"/>
      <c r="F759" s="45"/>
      <c r="G759" s="45"/>
      <c r="H759" s="45"/>
      <c r="I759" s="45"/>
      <c r="J759" s="45"/>
    </row>
    <row r="760" spans="2:10" x14ac:dyDescent="0.35">
      <c r="B760" s="45"/>
      <c r="C760" s="45"/>
      <c r="D760" s="45"/>
      <c r="E760" s="45"/>
      <c r="F760" s="45"/>
      <c r="G760" s="45"/>
      <c r="H760" s="45"/>
      <c r="I760" s="45"/>
      <c r="J760" s="45"/>
    </row>
    <row r="761" spans="2:10" x14ac:dyDescent="0.35">
      <c r="B761" s="45"/>
      <c r="C761" s="45"/>
      <c r="D761" s="45"/>
      <c r="E761" s="45"/>
      <c r="F761" s="45"/>
      <c r="G761" s="45"/>
      <c r="H761" s="45"/>
      <c r="I761" s="45"/>
      <c r="J761" s="45"/>
    </row>
    <row r="762" spans="2:10" x14ac:dyDescent="0.35">
      <c r="B762" s="45"/>
      <c r="C762" s="45"/>
      <c r="D762" s="45"/>
      <c r="E762" s="45"/>
      <c r="F762" s="45"/>
      <c r="G762" s="45"/>
      <c r="H762" s="45"/>
      <c r="I762" s="45"/>
      <c r="J762" s="45"/>
    </row>
    <row r="763" spans="2:10" x14ac:dyDescent="0.35">
      <c r="B763" s="45"/>
      <c r="C763" s="45"/>
      <c r="D763" s="45"/>
      <c r="E763" s="45"/>
      <c r="F763" s="45"/>
      <c r="G763" s="45"/>
      <c r="H763" s="45"/>
      <c r="I763" s="45"/>
      <c r="J763" s="45"/>
    </row>
    <row r="764" spans="2:10" x14ac:dyDescent="0.35">
      <c r="B764" s="45"/>
      <c r="C764" s="45"/>
      <c r="D764" s="45"/>
      <c r="E764" s="45"/>
      <c r="F764" s="45"/>
      <c r="G764" s="45"/>
      <c r="H764" s="45"/>
      <c r="I764" s="45"/>
      <c r="J764" s="45"/>
    </row>
    <row r="765" spans="2:10" x14ac:dyDescent="0.35">
      <c r="B765" s="45"/>
      <c r="C765" s="45"/>
      <c r="D765" s="45"/>
      <c r="E765" s="45"/>
      <c r="F765" s="45"/>
      <c r="G765" s="45"/>
      <c r="H765" s="45"/>
      <c r="I765" s="45"/>
      <c r="J765" s="45"/>
    </row>
    <row r="766" spans="2:10" x14ac:dyDescent="0.35">
      <c r="B766" s="45"/>
      <c r="C766" s="45"/>
      <c r="D766" s="45"/>
      <c r="E766" s="45"/>
      <c r="F766" s="45"/>
      <c r="G766" s="45"/>
      <c r="H766" s="45"/>
      <c r="I766" s="45"/>
      <c r="J766" s="45"/>
    </row>
    <row r="767" spans="2:10" x14ac:dyDescent="0.35">
      <c r="B767" s="45"/>
      <c r="C767" s="45"/>
      <c r="D767" s="45"/>
      <c r="E767" s="45"/>
      <c r="F767" s="45"/>
      <c r="G767" s="45"/>
      <c r="H767" s="45"/>
      <c r="I767" s="45"/>
      <c r="J767" s="45"/>
    </row>
    <row r="768" spans="2:10" x14ac:dyDescent="0.35">
      <c r="B768" s="45"/>
      <c r="C768" s="45"/>
      <c r="D768" s="45"/>
      <c r="E768" s="45"/>
      <c r="F768" s="45"/>
      <c r="G768" s="45"/>
      <c r="H768" s="45"/>
      <c r="I768" s="45"/>
      <c r="J768" s="45"/>
    </row>
    <row r="769" spans="2:10" x14ac:dyDescent="0.35">
      <c r="B769" s="45"/>
      <c r="C769" s="45"/>
      <c r="D769" s="45"/>
      <c r="E769" s="45"/>
      <c r="F769" s="45"/>
      <c r="G769" s="45"/>
      <c r="H769" s="45"/>
      <c r="I769" s="45"/>
      <c r="J769" s="45"/>
    </row>
    <row r="770" spans="2:10" x14ac:dyDescent="0.35">
      <c r="B770" s="45"/>
      <c r="C770" s="45"/>
      <c r="D770" s="45"/>
      <c r="E770" s="45"/>
      <c r="F770" s="45"/>
      <c r="G770" s="45"/>
      <c r="H770" s="45"/>
      <c r="I770" s="45"/>
      <c r="J770" s="45"/>
    </row>
    <row r="771" spans="2:10" x14ac:dyDescent="0.35">
      <c r="B771" s="45"/>
      <c r="C771" s="45"/>
      <c r="D771" s="45"/>
      <c r="E771" s="45"/>
      <c r="F771" s="45"/>
      <c r="G771" s="45"/>
      <c r="H771" s="45"/>
      <c r="I771" s="45"/>
      <c r="J771" s="45"/>
    </row>
    <row r="772" spans="2:10" x14ac:dyDescent="0.35">
      <c r="B772" s="45"/>
      <c r="C772" s="45"/>
      <c r="D772" s="45"/>
      <c r="E772" s="45"/>
      <c r="F772" s="45"/>
      <c r="G772" s="45"/>
      <c r="H772" s="45"/>
      <c r="I772" s="45"/>
      <c r="J772" s="45"/>
    </row>
    <row r="773" spans="2:10" x14ac:dyDescent="0.35">
      <c r="B773" s="45"/>
      <c r="C773" s="45"/>
      <c r="D773" s="45"/>
      <c r="E773" s="45"/>
      <c r="F773" s="45"/>
      <c r="G773" s="45"/>
      <c r="H773" s="45"/>
      <c r="I773" s="45"/>
      <c r="J773" s="45"/>
    </row>
    <row r="774" spans="2:10" x14ac:dyDescent="0.35">
      <c r="B774" s="45"/>
      <c r="C774" s="45"/>
      <c r="D774" s="45"/>
      <c r="E774" s="45"/>
      <c r="F774" s="45"/>
      <c r="G774" s="45"/>
      <c r="H774" s="45"/>
      <c r="I774" s="45"/>
      <c r="J774" s="45"/>
    </row>
    <row r="775" spans="2:10" x14ac:dyDescent="0.35">
      <c r="B775" s="45"/>
      <c r="C775" s="45"/>
      <c r="D775" s="45"/>
      <c r="E775" s="45"/>
      <c r="F775" s="45"/>
      <c r="G775" s="45"/>
      <c r="H775" s="45"/>
      <c r="I775" s="45"/>
      <c r="J775" s="45"/>
    </row>
    <row r="776" spans="2:10" x14ac:dyDescent="0.35">
      <c r="B776" s="45"/>
      <c r="C776" s="45"/>
      <c r="D776" s="45"/>
      <c r="E776" s="45"/>
      <c r="F776" s="45"/>
      <c r="G776" s="45"/>
      <c r="H776" s="45"/>
      <c r="I776" s="45"/>
      <c r="J776" s="45"/>
    </row>
    <row r="777" spans="2:10" x14ac:dyDescent="0.35">
      <c r="B777" s="45"/>
      <c r="C777" s="45"/>
      <c r="D777" s="45"/>
      <c r="E777" s="45"/>
      <c r="F777" s="45"/>
      <c r="G777" s="45"/>
      <c r="H777" s="45"/>
      <c r="I777" s="45"/>
      <c r="J777" s="45"/>
    </row>
    <row r="778" spans="2:10" x14ac:dyDescent="0.35">
      <c r="B778" s="45"/>
      <c r="C778" s="45"/>
      <c r="D778" s="45"/>
      <c r="E778" s="45"/>
      <c r="F778" s="45"/>
      <c r="G778" s="45"/>
      <c r="H778" s="45"/>
      <c r="I778" s="45"/>
      <c r="J778" s="45"/>
    </row>
    <row r="779" spans="2:10" x14ac:dyDescent="0.35">
      <c r="B779" s="45"/>
      <c r="C779" s="45"/>
      <c r="D779" s="45"/>
      <c r="E779" s="45"/>
      <c r="F779" s="45"/>
      <c r="G779" s="45"/>
      <c r="H779" s="45"/>
      <c r="I779" s="45"/>
      <c r="J779" s="45"/>
    </row>
    <row r="780" spans="2:10" x14ac:dyDescent="0.35">
      <c r="B780" s="45"/>
      <c r="C780" s="45"/>
      <c r="D780" s="45"/>
      <c r="E780" s="45"/>
      <c r="F780" s="45"/>
      <c r="G780" s="45"/>
      <c r="H780" s="45"/>
      <c r="I780" s="45"/>
      <c r="J780" s="45"/>
    </row>
    <row r="781" spans="2:10" x14ac:dyDescent="0.35">
      <c r="B781" s="45"/>
      <c r="C781" s="45"/>
      <c r="D781" s="45"/>
      <c r="E781" s="45"/>
      <c r="F781" s="45"/>
      <c r="G781" s="45"/>
      <c r="H781" s="45"/>
      <c r="I781" s="45"/>
      <c r="J781" s="45"/>
    </row>
    <row r="782" spans="2:10" x14ac:dyDescent="0.35">
      <c r="B782" s="45"/>
      <c r="C782" s="45"/>
      <c r="D782" s="45"/>
      <c r="E782" s="45"/>
      <c r="F782" s="45"/>
      <c r="G782" s="45"/>
      <c r="H782" s="45"/>
      <c r="I782" s="45"/>
      <c r="J782" s="45"/>
    </row>
    <row r="783" spans="2:10" x14ac:dyDescent="0.35">
      <c r="B783" s="45"/>
      <c r="C783" s="45"/>
      <c r="D783" s="45"/>
      <c r="E783" s="45"/>
      <c r="F783" s="45"/>
      <c r="G783" s="45"/>
      <c r="H783" s="45"/>
      <c r="I783" s="45"/>
      <c r="J783" s="45"/>
    </row>
    <row r="784" spans="2:10" x14ac:dyDescent="0.35">
      <c r="B784" s="45"/>
      <c r="C784" s="45"/>
      <c r="D784" s="45"/>
      <c r="E784" s="45"/>
      <c r="F784" s="45"/>
      <c r="G784" s="45"/>
      <c r="H784" s="45"/>
      <c r="I784" s="45"/>
      <c r="J784" s="45"/>
    </row>
    <row r="785" spans="2:10" x14ac:dyDescent="0.35">
      <c r="B785" s="45"/>
      <c r="C785" s="45"/>
      <c r="D785" s="45"/>
      <c r="E785" s="45"/>
      <c r="F785" s="45"/>
      <c r="G785" s="45"/>
      <c r="H785" s="45"/>
      <c r="I785" s="45"/>
      <c r="J785" s="45"/>
    </row>
    <row r="786" spans="2:10" x14ac:dyDescent="0.35">
      <c r="B786" s="45"/>
      <c r="C786" s="45"/>
      <c r="D786" s="45"/>
      <c r="E786" s="45"/>
      <c r="F786" s="45"/>
      <c r="G786" s="45"/>
      <c r="H786" s="45"/>
      <c r="I786" s="45"/>
      <c r="J786" s="45"/>
    </row>
    <row r="787" spans="2:10" x14ac:dyDescent="0.35">
      <c r="B787" s="45"/>
      <c r="C787" s="45"/>
      <c r="D787" s="45"/>
      <c r="E787" s="45"/>
      <c r="F787" s="45"/>
      <c r="G787" s="45"/>
      <c r="H787" s="45"/>
      <c r="I787" s="45"/>
      <c r="J787" s="45"/>
    </row>
    <row r="788" spans="2:10" x14ac:dyDescent="0.35">
      <c r="B788" s="45"/>
      <c r="C788" s="45"/>
      <c r="D788" s="45"/>
      <c r="E788" s="45"/>
      <c r="F788" s="45"/>
      <c r="G788" s="45"/>
      <c r="H788" s="45"/>
      <c r="I788" s="45"/>
      <c r="J788" s="45"/>
    </row>
    <row r="789" spans="2:10" x14ac:dyDescent="0.35">
      <c r="B789" s="45"/>
      <c r="C789" s="45"/>
      <c r="D789" s="45"/>
      <c r="E789" s="45"/>
      <c r="F789" s="45"/>
      <c r="G789" s="45"/>
      <c r="H789" s="45"/>
      <c r="I789" s="45"/>
      <c r="J789" s="45"/>
    </row>
    <row r="790" spans="2:10" x14ac:dyDescent="0.35">
      <c r="B790" s="45"/>
      <c r="C790" s="45"/>
      <c r="D790" s="45"/>
      <c r="E790" s="45"/>
      <c r="F790" s="45"/>
      <c r="G790" s="45"/>
      <c r="H790" s="45"/>
      <c r="I790" s="45"/>
      <c r="J790" s="45"/>
    </row>
    <row r="791" spans="2:10" x14ac:dyDescent="0.35">
      <c r="B791" s="45"/>
      <c r="C791" s="45"/>
      <c r="D791" s="45"/>
      <c r="E791" s="45"/>
      <c r="F791" s="45"/>
      <c r="G791" s="45"/>
      <c r="H791" s="45"/>
      <c r="I791" s="45"/>
      <c r="J791" s="45"/>
    </row>
    <row r="792" spans="2:10" x14ac:dyDescent="0.35">
      <c r="B792" s="45"/>
      <c r="C792" s="45"/>
      <c r="D792" s="45"/>
      <c r="E792" s="45"/>
      <c r="F792" s="45"/>
      <c r="G792" s="45"/>
      <c r="H792" s="45"/>
      <c r="I792" s="45"/>
      <c r="J792" s="45"/>
    </row>
    <row r="793" spans="2:10" x14ac:dyDescent="0.35">
      <c r="B793" s="45"/>
      <c r="C793" s="45"/>
      <c r="D793" s="45"/>
      <c r="E793" s="45"/>
      <c r="F793" s="45"/>
      <c r="G793" s="45"/>
      <c r="H793" s="45"/>
      <c r="I793" s="45"/>
      <c r="J793" s="45"/>
    </row>
    <row r="794" spans="2:10" x14ac:dyDescent="0.35">
      <c r="B794" s="45"/>
      <c r="C794" s="45"/>
      <c r="D794" s="45"/>
      <c r="E794" s="45"/>
      <c r="F794" s="45"/>
      <c r="G794" s="45"/>
      <c r="H794" s="45"/>
      <c r="I794" s="45"/>
      <c r="J794" s="45"/>
    </row>
    <row r="795" spans="2:10" x14ac:dyDescent="0.35">
      <c r="B795" s="45"/>
      <c r="C795" s="45"/>
      <c r="D795" s="45"/>
      <c r="E795" s="45"/>
      <c r="F795" s="45"/>
      <c r="G795" s="45"/>
      <c r="H795" s="45"/>
      <c r="I795" s="45"/>
      <c r="J795" s="45"/>
    </row>
    <row r="796" spans="2:10" x14ac:dyDescent="0.35">
      <c r="B796" s="45"/>
      <c r="C796" s="45"/>
      <c r="D796" s="45"/>
      <c r="E796" s="45"/>
      <c r="F796" s="45"/>
      <c r="G796" s="45"/>
      <c r="H796" s="45"/>
      <c r="I796" s="45"/>
      <c r="J796" s="45"/>
    </row>
    <row r="797" spans="2:10" x14ac:dyDescent="0.35">
      <c r="B797" s="45"/>
      <c r="C797" s="45"/>
      <c r="D797" s="45"/>
      <c r="E797" s="45"/>
      <c r="F797" s="45"/>
      <c r="G797" s="45"/>
      <c r="H797" s="45"/>
      <c r="I797" s="45"/>
      <c r="J797" s="45"/>
    </row>
    <row r="798" spans="2:10" x14ac:dyDescent="0.35">
      <c r="B798" s="45"/>
      <c r="C798" s="45"/>
      <c r="D798" s="45"/>
      <c r="E798" s="45"/>
      <c r="F798" s="45"/>
      <c r="G798" s="45"/>
      <c r="H798" s="45"/>
      <c r="I798" s="45"/>
      <c r="J798" s="45"/>
    </row>
    <row r="799" spans="2:10" x14ac:dyDescent="0.35">
      <c r="B799" s="45"/>
      <c r="C799" s="45"/>
      <c r="D799" s="45"/>
      <c r="E799" s="45"/>
      <c r="F799" s="45"/>
      <c r="G799" s="45"/>
      <c r="H799" s="45"/>
      <c r="I799" s="45"/>
      <c r="J799" s="45"/>
    </row>
    <row r="800" spans="2:10" x14ac:dyDescent="0.35">
      <c r="B800" s="45"/>
      <c r="C800" s="45"/>
      <c r="D800" s="45"/>
      <c r="E800" s="45"/>
      <c r="F800" s="45"/>
      <c r="G800" s="45"/>
      <c r="H800" s="45"/>
      <c r="I800" s="45"/>
      <c r="J800" s="45"/>
    </row>
    <row r="801" spans="2:10" x14ac:dyDescent="0.35">
      <c r="B801" s="45"/>
      <c r="C801" s="45"/>
      <c r="D801" s="45"/>
      <c r="E801" s="45"/>
      <c r="F801" s="45"/>
      <c r="G801" s="45"/>
      <c r="H801" s="45"/>
      <c r="I801" s="45"/>
      <c r="J801" s="45"/>
    </row>
    <row r="802" spans="2:10" x14ac:dyDescent="0.35">
      <c r="B802" s="45"/>
      <c r="C802" s="45"/>
      <c r="D802" s="45"/>
      <c r="E802" s="45"/>
      <c r="F802" s="45"/>
      <c r="G802" s="45"/>
      <c r="H802" s="45"/>
      <c r="I802" s="45"/>
      <c r="J802" s="45"/>
    </row>
    <row r="803" spans="2:10" x14ac:dyDescent="0.35">
      <c r="B803" s="45"/>
      <c r="C803" s="45"/>
      <c r="D803" s="45"/>
      <c r="E803" s="45"/>
      <c r="F803" s="45"/>
      <c r="G803" s="45"/>
      <c r="H803" s="45"/>
      <c r="I803" s="45"/>
      <c r="J803" s="45"/>
    </row>
    <row r="804" spans="2:10" x14ac:dyDescent="0.35">
      <c r="B804" s="45"/>
      <c r="C804" s="45"/>
      <c r="D804" s="45"/>
      <c r="E804" s="45"/>
      <c r="F804" s="45"/>
      <c r="G804" s="45"/>
      <c r="H804" s="45"/>
      <c r="I804" s="45"/>
      <c r="J804" s="45"/>
    </row>
    <row r="805" spans="2:10" x14ac:dyDescent="0.35">
      <c r="B805" s="45"/>
      <c r="C805" s="45"/>
      <c r="D805" s="45"/>
      <c r="E805" s="45"/>
      <c r="F805" s="45"/>
      <c r="G805" s="45"/>
      <c r="H805" s="45"/>
      <c r="I805" s="45"/>
      <c r="J805" s="45"/>
    </row>
    <row r="806" spans="2:10" x14ac:dyDescent="0.35">
      <c r="B806" s="45"/>
      <c r="C806" s="45"/>
      <c r="D806" s="45"/>
      <c r="E806" s="45"/>
      <c r="F806" s="45"/>
      <c r="G806" s="45"/>
      <c r="H806" s="45"/>
      <c r="I806" s="45"/>
      <c r="J806" s="45"/>
    </row>
    <row r="807" spans="2:10" x14ac:dyDescent="0.35">
      <c r="B807" s="45"/>
      <c r="C807" s="45"/>
      <c r="D807" s="45"/>
      <c r="E807" s="45"/>
      <c r="F807" s="45"/>
      <c r="G807" s="45"/>
      <c r="H807" s="45"/>
      <c r="I807" s="45"/>
      <c r="J807" s="45"/>
    </row>
    <row r="808" spans="2:10" x14ac:dyDescent="0.35">
      <c r="B808" s="45"/>
      <c r="C808" s="45"/>
      <c r="D808" s="45"/>
      <c r="E808" s="45"/>
      <c r="F808" s="45"/>
      <c r="G808" s="45"/>
      <c r="H808" s="45"/>
      <c r="I808" s="45"/>
      <c r="J808" s="45"/>
    </row>
    <row r="809" spans="2:10" x14ac:dyDescent="0.35">
      <c r="B809" s="45"/>
      <c r="C809" s="45"/>
      <c r="D809" s="45"/>
      <c r="E809" s="45"/>
      <c r="F809" s="45"/>
      <c r="G809" s="45"/>
      <c r="H809" s="45"/>
      <c r="I809" s="45"/>
      <c r="J809" s="45"/>
    </row>
    <row r="810" spans="2:10" x14ac:dyDescent="0.35">
      <c r="B810" s="45"/>
      <c r="C810" s="45"/>
      <c r="D810" s="45"/>
      <c r="E810" s="45"/>
      <c r="F810" s="45"/>
      <c r="G810" s="45"/>
      <c r="H810" s="45"/>
      <c r="I810" s="45"/>
      <c r="J810" s="45"/>
    </row>
    <row r="811" spans="2:10" x14ac:dyDescent="0.35">
      <c r="B811" s="45"/>
      <c r="C811" s="45"/>
      <c r="D811" s="45"/>
      <c r="E811" s="45"/>
      <c r="F811" s="45"/>
      <c r="G811" s="45"/>
      <c r="H811" s="45"/>
      <c r="I811" s="45"/>
      <c r="J811" s="45"/>
    </row>
    <row r="812" spans="2:10" x14ac:dyDescent="0.35">
      <c r="B812" s="45"/>
      <c r="C812" s="45"/>
      <c r="D812" s="45"/>
      <c r="E812" s="45"/>
      <c r="F812" s="45"/>
      <c r="G812" s="45"/>
      <c r="H812" s="45"/>
      <c r="I812" s="45"/>
      <c r="J812" s="45"/>
    </row>
    <row r="813" spans="2:10" x14ac:dyDescent="0.35">
      <c r="B813" s="45"/>
      <c r="C813" s="45"/>
      <c r="D813" s="45"/>
      <c r="E813" s="45"/>
      <c r="F813" s="45"/>
      <c r="G813" s="45"/>
      <c r="H813" s="45"/>
      <c r="I813" s="45"/>
      <c r="J813" s="45"/>
    </row>
    <row r="814" spans="2:10" x14ac:dyDescent="0.35">
      <c r="B814" s="45"/>
      <c r="C814" s="45"/>
      <c r="D814" s="45"/>
      <c r="E814" s="45"/>
      <c r="F814" s="45"/>
      <c r="G814" s="45"/>
      <c r="H814" s="45"/>
      <c r="I814" s="45"/>
      <c r="J814" s="45"/>
    </row>
    <row r="815" spans="2:10" x14ac:dyDescent="0.35">
      <c r="B815" s="45"/>
      <c r="C815" s="45"/>
      <c r="D815" s="45"/>
      <c r="E815" s="45"/>
      <c r="F815" s="45"/>
      <c r="G815" s="45"/>
      <c r="H815" s="45"/>
      <c r="I815" s="45"/>
      <c r="J815" s="45"/>
    </row>
    <row r="816" spans="2:10" x14ac:dyDescent="0.35">
      <c r="B816" s="45"/>
      <c r="C816" s="45"/>
      <c r="D816" s="45"/>
      <c r="E816" s="45"/>
      <c r="F816" s="45"/>
      <c r="G816" s="45"/>
      <c r="H816" s="45"/>
      <c r="I816" s="45"/>
      <c r="J816" s="45"/>
    </row>
    <row r="817" spans="2:10" x14ac:dyDescent="0.35">
      <c r="B817" s="45"/>
      <c r="C817" s="45"/>
      <c r="D817" s="45"/>
      <c r="E817" s="45"/>
      <c r="F817" s="45"/>
      <c r="G817" s="45"/>
      <c r="H817" s="45"/>
      <c r="I817" s="45"/>
      <c r="J817" s="45"/>
    </row>
    <row r="818" spans="2:10" x14ac:dyDescent="0.35">
      <c r="B818" s="45"/>
      <c r="C818" s="45"/>
      <c r="D818" s="45"/>
      <c r="E818" s="45"/>
      <c r="F818" s="45"/>
      <c r="G818" s="45"/>
      <c r="H818" s="45"/>
      <c r="I818" s="45"/>
      <c r="J818" s="45"/>
    </row>
    <row r="819" spans="2:10" x14ac:dyDescent="0.35">
      <c r="B819" s="45"/>
      <c r="C819" s="45"/>
      <c r="D819" s="45"/>
      <c r="E819" s="45"/>
      <c r="F819" s="45"/>
      <c r="G819" s="45"/>
      <c r="H819" s="45"/>
      <c r="I819" s="45"/>
      <c r="J819" s="45"/>
    </row>
    <row r="820" spans="2:10" x14ac:dyDescent="0.35">
      <c r="B820" s="45"/>
      <c r="C820" s="45"/>
      <c r="D820" s="45"/>
      <c r="E820" s="45"/>
      <c r="F820" s="45"/>
      <c r="G820" s="45"/>
      <c r="H820" s="45"/>
      <c r="I820" s="45"/>
      <c r="J820" s="45"/>
    </row>
    <row r="821" spans="2:10" x14ac:dyDescent="0.35">
      <c r="B821" s="45"/>
      <c r="C821" s="45"/>
      <c r="D821" s="45"/>
      <c r="E821" s="45"/>
      <c r="F821" s="45"/>
      <c r="G821" s="45"/>
      <c r="H821" s="45"/>
      <c r="I821" s="45"/>
      <c r="J821" s="45"/>
    </row>
    <row r="822" spans="2:10" x14ac:dyDescent="0.35">
      <c r="B822" s="45"/>
      <c r="C822" s="45"/>
      <c r="D822" s="45"/>
      <c r="E822" s="45"/>
      <c r="F822" s="45"/>
      <c r="G822" s="45"/>
      <c r="H822" s="45"/>
      <c r="I822" s="45"/>
      <c r="J822" s="45"/>
    </row>
    <row r="823" spans="2:10" x14ac:dyDescent="0.35">
      <c r="B823" s="45"/>
      <c r="C823" s="45"/>
      <c r="D823" s="45"/>
      <c r="E823" s="45"/>
      <c r="F823" s="45"/>
      <c r="G823" s="45"/>
      <c r="H823" s="45"/>
      <c r="I823" s="45"/>
      <c r="J823" s="45"/>
    </row>
    <row r="824" spans="2:10" x14ac:dyDescent="0.35">
      <c r="B824" s="45"/>
      <c r="C824" s="45"/>
      <c r="D824" s="45"/>
      <c r="E824" s="45"/>
      <c r="F824" s="45"/>
      <c r="G824" s="45"/>
      <c r="H824" s="45"/>
      <c r="I824" s="45"/>
      <c r="J824" s="45"/>
    </row>
    <row r="825" spans="2:10" x14ac:dyDescent="0.35">
      <c r="B825" s="45"/>
      <c r="C825" s="45"/>
      <c r="D825" s="45"/>
      <c r="E825" s="45"/>
      <c r="F825" s="45"/>
      <c r="G825" s="45"/>
      <c r="H825" s="45"/>
      <c r="I825" s="45"/>
      <c r="J825" s="45"/>
    </row>
    <row r="826" spans="2:10" x14ac:dyDescent="0.35">
      <c r="B826" s="45"/>
      <c r="C826" s="45"/>
      <c r="D826" s="45"/>
      <c r="E826" s="45"/>
      <c r="F826" s="45"/>
      <c r="G826" s="45"/>
      <c r="H826" s="45"/>
      <c r="I826" s="45"/>
      <c r="J826" s="45"/>
    </row>
    <row r="827" spans="2:10" x14ac:dyDescent="0.35">
      <c r="B827" s="45"/>
      <c r="C827" s="45"/>
      <c r="D827" s="45"/>
      <c r="E827" s="45"/>
      <c r="F827" s="45"/>
      <c r="G827" s="45"/>
      <c r="H827" s="45"/>
      <c r="I827" s="45"/>
      <c r="J827" s="45"/>
    </row>
    <row r="828" spans="2:10" x14ac:dyDescent="0.35">
      <c r="B828" s="45"/>
      <c r="C828" s="45"/>
      <c r="D828" s="45"/>
      <c r="E828" s="45"/>
      <c r="F828" s="45"/>
      <c r="G828" s="45"/>
      <c r="H828" s="45"/>
      <c r="I828" s="45"/>
      <c r="J828" s="45"/>
    </row>
    <row r="829" spans="2:10" x14ac:dyDescent="0.35">
      <c r="B829" s="45"/>
      <c r="C829" s="45"/>
      <c r="D829" s="45"/>
      <c r="E829" s="45"/>
      <c r="F829" s="45"/>
      <c r="G829" s="45"/>
      <c r="H829" s="45"/>
      <c r="I829" s="45"/>
      <c r="J829" s="45"/>
    </row>
    <row r="830" spans="2:10" x14ac:dyDescent="0.35">
      <c r="B830" s="45"/>
      <c r="C830" s="45"/>
      <c r="D830" s="45"/>
      <c r="E830" s="45"/>
      <c r="F830" s="45"/>
      <c r="G830" s="45"/>
      <c r="H830" s="45"/>
      <c r="I830" s="45"/>
      <c r="J830" s="45"/>
    </row>
    <row r="831" spans="2:10" x14ac:dyDescent="0.35">
      <c r="B831" s="45"/>
      <c r="C831" s="45"/>
      <c r="D831" s="45"/>
      <c r="E831" s="45"/>
      <c r="F831" s="45"/>
      <c r="G831" s="45"/>
      <c r="H831" s="45"/>
      <c r="I831" s="45"/>
      <c r="J831" s="45"/>
    </row>
    <row r="832" spans="2:10" x14ac:dyDescent="0.35">
      <c r="B832" s="45"/>
      <c r="C832" s="45"/>
      <c r="D832" s="45"/>
      <c r="E832" s="45"/>
      <c r="F832" s="45"/>
      <c r="G832" s="45"/>
      <c r="H832" s="45"/>
      <c r="I832" s="45"/>
      <c r="J832" s="45"/>
    </row>
    <row r="833" spans="2:10" x14ac:dyDescent="0.35">
      <c r="B833" s="45"/>
      <c r="C833" s="45"/>
      <c r="D833" s="45"/>
      <c r="E833" s="45"/>
      <c r="F833" s="45"/>
      <c r="G833" s="45"/>
      <c r="H833" s="45"/>
      <c r="I833" s="45"/>
      <c r="J833" s="45"/>
    </row>
    <row r="834" spans="2:10" x14ac:dyDescent="0.35">
      <c r="B834" s="45"/>
      <c r="C834" s="45"/>
      <c r="D834" s="45"/>
      <c r="E834" s="45"/>
      <c r="F834" s="45"/>
      <c r="G834" s="45"/>
      <c r="H834" s="45"/>
      <c r="I834" s="45"/>
      <c r="J834" s="45"/>
    </row>
    <row r="835" spans="2:10" x14ac:dyDescent="0.35">
      <c r="B835" s="45"/>
      <c r="C835" s="45"/>
      <c r="D835" s="45"/>
      <c r="E835" s="45"/>
      <c r="F835" s="45"/>
      <c r="G835" s="45"/>
      <c r="H835" s="45"/>
      <c r="I835" s="45"/>
      <c r="J835" s="45"/>
    </row>
    <row r="836" spans="2:10" x14ac:dyDescent="0.35">
      <c r="B836" s="45"/>
      <c r="C836" s="45"/>
      <c r="D836" s="45"/>
      <c r="E836" s="45"/>
      <c r="F836" s="45"/>
      <c r="G836" s="45"/>
      <c r="H836" s="45"/>
      <c r="I836" s="45"/>
      <c r="J836" s="45"/>
    </row>
    <row r="837" spans="2:10" x14ac:dyDescent="0.35">
      <c r="B837" s="45"/>
      <c r="C837" s="45"/>
      <c r="D837" s="45"/>
      <c r="E837" s="45"/>
      <c r="F837" s="45"/>
      <c r="G837" s="45"/>
      <c r="H837" s="45"/>
      <c r="I837" s="45"/>
      <c r="J837" s="45"/>
    </row>
    <row r="838" spans="2:10" x14ac:dyDescent="0.35">
      <c r="B838" s="45"/>
      <c r="C838" s="45"/>
      <c r="D838" s="45"/>
      <c r="E838" s="45"/>
      <c r="F838" s="45"/>
      <c r="G838" s="45"/>
      <c r="H838" s="45"/>
      <c r="I838" s="45"/>
      <c r="J838" s="45"/>
    </row>
    <row r="839" spans="2:10" x14ac:dyDescent="0.35">
      <c r="B839" s="45"/>
      <c r="C839" s="45"/>
      <c r="D839" s="45"/>
      <c r="E839" s="45"/>
      <c r="F839" s="45"/>
      <c r="G839" s="45"/>
      <c r="H839" s="45"/>
      <c r="I839" s="45"/>
      <c r="J839" s="45"/>
    </row>
    <row r="840" spans="2:10" x14ac:dyDescent="0.35">
      <c r="B840" s="45"/>
      <c r="C840" s="45"/>
      <c r="D840" s="45"/>
      <c r="E840" s="45"/>
      <c r="F840" s="45"/>
      <c r="G840" s="45"/>
      <c r="H840" s="45"/>
      <c r="I840" s="45"/>
      <c r="J840" s="45"/>
    </row>
    <row r="841" spans="2:10" x14ac:dyDescent="0.35">
      <c r="B841" s="45"/>
      <c r="C841" s="45"/>
      <c r="D841" s="45"/>
      <c r="E841" s="45"/>
      <c r="F841" s="45"/>
      <c r="G841" s="45"/>
      <c r="H841" s="45"/>
      <c r="I841" s="45"/>
      <c r="J841" s="45"/>
    </row>
    <row r="842" spans="2:10" x14ac:dyDescent="0.35">
      <c r="B842" s="45"/>
      <c r="C842" s="45"/>
      <c r="D842" s="45"/>
      <c r="E842" s="45"/>
      <c r="F842" s="45"/>
      <c r="G842" s="45"/>
      <c r="H842" s="45"/>
      <c r="I842" s="45"/>
      <c r="J842" s="45"/>
    </row>
    <row r="843" spans="2:10" x14ac:dyDescent="0.35">
      <c r="B843" s="45"/>
      <c r="C843" s="45"/>
      <c r="D843" s="45"/>
      <c r="E843" s="45"/>
      <c r="F843" s="45"/>
      <c r="G843" s="45"/>
      <c r="H843" s="45"/>
      <c r="I843" s="45"/>
      <c r="J843" s="45"/>
    </row>
    <row r="844" spans="2:10" x14ac:dyDescent="0.35">
      <c r="B844" s="45"/>
      <c r="C844" s="45"/>
      <c r="D844" s="45"/>
      <c r="E844" s="45"/>
      <c r="F844" s="45"/>
      <c r="G844" s="45"/>
      <c r="H844" s="45"/>
      <c r="I844" s="45"/>
      <c r="J844" s="45"/>
    </row>
    <row r="845" spans="2:10" x14ac:dyDescent="0.35">
      <c r="B845" s="45"/>
      <c r="C845" s="45"/>
      <c r="D845" s="45"/>
      <c r="E845" s="45"/>
      <c r="F845" s="45"/>
      <c r="G845" s="45"/>
      <c r="H845" s="45"/>
      <c r="I845" s="45"/>
      <c r="J845" s="45"/>
    </row>
    <row r="846" spans="2:10" x14ac:dyDescent="0.35">
      <c r="B846" s="45"/>
      <c r="C846" s="45"/>
      <c r="D846" s="45"/>
      <c r="E846" s="45"/>
      <c r="F846" s="45"/>
      <c r="G846" s="45"/>
      <c r="H846" s="45"/>
      <c r="I846" s="45"/>
      <c r="J846" s="45"/>
    </row>
    <row r="847" spans="2:10" x14ac:dyDescent="0.35">
      <c r="B847" s="45"/>
      <c r="C847" s="45"/>
      <c r="D847" s="45"/>
      <c r="E847" s="45"/>
      <c r="F847" s="45"/>
      <c r="G847" s="45"/>
      <c r="H847" s="45"/>
      <c r="I847" s="45"/>
      <c r="J847" s="45"/>
    </row>
    <row r="848" spans="2:10" x14ac:dyDescent="0.35">
      <c r="B848" s="45"/>
      <c r="C848" s="45"/>
      <c r="D848" s="45"/>
      <c r="E848" s="45"/>
      <c r="F848" s="45"/>
      <c r="G848" s="45"/>
      <c r="H848" s="45"/>
      <c r="I848" s="45"/>
      <c r="J848" s="45"/>
    </row>
    <row r="849" spans="2:10" x14ac:dyDescent="0.35">
      <c r="B849" s="45"/>
      <c r="C849" s="45"/>
      <c r="D849" s="45"/>
      <c r="E849" s="45"/>
      <c r="F849" s="45"/>
      <c r="G849" s="45"/>
      <c r="H849" s="45"/>
      <c r="I849" s="45"/>
      <c r="J849" s="45"/>
    </row>
    <row r="850" spans="2:10" x14ac:dyDescent="0.35">
      <c r="B850" s="45"/>
      <c r="C850" s="45"/>
      <c r="D850" s="45"/>
      <c r="E850" s="45"/>
      <c r="F850" s="45"/>
      <c r="G850" s="45"/>
      <c r="H850" s="45"/>
      <c r="I850" s="45"/>
      <c r="J850" s="45"/>
    </row>
    <row r="851" spans="2:10" x14ac:dyDescent="0.35">
      <c r="B851" s="45"/>
      <c r="C851" s="45"/>
      <c r="D851" s="45"/>
      <c r="E851" s="45"/>
      <c r="F851" s="45"/>
      <c r="G851" s="45"/>
      <c r="H851" s="45"/>
      <c r="I851" s="45"/>
      <c r="J851" s="45"/>
    </row>
    <row r="852" spans="2:10" x14ac:dyDescent="0.35">
      <c r="B852" s="45"/>
      <c r="C852" s="45"/>
      <c r="D852" s="45"/>
      <c r="E852" s="45"/>
      <c r="F852" s="45"/>
      <c r="G852" s="45"/>
      <c r="H852" s="45"/>
      <c r="I852" s="45"/>
      <c r="J852" s="45"/>
    </row>
    <row r="853" spans="2:10" x14ac:dyDescent="0.35">
      <c r="B853" s="45"/>
      <c r="C853" s="45"/>
      <c r="D853" s="45"/>
      <c r="E853" s="45"/>
      <c r="F853" s="45"/>
      <c r="G853" s="45"/>
      <c r="H853" s="45"/>
      <c r="I853" s="45"/>
      <c r="J853" s="45"/>
    </row>
    <row r="854" spans="2:10" x14ac:dyDescent="0.35">
      <c r="B854" s="45"/>
      <c r="C854" s="45"/>
      <c r="D854" s="45"/>
      <c r="E854" s="45"/>
      <c r="F854" s="45"/>
      <c r="G854" s="45"/>
      <c r="H854" s="45"/>
      <c r="I854" s="45"/>
      <c r="J854" s="45"/>
    </row>
    <row r="855" spans="2:10" x14ac:dyDescent="0.35">
      <c r="B855" s="45"/>
      <c r="C855" s="45"/>
      <c r="D855" s="45"/>
      <c r="E855" s="45"/>
      <c r="F855" s="45"/>
      <c r="G855" s="45"/>
      <c r="H855" s="45"/>
      <c r="I855" s="45"/>
      <c r="J855" s="45"/>
    </row>
    <row r="856" spans="2:10" x14ac:dyDescent="0.35">
      <c r="B856" s="45"/>
      <c r="C856" s="45"/>
      <c r="D856" s="45"/>
      <c r="E856" s="45"/>
      <c r="F856" s="45"/>
      <c r="G856" s="45"/>
      <c r="H856" s="45"/>
      <c r="I856" s="45"/>
      <c r="J856" s="45"/>
    </row>
    <row r="857" spans="2:10" x14ac:dyDescent="0.35">
      <c r="B857" s="45"/>
      <c r="C857" s="45"/>
      <c r="D857" s="45"/>
      <c r="E857" s="45"/>
      <c r="F857" s="45"/>
      <c r="G857" s="45"/>
      <c r="H857" s="45"/>
      <c r="I857" s="45"/>
      <c r="J857" s="45"/>
    </row>
    <row r="858" spans="2:10" x14ac:dyDescent="0.35">
      <c r="B858" s="45"/>
      <c r="C858" s="45"/>
      <c r="D858" s="45"/>
      <c r="E858" s="45"/>
      <c r="F858" s="45"/>
      <c r="G858" s="45"/>
      <c r="H858" s="45"/>
      <c r="I858" s="45"/>
      <c r="J858" s="45"/>
    </row>
    <row r="859" spans="2:10" x14ac:dyDescent="0.35">
      <c r="B859" s="45"/>
      <c r="C859" s="45"/>
      <c r="D859" s="45"/>
      <c r="E859" s="45"/>
      <c r="F859" s="45"/>
      <c r="G859" s="45"/>
      <c r="H859" s="45"/>
      <c r="I859" s="45"/>
      <c r="J859" s="45"/>
    </row>
    <row r="860" spans="2:10" x14ac:dyDescent="0.35">
      <c r="B860" s="45"/>
      <c r="C860" s="45"/>
      <c r="D860" s="45"/>
      <c r="E860" s="45"/>
      <c r="F860" s="45"/>
      <c r="G860" s="45"/>
      <c r="H860" s="45"/>
      <c r="I860" s="45"/>
      <c r="J860" s="45"/>
    </row>
    <row r="861" spans="2:10" x14ac:dyDescent="0.35">
      <c r="B861" s="45"/>
      <c r="C861" s="45"/>
      <c r="D861" s="45"/>
      <c r="E861" s="45"/>
      <c r="F861" s="45"/>
      <c r="G861" s="45"/>
      <c r="H861" s="45"/>
      <c r="I861" s="45"/>
      <c r="J861" s="45"/>
    </row>
    <row r="862" spans="2:10" x14ac:dyDescent="0.35">
      <c r="B862" s="45"/>
      <c r="C862" s="45"/>
      <c r="D862" s="45"/>
      <c r="E862" s="45"/>
      <c r="F862" s="45"/>
      <c r="G862" s="45"/>
      <c r="H862" s="45"/>
      <c r="I862" s="45"/>
      <c r="J862" s="45"/>
    </row>
    <row r="863" spans="2:10" x14ac:dyDescent="0.35">
      <c r="B863" s="45"/>
      <c r="C863" s="45"/>
      <c r="D863" s="45"/>
      <c r="E863" s="45"/>
      <c r="F863" s="45"/>
      <c r="G863" s="45"/>
      <c r="H863" s="45"/>
      <c r="I863" s="45"/>
      <c r="J863" s="45"/>
    </row>
    <row r="864" spans="2:10" x14ac:dyDescent="0.35">
      <c r="B864" s="45"/>
      <c r="C864" s="45"/>
      <c r="D864" s="45"/>
      <c r="E864" s="45"/>
      <c r="F864" s="45"/>
      <c r="G864" s="45"/>
      <c r="H864" s="45"/>
      <c r="I864" s="45"/>
      <c r="J864" s="45"/>
    </row>
    <row r="865" spans="2:10" x14ac:dyDescent="0.35">
      <c r="B865" s="45"/>
      <c r="C865" s="45"/>
      <c r="D865" s="45"/>
      <c r="E865" s="45"/>
      <c r="F865" s="45"/>
      <c r="G865" s="45"/>
      <c r="H865" s="45"/>
      <c r="I865" s="45"/>
      <c r="J865" s="45"/>
    </row>
    <row r="866" spans="2:10" x14ac:dyDescent="0.35">
      <c r="B866" s="45"/>
      <c r="C866" s="45"/>
      <c r="D866" s="45"/>
      <c r="E866" s="45"/>
      <c r="F866" s="45"/>
      <c r="G866" s="45"/>
      <c r="H866" s="45"/>
      <c r="I866" s="45"/>
      <c r="J866" s="45"/>
    </row>
    <row r="867" spans="2:10" x14ac:dyDescent="0.35">
      <c r="B867" s="45"/>
      <c r="C867" s="45"/>
      <c r="D867" s="45"/>
      <c r="E867" s="45"/>
      <c r="F867" s="45"/>
      <c r="G867" s="45"/>
      <c r="H867" s="45"/>
      <c r="I867" s="45"/>
      <c r="J867" s="45"/>
    </row>
    <row r="868" spans="2:10" x14ac:dyDescent="0.35">
      <c r="B868" s="45"/>
      <c r="C868" s="45"/>
      <c r="D868" s="45"/>
      <c r="E868" s="45"/>
      <c r="F868" s="45"/>
      <c r="G868" s="45"/>
      <c r="H868" s="45"/>
      <c r="I868" s="45"/>
      <c r="J868" s="45"/>
    </row>
    <row r="869" spans="2:10" x14ac:dyDescent="0.35">
      <c r="B869" s="45"/>
      <c r="C869" s="45"/>
      <c r="D869" s="45"/>
      <c r="E869" s="45"/>
      <c r="F869" s="45"/>
      <c r="G869" s="45"/>
      <c r="H869" s="45"/>
      <c r="I869" s="45"/>
      <c r="J869" s="45"/>
    </row>
    <row r="870" spans="2:10" x14ac:dyDescent="0.35">
      <c r="B870" s="45"/>
      <c r="C870" s="45"/>
      <c r="D870" s="45"/>
      <c r="E870" s="45"/>
      <c r="F870" s="45"/>
      <c r="G870" s="45"/>
      <c r="H870" s="45"/>
      <c r="I870" s="45"/>
      <c r="J870" s="45"/>
    </row>
    <row r="871" spans="2:10" x14ac:dyDescent="0.35">
      <c r="B871" s="45"/>
      <c r="C871" s="45"/>
      <c r="D871" s="45"/>
      <c r="E871" s="45"/>
      <c r="F871" s="45"/>
      <c r="G871" s="45"/>
      <c r="H871" s="45"/>
      <c r="I871" s="45"/>
      <c r="J871" s="45"/>
    </row>
    <row r="872" spans="2:10" x14ac:dyDescent="0.35">
      <c r="B872" s="45"/>
      <c r="C872" s="45"/>
      <c r="D872" s="45"/>
      <c r="E872" s="45"/>
      <c r="F872" s="45"/>
      <c r="G872" s="45"/>
      <c r="H872" s="45"/>
      <c r="I872" s="45"/>
      <c r="J872" s="45"/>
    </row>
    <row r="873" spans="2:10" x14ac:dyDescent="0.35">
      <c r="B873" s="45"/>
      <c r="C873" s="45"/>
      <c r="D873" s="45"/>
      <c r="E873" s="45"/>
      <c r="F873" s="45"/>
      <c r="G873" s="45"/>
      <c r="H873" s="45"/>
      <c r="I873" s="45"/>
      <c r="J873" s="45"/>
    </row>
    <row r="874" spans="2:10" x14ac:dyDescent="0.35">
      <c r="B874" s="45"/>
      <c r="C874" s="45"/>
      <c r="D874" s="45"/>
      <c r="E874" s="45"/>
      <c r="F874" s="45"/>
      <c r="G874" s="45"/>
      <c r="H874" s="45"/>
      <c r="I874" s="45"/>
      <c r="J874" s="45"/>
    </row>
    <row r="875" spans="2:10" x14ac:dyDescent="0.35">
      <c r="B875" s="45"/>
      <c r="C875" s="45"/>
      <c r="D875" s="45"/>
      <c r="E875" s="45"/>
      <c r="F875" s="45"/>
      <c r="G875" s="45"/>
      <c r="H875" s="45"/>
      <c r="I875" s="45"/>
      <c r="J875" s="45"/>
    </row>
    <row r="876" spans="2:10" x14ac:dyDescent="0.35">
      <c r="B876" s="45"/>
      <c r="C876" s="45"/>
      <c r="D876" s="45"/>
      <c r="E876" s="45"/>
      <c r="F876" s="45"/>
      <c r="G876" s="45"/>
      <c r="H876" s="45"/>
      <c r="I876" s="45"/>
      <c r="J876" s="45"/>
    </row>
    <row r="877" spans="2:10" x14ac:dyDescent="0.35">
      <c r="B877" s="45"/>
      <c r="C877" s="45"/>
      <c r="D877" s="45"/>
      <c r="E877" s="45"/>
      <c r="F877" s="45"/>
      <c r="G877" s="45"/>
      <c r="H877" s="45"/>
      <c r="I877" s="45"/>
      <c r="J877" s="45"/>
    </row>
    <row r="878" spans="2:10" x14ac:dyDescent="0.35">
      <c r="B878" s="45"/>
      <c r="C878" s="45"/>
      <c r="D878" s="45"/>
      <c r="E878" s="45"/>
      <c r="F878" s="45"/>
      <c r="G878" s="45"/>
      <c r="H878" s="45"/>
      <c r="I878" s="45"/>
      <c r="J878" s="45"/>
    </row>
    <row r="879" spans="2:10" x14ac:dyDescent="0.35">
      <c r="B879" s="45"/>
      <c r="C879" s="45"/>
      <c r="D879" s="45"/>
      <c r="E879" s="45"/>
      <c r="F879" s="45"/>
      <c r="G879" s="45"/>
      <c r="H879" s="45"/>
      <c r="I879" s="45"/>
      <c r="J879" s="45"/>
    </row>
    <row r="880" spans="2:10" x14ac:dyDescent="0.35">
      <c r="B880" s="45"/>
      <c r="C880" s="45"/>
      <c r="D880" s="45"/>
      <c r="E880" s="45"/>
      <c r="F880" s="45"/>
      <c r="G880" s="45"/>
      <c r="H880" s="45"/>
      <c r="I880" s="45"/>
      <c r="J880" s="45"/>
    </row>
    <row r="881" spans="2:10" x14ac:dyDescent="0.35">
      <c r="B881" s="45"/>
      <c r="C881" s="45"/>
      <c r="D881" s="45"/>
      <c r="E881" s="45"/>
      <c r="F881" s="45"/>
      <c r="G881" s="45"/>
      <c r="H881" s="45"/>
      <c r="I881" s="45"/>
      <c r="J881" s="45"/>
    </row>
    <row r="882" spans="2:10" x14ac:dyDescent="0.35">
      <c r="B882" s="45"/>
      <c r="C882" s="45"/>
      <c r="D882" s="45"/>
      <c r="E882" s="45"/>
      <c r="F882" s="45"/>
      <c r="G882" s="45"/>
      <c r="H882" s="45"/>
      <c r="I882" s="45"/>
      <c r="J882" s="45"/>
    </row>
    <row r="883" spans="2:10" x14ac:dyDescent="0.35">
      <c r="B883" s="45"/>
      <c r="C883" s="45"/>
      <c r="D883" s="45"/>
      <c r="E883" s="45"/>
      <c r="F883" s="45"/>
      <c r="G883" s="45"/>
      <c r="H883" s="45"/>
      <c r="I883" s="45"/>
      <c r="J883" s="45"/>
    </row>
    <row r="884" spans="2:10" x14ac:dyDescent="0.35">
      <c r="B884" s="45"/>
      <c r="C884" s="45"/>
      <c r="D884" s="45"/>
      <c r="E884" s="45"/>
      <c r="F884" s="45"/>
      <c r="G884" s="45"/>
      <c r="H884" s="45"/>
      <c r="I884" s="45"/>
      <c r="J884" s="45"/>
    </row>
    <row r="885" spans="2:10" x14ac:dyDescent="0.35">
      <c r="B885" s="45"/>
      <c r="C885" s="45"/>
      <c r="D885" s="45"/>
      <c r="E885" s="45"/>
      <c r="F885" s="45"/>
      <c r="G885" s="45"/>
      <c r="H885" s="45"/>
      <c r="I885" s="45"/>
      <c r="J885" s="45"/>
    </row>
    <row r="886" spans="2:10" x14ac:dyDescent="0.35">
      <c r="B886" s="45"/>
      <c r="C886" s="45"/>
      <c r="D886" s="45"/>
      <c r="E886" s="45"/>
      <c r="F886" s="45"/>
      <c r="G886" s="45"/>
      <c r="H886" s="45"/>
      <c r="I886" s="45"/>
      <c r="J886" s="45"/>
    </row>
    <row r="887" spans="2:10" x14ac:dyDescent="0.35">
      <c r="B887" s="45"/>
      <c r="C887" s="45"/>
      <c r="D887" s="45"/>
      <c r="E887" s="45"/>
      <c r="F887" s="45"/>
      <c r="G887" s="45"/>
      <c r="H887" s="45"/>
      <c r="I887" s="45"/>
      <c r="J887" s="45"/>
    </row>
    <row r="888" spans="2:10" x14ac:dyDescent="0.35">
      <c r="B888" s="45"/>
      <c r="C888" s="45"/>
      <c r="D888" s="45"/>
      <c r="E888" s="45"/>
      <c r="F888" s="45"/>
      <c r="G888" s="45"/>
      <c r="H888" s="45"/>
      <c r="I888" s="45"/>
      <c r="J888" s="45"/>
    </row>
    <row r="889" spans="2:10" x14ac:dyDescent="0.35">
      <c r="B889" s="45"/>
      <c r="C889" s="45"/>
      <c r="D889" s="45"/>
      <c r="E889" s="45"/>
      <c r="F889" s="45"/>
      <c r="G889" s="45"/>
      <c r="H889" s="45"/>
      <c r="I889" s="45"/>
      <c r="J889" s="45"/>
    </row>
    <row r="890" spans="2:10" x14ac:dyDescent="0.35">
      <c r="B890" s="45"/>
      <c r="C890" s="45"/>
      <c r="D890" s="45"/>
      <c r="E890" s="45"/>
      <c r="F890" s="45"/>
      <c r="G890" s="45"/>
      <c r="H890" s="45"/>
      <c r="I890" s="45"/>
      <c r="J890" s="45"/>
    </row>
    <row r="891" spans="2:10" x14ac:dyDescent="0.35">
      <c r="B891" s="45"/>
      <c r="C891" s="45"/>
      <c r="D891" s="45"/>
      <c r="E891" s="45"/>
      <c r="F891" s="45"/>
      <c r="G891" s="45"/>
      <c r="H891" s="45"/>
      <c r="I891" s="45"/>
      <c r="J891" s="45"/>
    </row>
    <row r="892" spans="2:10" x14ac:dyDescent="0.35">
      <c r="B892" s="45"/>
      <c r="C892" s="45"/>
      <c r="D892" s="45"/>
      <c r="E892" s="45"/>
      <c r="F892" s="45"/>
      <c r="G892" s="45"/>
      <c r="H892" s="45"/>
      <c r="I892" s="45"/>
      <c r="J892" s="45"/>
    </row>
    <row r="893" spans="2:10" x14ac:dyDescent="0.35">
      <c r="B893" s="45"/>
      <c r="C893" s="45"/>
      <c r="D893" s="45"/>
      <c r="E893" s="45"/>
      <c r="F893" s="45"/>
      <c r="G893" s="45"/>
      <c r="H893" s="45"/>
      <c r="I893" s="45"/>
      <c r="J893" s="45"/>
    </row>
    <row r="894" spans="2:10" x14ac:dyDescent="0.35">
      <c r="B894" s="45"/>
      <c r="C894" s="45"/>
      <c r="D894" s="45"/>
      <c r="E894" s="45"/>
      <c r="F894" s="45"/>
      <c r="G894" s="45"/>
      <c r="H894" s="45"/>
      <c r="I894" s="45"/>
      <c r="J894" s="45"/>
    </row>
    <row r="895" spans="2:10" x14ac:dyDescent="0.35">
      <c r="B895" s="45"/>
      <c r="C895" s="45"/>
      <c r="D895" s="45"/>
      <c r="E895" s="45"/>
      <c r="F895" s="45"/>
      <c r="G895" s="45"/>
      <c r="H895" s="45"/>
      <c r="I895" s="45"/>
      <c r="J895" s="45"/>
    </row>
    <row r="896" spans="2:10" x14ac:dyDescent="0.35">
      <c r="B896" s="45"/>
      <c r="C896" s="45"/>
      <c r="D896" s="45"/>
      <c r="E896" s="45"/>
      <c r="F896" s="45"/>
      <c r="G896" s="45"/>
      <c r="H896" s="45"/>
      <c r="I896" s="45"/>
      <c r="J896" s="45"/>
    </row>
    <row r="897" spans="2:10" x14ac:dyDescent="0.35">
      <c r="B897" s="45"/>
      <c r="C897" s="45"/>
      <c r="D897" s="45"/>
      <c r="E897" s="45"/>
      <c r="F897" s="45"/>
      <c r="G897" s="45"/>
      <c r="H897" s="45"/>
      <c r="I897" s="45"/>
      <c r="J897" s="45"/>
    </row>
    <row r="898" spans="2:10" x14ac:dyDescent="0.35">
      <c r="B898" s="45"/>
      <c r="C898" s="45"/>
      <c r="D898" s="45"/>
      <c r="E898" s="45"/>
      <c r="F898" s="45"/>
      <c r="G898" s="45"/>
      <c r="H898" s="45"/>
      <c r="I898" s="45"/>
      <c r="J898" s="45"/>
    </row>
    <row r="899" spans="2:10" x14ac:dyDescent="0.35">
      <c r="B899" s="45"/>
      <c r="C899" s="45"/>
      <c r="D899" s="45"/>
      <c r="E899" s="45"/>
      <c r="F899" s="45"/>
      <c r="G899" s="45"/>
      <c r="H899" s="45"/>
      <c r="I899" s="45"/>
      <c r="J899" s="45"/>
    </row>
    <row r="900" spans="2:10" x14ac:dyDescent="0.35">
      <c r="B900" s="45"/>
      <c r="C900" s="45"/>
      <c r="D900" s="45"/>
      <c r="E900" s="45"/>
      <c r="F900" s="45"/>
      <c r="G900" s="45"/>
      <c r="H900" s="45"/>
      <c r="I900" s="45"/>
      <c r="J900" s="45"/>
    </row>
    <row r="901" spans="2:10" x14ac:dyDescent="0.35">
      <c r="B901" s="45"/>
      <c r="C901" s="45"/>
      <c r="D901" s="45"/>
      <c r="E901" s="45"/>
      <c r="F901" s="45"/>
      <c r="G901" s="45"/>
      <c r="H901" s="45"/>
      <c r="I901" s="45"/>
      <c r="J901" s="45"/>
    </row>
    <row r="902" spans="2:10" x14ac:dyDescent="0.35">
      <c r="B902" s="45"/>
      <c r="C902" s="45"/>
      <c r="D902" s="45"/>
      <c r="E902" s="45"/>
      <c r="F902" s="45"/>
      <c r="G902" s="45"/>
      <c r="H902" s="45"/>
      <c r="I902" s="45"/>
      <c r="J902" s="45"/>
    </row>
    <row r="903" spans="2:10" x14ac:dyDescent="0.35">
      <c r="B903" s="45"/>
      <c r="C903" s="45"/>
      <c r="D903" s="45"/>
      <c r="E903" s="45"/>
      <c r="F903" s="45"/>
      <c r="G903" s="45"/>
      <c r="H903" s="45"/>
      <c r="I903" s="45"/>
      <c r="J903" s="45"/>
    </row>
    <row r="904" spans="2:10" x14ac:dyDescent="0.35">
      <c r="B904" s="45"/>
      <c r="C904" s="45"/>
      <c r="D904" s="45"/>
      <c r="E904" s="45"/>
      <c r="F904" s="45"/>
      <c r="G904" s="45"/>
      <c r="H904" s="45"/>
      <c r="I904" s="45"/>
      <c r="J904" s="45"/>
    </row>
    <row r="905" spans="2:10" x14ac:dyDescent="0.35">
      <c r="B905" s="45"/>
      <c r="C905" s="45"/>
      <c r="D905" s="45"/>
      <c r="E905" s="45"/>
      <c r="F905" s="45"/>
      <c r="G905" s="45"/>
      <c r="H905" s="45"/>
      <c r="I905" s="45"/>
      <c r="J905" s="45"/>
    </row>
    <row r="906" spans="2:10" x14ac:dyDescent="0.35">
      <c r="B906" s="45"/>
      <c r="C906" s="45"/>
      <c r="D906" s="45"/>
      <c r="E906" s="45"/>
      <c r="F906" s="45"/>
      <c r="G906" s="45"/>
      <c r="H906" s="45"/>
      <c r="I906" s="45"/>
      <c r="J906" s="45"/>
    </row>
    <row r="907" spans="2:10" x14ac:dyDescent="0.35">
      <c r="B907" s="45"/>
      <c r="C907" s="45"/>
      <c r="D907" s="45"/>
      <c r="E907" s="45"/>
      <c r="F907" s="45"/>
      <c r="G907" s="45"/>
      <c r="H907" s="45"/>
      <c r="I907" s="45"/>
      <c r="J907" s="45"/>
    </row>
    <row r="908" spans="2:10" x14ac:dyDescent="0.35">
      <c r="B908" s="45"/>
      <c r="C908" s="45"/>
      <c r="D908" s="45"/>
      <c r="E908" s="45"/>
      <c r="F908" s="45"/>
      <c r="G908" s="45"/>
      <c r="H908" s="45"/>
      <c r="I908" s="45"/>
      <c r="J908" s="45"/>
    </row>
    <row r="909" spans="2:10" x14ac:dyDescent="0.35">
      <c r="B909" s="45"/>
      <c r="C909" s="45"/>
      <c r="D909" s="45"/>
      <c r="E909" s="45"/>
      <c r="F909" s="45"/>
      <c r="G909" s="45"/>
      <c r="H909" s="45"/>
      <c r="I909" s="45"/>
      <c r="J909" s="45"/>
    </row>
    <row r="910" spans="2:10" x14ac:dyDescent="0.35">
      <c r="B910" s="45"/>
      <c r="C910" s="45"/>
      <c r="D910" s="45"/>
      <c r="E910" s="45"/>
      <c r="F910" s="45"/>
      <c r="G910" s="45"/>
      <c r="H910" s="45"/>
      <c r="I910" s="45"/>
      <c r="J910" s="45"/>
    </row>
    <row r="911" spans="2:10" x14ac:dyDescent="0.35">
      <c r="B911" s="45"/>
      <c r="C911" s="45"/>
      <c r="D911" s="45"/>
      <c r="E911" s="45"/>
      <c r="F911" s="45"/>
      <c r="G911" s="45"/>
      <c r="H911" s="45"/>
      <c r="I911" s="45"/>
      <c r="J911" s="45"/>
    </row>
    <row r="912" spans="2:10" x14ac:dyDescent="0.35">
      <c r="B912" s="45"/>
      <c r="C912" s="45"/>
      <c r="D912" s="45"/>
      <c r="E912" s="45"/>
      <c r="F912" s="45"/>
      <c r="G912" s="45"/>
      <c r="H912" s="45"/>
      <c r="I912" s="45"/>
      <c r="J912" s="45"/>
    </row>
    <row r="913" spans="2:10" x14ac:dyDescent="0.35">
      <c r="B913" s="45"/>
      <c r="C913" s="45"/>
      <c r="D913" s="45"/>
      <c r="E913" s="45"/>
      <c r="F913" s="45"/>
      <c r="G913" s="45"/>
      <c r="H913" s="45"/>
      <c r="I913" s="45"/>
      <c r="J913" s="45"/>
    </row>
    <row r="914" spans="2:10" x14ac:dyDescent="0.35">
      <c r="B914" s="45"/>
      <c r="C914" s="45"/>
      <c r="D914" s="45"/>
      <c r="E914" s="45"/>
      <c r="F914" s="45"/>
      <c r="G914" s="45"/>
      <c r="H914" s="45"/>
      <c r="I914" s="45"/>
      <c r="J914" s="45"/>
    </row>
    <row r="915" spans="2:10" x14ac:dyDescent="0.35">
      <c r="B915" s="45"/>
      <c r="C915" s="45"/>
      <c r="D915" s="45"/>
      <c r="E915" s="45"/>
      <c r="F915" s="45"/>
      <c r="G915" s="45"/>
      <c r="H915" s="45"/>
      <c r="I915" s="45"/>
      <c r="J915" s="45"/>
    </row>
    <row r="916" spans="2:10" x14ac:dyDescent="0.35">
      <c r="B916" s="45"/>
      <c r="C916" s="45"/>
      <c r="D916" s="45"/>
      <c r="E916" s="45"/>
      <c r="F916" s="45"/>
      <c r="G916" s="45"/>
      <c r="H916" s="45"/>
      <c r="I916" s="45"/>
      <c r="J916" s="45"/>
    </row>
    <row r="917" spans="2:10" x14ac:dyDescent="0.35">
      <c r="B917" s="45"/>
      <c r="C917" s="45"/>
      <c r="D917" s="45"/>
      <c r="E917" s="45"/>
      <c r="F917" s="45"/>
      <c r="G917" s="45"/>
      <c r="H917" s="45"/>
      <c r="I917" s="45"/>
      <c r="J917" s="45"/>
    </row>
    <row r="918" spans="2:10" x14ac:dyDescent="0.35">
      <c r="B918" s="45"/>
      <c r="C918" s="45"/>
      <c r="D918" s="45"/>
      <c r="E918" s="45"/>
      <c r="F918" s="45"/>
      <c r="G918" s="45"/>
      <c r="H918" s="45"/>
      <c r="I918" s="45"/>
      <c r="J918" s="45"/>
    </row>
    <row r="919" spans="2:10" x14ac:dyDescent="0.35">
      <c r="B919" s="45"/>
      <c r="C919" s="45"/>
      <c r="D919" s="45"/>
      <c r="E919" s="45"/>
      <c r="F919" s="45"/>
      <c r="G919" s="45"/>
      <c r="H919" s="45"/>
      <c r="I919" s="45"/>
      <c r="J919" s="45"/>
    </row>
    <row r="920" spans="2:10" x14ac:dyDescent="0.35">
      <c r="B920" s="45"/>
      <c r="C920" s="45"/>
      <c r="D920" s="45"/>
      <c r="E920" s="45"/>
      <c r="F920" s="45"/>
      <c r="G920" s="45"/>
      <c r="H920" s="45"/>
      <c r="I920" s="45"/>
      <c r="J920" s="45"/>
    </row>
    <row r="921" spans="2:10" x14ac:dyDescent="0.35">
      <c r="B921" s="45"/>
      <c r="C921" s="45"/>
      <c r="D921" s="45"/>
      <c r="E921" s="45"/>
      <c r="F921" s="45"/>
      <c r="G921" s="45"/>
      <c r="H921" s="45"/>
      <c r="I921" s="45"/>
      <c r="J921" s="45"/>
    </row>
    <row r="922" spans="2:10" x14ac:dyDescent="0.35">
      <c r="B922" s="45"/>
      <c r="C922" s="45"/>
      <c r="D922" s="45"/>
      <c r="E922" s="45"/>
      <c r="F922" s="45"/>
      <c r="G922" s="45"/>
      <c r="H922" s="45"/>
      <c r="I922" s="45"/>
      <c r="J922" s="45"/>
    </row>
    <row r="923" spans="2:10" x14ac:dyDescent="0.35">
      <c r="B923" s="45"/>
      <c r="C923" s="45"/>
      <c r="D923" s="45"/>
      <c r="E923" s="45"/>
      <c r="F923" s="45"/>
      <c r="G923" s="45"/>
      <c r="H923" s="45"/>
      <c r="I923" s="45"/>
      <c r="J923" s="45"/>
    </row>
    <row r="924" spans="2:10" x14ac:dyDescent="0.35">
      <c r="B924" s="45"/>
      <c r="C924" s="45"/>
      <c r="D924" s="45"/>
      <c r="E924" s="45"/>
      <c r="F924" s="45"/>
      <c r="G924" s="45"/>
      <c r="H924" s="45"/>
      <c r="I924" s="45"/>
      <c r="J924" s="45"/>
    </row>
    <row r="925" spans="2:10" x14ac:dyDescent="0.35">
      <c r="B925" s="45"/>
      <c r="C925" s="45"/>
      <c r="D925" s="45"/>
      <c r="E925" s="45"/>
      <c r="F925" s="45"/>
      <c r="G925" s="45"/>
      <c r="H925" s="45"/>
      <c r="I925" s="45"/>
      <c r="J925" s="45"/>
    </row>
    <row r="926" spans="2:10" x14ac:dyDescent="0.35">
      <c r="B926" s="45"/>
      <c r="C926" s="45"/>
      <c r="D926" s="45"/>
      <c r="E926" s="45"/>
      <c r="F926" s="45"/>
      <c r="G926" s="45"/>
      <c r="H926" s="45"/>
      <c r="I926" s="45"/>
      <c r="J926" s="45"/>
    </row>
    <row r="927" spans="2:10" x14ac:dyDescent="0.35">
      <c r="B927" s="45"/>
      <c r="C927" s="45"/>
      <c r="D927" s="45"/>
      <c r="E927" s="45"/>
      <c r="F927" s="45"/>
      <c r="G927" s="45"/>
      <c r="H927" s="45"/>
      <c r="I927" s="45"/>
      <c r="J927" s="45"/>
    </row>
    <row r="928" spans="2:10" x14ac:dyDescent="0.35">
      <c r="B928" s="45"/>
      <c r="C928" s="45"/>
      <c r="D928" s="45"/>
      <c r="E928" s="45"/>
      <c r="F928" s="45"/>
      <c r="G928" s="45"/>
      <c r="H928" s="45"/>
      <c r="I928" s="45"/>
      <c r="J928" s="45"/>
    </row>
    <row r="929" spans="2:10" x14ac:dyDescent="0.35">
      <c r="B929" s="45"/>
      <c r="C929" s="45"/>
      <c r="D929" s="45"/>
      <c r="E929" s="45"/>
      <c r="F929" s="45"/>
      <c r="G929" s="45"/>
      <c r="H929" s="45"/>
      <c r="I929" s="45"/>
      <c r="J929" s="45"/>
    </row>
    <row r="930" spans="2:10" x14ac:dyDescent="0.35">
      <c r="B930" s="45"/>
      <c r="C930" s="45"/>
      <c r="D930" s="45"/>
      <c r="E930" s="45"/>
      <c r="F930" s="45"/>
      <c r="G930" s="45"/>
      <c r="H930" s="45"/>
      <c r="I930" s="45"/>
      <c r="J930" s="45"/>
    </row>
    <row r="931" spans="2:10" x14ac:dyDescent="0.35">
      <c r="B931" s="45"/>
      <c r="C931" s="45"/>
      <c r="D931" s="45"/>
      <c r="E931" s="45"/>
      <c r="F931" s="45"/>
      <c r="G931" s="45"/>
      <c r="H931" s="45"/>
      <c r="I931" s="45"/>
      <c r="J931" s="45"/>
    </row>
    <row r="932" spans="2:10" x14ac:dyDescent="0.35">
      <c r="B932" s="45"/>
      <c r="C932" s="45"/>
      <c r="D932" s="45"/>
      <c r="E932" s="45"/>
      <c r="F932" s="45"/>
      <c r="G932" s="45"/>
      <c r="H932" s="45"/>
      <c r="I932" s="45"/>
      <c r="J932" s="45"/>
    </row>
    <row r="933" spans="2:10" x14ac:dyDescent="0.35">
      <c r="B933" s="45"/>
      <c r="C933" s="45"/>
      <c r="D933" s="45"/>
      <c r="E933" s="45"/>
      <c r="F933" s="45"/>
      <c r="G933" s="45"/>
      <c r="H933" s="45"/>
      <c r="I933" s="45"/>
      <c r="J933" s="45"/>
    </row>
    <row r="934" spans="2:10" x14ac:dyDescent="0.35">
      <c r="B934" s="45"/>
      <c r="C934" s="45"/>
      <c r="D934" s="45"/>
      <c r="E934" s="45"/>
      <c r="F934" s="45"/>
      <c r="G934" s="45"/>
      <c r="H934" s="45"/>
      <c r="I934" s="45"/>
      <c r="J934" s="45"/>
    </row>
    <row r="935" spans="2:10" x14ac:dyDescent="0.35">
      <c r="B935" s="45"/>
      <c r="C935" s="45"/>
      <c r="D935" s="45"/>
      <c r="E935" s="45"/>
      <c r="F935" s="45"/>
      <c r="G935" s="45"/>
      <c r="H935" s="45"/>
      <c r="I935" s="45"/>
      <c r="J935" s="45"/>
    </row>
    <row r="936" spans="2:10" x14ac:dyDescent="0.35">
      <c r="B936" s="45"/>
      <c r="C936" s="45"/>
      <c r="D936" s="45"/>
      <c r="E936" s="45"/>
      <c r="F936" s="45"/>
      <c r="G936" s="45"/>
      <c r="H936" s="45"/>
      <c r="I936" s="45"/>
      <c r="J936" s="45"/>
    </row>
    <row r="937" spans="2:10" x14ac:dyDescent="0.35">
      <c r="B937" s="45"/>
      <c r="C937" s="45"/>
      <c r="D937" s="45"/>
      <c r="E937" s="45"/>
      <c r="F937" s="45"/>
      <c r="G937" s="45"/>
      <c r="H937" s="45"/>
      <c r="I937" s="45"/>
      <c r="J937" s="45"/>
    </row>
    <row r="938" spans="2:10" x14ac:dyDescent="0.35">
      <c r="B938" s="45"/>
      <c r="C938" s="45"/>
      <c r="D938" s="45"/>
      <c r="E938" s="45"/>
      <c r="F938" s="45"/>
      <c r="G938" s="45"/>
      <c r="H938" s="45"/>
      <c r="I938" s="45"/>
      <c r="J938" s="45"/>
    </row>
    <row r="939" spans="2:10" x14ac:dyDescent="0.35">
      <c r="B939" s="45"/>
      <c r="C939" s="45"/>
      <c r="D939" s="45"/>
      <c r="E939" s="45"/>
      <c r="F939" s="45"/>
      <c r="G939" s="45"/>
      <c r="H939" s="45"/>
      <c r="I939" s="45"/>
      <c r="J939" s="45"/>
    </row>
    <row r="940" spans="2:10" x14ac:dyDescent="0.35">
      <c r="B940" s="45"/>
      <c r="C940" s="45"/>
      <c r="D940" s="45"/>
      <c r="E940" s="45"/>
      <c r="F940" s="45"/>
      <c r="G940" s="45"/>
      <c r="H940" s="45"/>
      <c r="I940" s="45"/>
      <c r="J940" s="45"/>
    </row>
    <row r="941" spans="2:10" x14ac:dyDescent="0.35">
      <c r="B941" s="45"/>
      <c r="C941" s="45"/>
      <c r="D941" s="45"/>
      <c r="E941" s="45"/>
      <c r="F941" s="45"/>
      <c r="G941" s="45"/>
      <c r="H941" s="45"/>
      <c r="I941" s="45"/>
      <c r="J941" s="45"/>
    </row>
    <row r="942" spans="2:10" x14ac:dyDescent="0.35">
      <c r="B942" s="45"/>
      <c r="C942" s="45"/>
      <c r="D942" s="45"/>
      <c r="E942" s="45"/>
      <c r="F942" s="45"/>
      <c r="G942" s="45"/>
      <c r="H942" s="45"/>
      <c r="I942" s="45"/>
      <c r="J942" s="45"/>
    </row>
    <row r="943" spans="2:10" x14ac:dyDescent="0.35">
      <c r="B943" s="45"/>
      <c r="C943" s="45"/>
      <c r="D943" s="45"/>
      <c r="E943" s="45"/>
      <c r="F943" s="45"/>
      <c r="G943" s="45"/>
      <c r="H943" s="45"/>
      <c r="I943" s="45"/>
      <c r="J943" s="45"/>
    </row>
    <row r="944" spans="2:10" x14ac:dyDescent="0.35">
      <c r="B944" s="45"/>
      <c r="C944" s="45"/>
      <c r="D944" s="45"/>
      <c r="E944" s="45"/>
      <c r="F944" s="45"/>
      <c r="G944" s="45"/>
      <c r="H944" s="45"/>
      <c r="I944" s="45"/>
      <c r="J944" s="45"/>
    </row>
    <row r="945" spans="2:10" x14ac:dyDescent="0.35">
      <c r="B945" s="45"/>
      <c r="C945" s="45"/>
      <c r="D945" s="45"/>
      <c r="E945" s="45"/>
      <c r="F945" s="45"/>
      <c r="G945" s="45"/>
      <c r="H945" s="45"/>
      <c r="I945" s="45"/>
      <c r="J945" s="45"/>
    </row>
    <row r="946" spans="2:10" x14ac:dyDescent="0.35">
      <c r="B946" s="45"/>
      <c r="C946" s="45"/>
      <c r="D946" s="45"/>
      <c r="E946" s="45"/>
      <c r="F946" s="45"/>
      <c r="G946" s="45"/>
      <c r="H946" s="45"/>
      <c r="I946" s="45"/>
      <c r="J946" s="45"/>
    </row>
    <row r="947" spans="2:10" x14ac:dyDescent="0.35">
      <c r="B947" s="45"/>
      <c r="C947" s="45"/>
      <c r="D947" s="45"/>
      <c r="E947" s="45"/>
      <c r="F947" s="45"/>
      <c r="G947" s="45"/>
      <c r="H947" s="45"/>
      <c r="I947" s="45"/>
      <c r="J947" s="45"/>
    </row>
    <row r="948" spans="2:10" x14ac:dyDescent="0.35">
      <c r="B948" s="45"/>
      <c r="C948" s="45"/>
      <c r="D948" s="45"/>
      <c r="E948" s="45"/>
      <c r="F948" s="45"/>
      <c r="G948" s="45"/>
      <c r="H948" s="45"/>
      <c r="I948" s="45"/>
      <c r="J948" s="45"/>
    </row>
    <row r="949" spans="2:10" x14ac:dyDescent="0.35">
      <c r="B949" s="45"/>
      <c r="C949" s="45"/>
      <c r="D949" s="45"/>
      <c r="E949" s="45"/>
      <c r="F949" s="45"/>
      <c r="G949" s="45"/>
      <c r="H949" s="45"/>
      <c r="I949" s="45"/>
      <c r="J949" s="45"/>
    </row>
    <row r="950" spans="2:10" x14ac:dyDescent="0.35">
      <c r="B950" s="45"/>
      <c r="C950" s="45"/>
      <c r="D950" s="45"/>
      <c r="E950" s="45"/>
      <c r="F950" s="45"/>
      <c r="G950" s="45"/>
      <c r="H950" s="45"/>
      <c r="I950" s="45"/>
      <c r="J950" s="45"/>
    </row>
    <row r="951" spans="2:10" x14ac:dyDescent="0.35">
      <c r="B951" s="45"/>
      <c r="C951" s="45"/>
      <c r="D951" s="45"/>
      <c r="E951" s="45"/>
      <c r="F951" s="45"/>
      <c r="G951" s="45"/>
      <c r="H951" s="45"/>
      <c r="I951" s="45"/>
      <c r="J951" s="45"/>
    </row>
    <row r="952" spans="2:10" x14ac:dyDescent="0.35">
      <c r="B952" s="45"/>
      <c r="C952" s="45"/>
      <c r="D952" s="45"/>
      <c r="E952" s="45"/>
      <c r="F952" s="45"/>
      <c r="G952" s="45"/>
      <c r="H952" s="45"/>
      <c r="I952" s="45"/>
      <c r="J952" s="45"/>
    </row>
    <row r="953" spans="2:10" x14ac:dyDescent="0.35">
      <c r="B953" s="45"/>
      <c r="C953" s="45"/>
      <c r="D953" s="45"/>
      <c r="E953" s="45"/>
      <c r="F953" s="45"/>
      <c r="G953" s="45"/>
      <c r="H953" s="45"/>
      <c r="I953" s="45"/>
      <c r="J953" s="45"/>
    </row>
    <row r="954" spans="2:10" x14ac:dyDescent="0.35">
      <c r="B954" s="45"/>
      <c r="C954" s="45"/>
      <c r="D954" s="45"/>
      <c r="E954" s="45"/>
      <c r="F954" s="45"/>
      <c r="G954" s="45"/>
      <c r="H954" s="45"/>
      <c r="I954" s="45"/>
      <c r="J954" s="45"/>
    </row>
    <row r="955" spans="2:10" x14ac:dyDescent="0.35">
      <c r="B955" s="45"/>
      <c r="C955" s="45"/>
      <c r="D955" s="45"/>
      <c r="E955" s="45"/>
      <c r="F955" s="45"/>
      <c r="G955" s="45"/>
      <c r="H955" s="45"/>
      <c r="I955" s="45"/>
      <c r="J955" s="45"/>
    </row>
    <row r="956" spans="2:10" x14ac:dyDescent="0.35">
      <c r="B956" s="45"/>
      <c r="C956" s="45"/>
      <c r="D956" s="45"/>
      <c r="E956" s="45"/>
      <c r="F956" s="45"/>
      <c r="G956" s="45"/>
      <c r="H956" s="45"/>
      <c r="I956" s="45"/>
      <c r="J956" s="45"/>
    </row>
    <row r="957" spans="2:10" x14ac:dyDescent="0.35">
      <c r="B957" s="45"/>
      <c r="C957" s="45"/>
      <c r="D957" s="45"/>
      <c r="E957" s="45"/>
      <c r="F957" s="45"/>
      <c r="G957" s="45"/>
      <c r="H957" s="45"/>
      <c r="I957" s="45"/>
      <c r="J957" s="45"/>
    </row>
    <row r="958" spans="2:10" x14ac:dyDescent="0.35">
      <c r="B958" s="45"/>
      <c r="C958" s="45"/>
      <c r="D958" s="45"/>
      <c r="E958" s="45"/>
      <c r="F958" s="45"/>
      <c r="G958" s="45"/>
      <c r="H958" s="45"/>
      <c r="I958" s="45"/>
      <c r="J958" s="45"/>
    </row>
    <row r="959" spans="2:10" x14ac:dyDescent="0.35">
      <c r="B959" s="45"/>
      <c r="C959" s="45"/>
      <c r="D959" s="45"/>
      <c r="E959" s="45"/>
      <c r="F959" s="45"/>
      <c r="G959" s="45"/>
      <c r="H959" s="45"/>
      <c r="I959" s="45"/>
      <c r="J959" s="45"/>
    </row>
    <row r="960" spans="2:10" x14ac:dyDescent="0.35">
      <c r="B960" s="45"/>
      <c r="C960" s="45"/>
      <c r="D960" s="45"/>
      <c r="E960" s="45"/>
      <c r="F960" s="45"/>
      <c r="G960" s="45"/>
      <c r="H960" s="45"/>
      <c r="I960" s="45"/>
      <c r="J960" s="45"/>
    </row>
    <row r="961" spans="2:10" x14ac:dyDescent="0.35">
      <c r="B961" s="45"/>
      <c r="C961" s="45"/>
      <c r="D961" s="45"/>
      <c r="E961" s="45"/>
      <c r="F961" s="45"/>
      <c r="G961" s="45"/>
      <c r="H961" s="45"/>
      <c r="I961" s="45"/>
      <c r="J961" s="45"/>
    </row>
    <row r="962" spans="2:10" x14ac:dyDescent="0.35">
      <c r="B962" s="45"/>
      <c r="C962" s="45"/>
      <c r="D962" s="45"/>
      <c r="E962" s="45"/>
      <c r="F962" s="45"/>
      <c r="G962" s="45"/>
      <c r="H962" s="45"/>
      <c r="I962" s="45"/>
      <c r="J962" s="45"/>
    </row>
    <row r="963" spans="2:10" x14ac:dyDescent="0.35">
      <c r="B963" s="45"/>
      <c r="C963" s="45"/>
      <c r="D963" s="45"/>
      <c r="E963" s="45"/>
      <c r="F963" s="45"/>
      <c r="G963" s="45"/>
      <c r="H963" s="45"/>
      <c r="I963" s="45"/>
      <c r="J963" s="45"/>
    </row>
    <row r="964" spans="2:10" x14ac:dyDescent="0.35">
      <c r="B964" s="45"/>
      <c r="C964" s="45"/>
      <c r="D964" s="45"/>
      <c r="E964" s="45"/>
      <c r="F964" s="45"/>
      <c r="G964" s="45"/>
      <c r="H964" s="45"/>
      <c r="I964" s="45"/>
      <c r="J964" s="45"/>
    </row>
    <row r="965" spans="2:10" x14ac:dyDescent="0.35">
      <c r="B965" s="45"/>
      <c r="C965" s="45"/>
      <c r="D965" s="45"/>
      <c r="E965" s="45"/>
      <c r="F965" s="45"/>
      <c r="G965" s="45"/>
      <c r="H965" s="45"/>
      <c r="I965" s="45"/>
      <c r="J965" s="45"/>
    </row>
    <row r="966" spans="2:10" x14ac:dyDescent="0.35">
      <c r="B966" s="45"/>
      <c r="C966" s="45"/>
      <c r="D966" s="45"/>
      <c r="E966" s="45"/>
      <c r="F966" s="45"/>
      <c r="G966" s="45"/>
      <c r="H966" s="45"/>
      <c r="I966" s="45"/>
      <c r="J966" s="45"/>
    </row>
    <row r="967" spans="2:10" x14ac:dyDescent="0.35">
      <c r="B967" s="45"/>
      <c r="C967" s="45"/>
      <c r="D967" s="45"/>
      <c r="E967" s="45"/>
      <c r="F967" s="45"/>
      <c r="G967" s="45"/>
      <c r="H967" s="45"/>
      <c r="I967" s="45"/>
      <c r="J967" s="45"/>
    </row>
    <row r="968" spans="2:10" x14ac:dyDescent="0.35">
      <c r="B968" s="45"/>
      <c r="C968" s="45"/>
      <c r="D968" s="45"/>
      <c r="E968" s="45"/>
      <c r="F968" s="45"/>
      <c r="G968" s="45"/>
      <c r="H968" s="45"/>
      <c r="I968" s="45"/>
      <c r="J968" s="45"/>
    </row>
    <row r="969" spans="2:10" x14ac:dyDescent="0.35">
      <c r="B969" s="45"/>
      <c r="C969" s="45"/>
      <c r="D969" s="45"/>
      <c r="E969" s="45"/>
      <c r="F969" s="45"/>
      <c r="G969" s="45"/>
      <c r="H969" s="45"/>
      <c r="I969" s="45"/>
      <c r="J969" s="45"/>
    </row>
    <row r="970" spans="2:10" x14ac:dyDescent="0.35">
      <c r="B970" s="45"/>
      <c r="C970" s="45"/>
      <c r="D970" s="45"/>
      <c r="E970" s="45"/>
      <c r="F970" s="45"/>
      <c r="G970" s="45"/>
      <c r="H970" s="45"/>
      <c r="I970" s="45"/>
      <c r="J970" s="45"/>
    </row>
    <row r="971" spans="2:10" x14ac:dyDescent="0.35">
      <c r="B971" s="45"/>
      <c r="C971" s="45"/>
      <c r="D971" s="45"/>
      <c r="E971" s="45"/>
      <c r="F971" s="45"/>
      <c r="G971" s="45"/>
      <c r="H971" s="45"/>
      <c r="I971" s="45"/>
      <c r="J971" s="45"/>
    </row>
    <row r="972" spans="2:10" x14ac:dyDescent="0.35">
      <c r="B972" s="45"/>
      <c r="C972" s="45"/>
      <c r="D972" s="45"/>
      <c r="E972" s="45"/>
      <c r="F972" s="45"/>
      <c r="G972" s="45"/>
      <c r="H972" s="45"/>
      <c r="I972" s="45"/>
      <c r="J972" s="45"/>
    </row>
    <row r="973" spans="2:10" x14ac:dyDescent="0.35">
      <c r="B973" s="45"/>
      <c r="C973" s="45"/>
      <c r="D973" s="45"/>
      <c r="E973" s="45"/>
      <c r="F973" s="45"/>
      <c r="G973" s="45"/>
      <c r="H973" s="45"/>
      <c r="I973" s="45"/>
      <c r="J973" s="45"/>
    </row>
    <row r="974" spans="2:10" x14ac:dyDescent="0.35">
      <c r="B974" s="45"/>
      <c r="C974" s="45"/>
      <c r="D974" s="45"/>
      <c r="E974" s="45"/>
      <c r="F974" s="45"/>
      <c r="G974" s="45"/>
      <c r="H974" s="45"/>
      <c r="I974" s="45"/>
      <c r="J974" s="45"/>
    </row>
    <row r="975" spans="2:10" x14ac:dyDescent="0.35">
      <c r="B975" s="45"/>
      <c r="C975" s="45"/>
      <c r="D975" s="45"/>
      <c r="E975" s="45"/>
      <c r="F975" s="45"/>
      <c r="G975" s="45"/>
      <c r="H975" s="45"/>
      <c r="I975" s="45"/>
      <c r="J975" s="45"/>
    </row>
    <row r="976" spans="2:10" x14ac:dyDescent="0.35">
      <c r="B976" s="45"/>
      <c r="C976" s="45"/>
      <c r="D976" s="45"/>
      <c r="E976" s="45"/>
      <c r="F976" s="45"/>
      <c r="G976" s="45"/>
      <c r="H976" s="45"/>
      <c r="I976" s="45"/>
      <c r="J976" s="45"/>
    </row>
    <row r="977" spans="2:10" x14ac:dyDescent="0.35">
      <c r="B977" s="45"/>
      <c r="C977" s="45"/>
      <c r="D977" s="45"/>
      <c r="E977" s="45"/>
      <c r="F977" s="45"/>
      <c r="G977" s="45"/>
      <c r="H977" s="45"/>
      <c r="I977" s="45"/>
      <c r="J977" s="45"/>
    </row>
    <row r="978" spans="2:10" x14ac:dyDescent="0.35">
      <c r="B978" s="45"/>
      <c r="C978" s="45"/>
      <c r="D978" s="45"/>
      <c r="E978" s="45"/>
      <c r="F978" s="45"/>
      <c r="G978" s="45"/>
      <c r="H978" s="45"/>
      <c r="I978" s="45"/>
      <c r="J978" s="45"/>
    </row>
    <row r="979" spans="2:10" x14ac:dyDescent="0.35">
      <c r="B979" s="45"/>
      <c r="C979" s="45"/>
      <c r="D979" s="45"/>
      <c r="E979" s="45"/>
      <c r="F979" s="45"/>
      <c r="G979" s="45"/>
      <c r="H979" s="45"/>
      <c r="I979" s="45"/>
      <c r="J979" s="45"/>
    </row>
    <row r="980" spans="2:10" x14ac:dyDescent="0.35">
      <c r="B980" s="45"/>
      <c r="C980" s="45"/>
      <c r="D980" s="45"/>
      <c r="E980" s="45"/>
      <c r="F980" s="45"/>
      <c r="G980" s="45"/>
      <c r="H980" s="45"/>
      <c r="I980" s="45"/>
      <c r="J980" s="45"/>
    </row>
    <row r="981" spans="2:10" x14ac:dyDescent="0.35">
      <c r="B981" s="45"/>
      <c r="C981" s="45"/>
      <c r="D981" s="45"/>
      <c r="E981" s="45"/>
      <c r="F981" s="45"/>
      <c r="G981" s="45"/>
      <c r="H981" s="45"/>
      <c r="I981" s="45"/>
      <c r="J981" s="45"/>
    </row>
    <row r="982" spans="2:10" x14ac:dyDescent="0.35">
      <c r="B982" s="45"/>
      <c r="C982" s="45"/>
      <c r="D982" s="45"/>
      <c r="E982" s="45"/>
      <c r="F982" s="45"/>
      <c r="G982" s="45"/>
      <c r="H982" s="45"/>
      <c r="I982" s="45"/>
      <c r="J982" s="45"/>
    </row>
    <row r="983" spans="2:10" x14ac:dyDescent="0.35">
      <c r="B983" s="45"/>
      <c r="C983" s="45"/>
      <c r="D983" s="45"/>
      <c r="E983" s="45"/>
      <c r="F983" s="45"/>
      <c r="G983" s="45"/>
      <c r="H983" s="45"/>
      <c r="I983" s="45"/>
      <c r="J983" s="45"/>
    </row>
    <row r="984" spans="2:10" x14ac:dyDescent="0.35">
      <c r="B984" s="45"/>
      <c r="C984" s="45"/>
      <c r="D984" s="45"/>
      <c r="E984" s="45"/>
      <c r="F984" s="45"/>
      <c r="G984" s="45"/>
      <c r="H984" s="45"/>
      <c r="I984" s="45"/>
      <c r="J984" s="45"/>
    </row>
    <row r="985" spans="2:10" x14ac:dyDescent="0.35">
      <c r="B985" s="45"/>
      <c r="C985" s="45"/>
      <c r="D985" s="45"/>
      <c r="E985" s="45"/>
      <c r="F985" s="45"/>
      <c r="G985" s="45"/>
      <c r="H985" s="45"/>
      <c r="I985" s="45"/>
      <c r="J985" s="45"/>
    </row>
    <row r="986" spans="2:10" x14ac:dyDescent="0.35">
      <c r="B986" s="45"/>
      <c r="C986" s="45"/>
      <c r="D986" s="45"/>
      <c r="E986" s="45"/>
      <c r="F986" s="45"/>
      <c r="G986" s="45"/>
      <c r="H986" s="45"/>
      <c r="I986" s="45"/>
      <c r="J986" s="45"/>
    </row>
    <row r="987" spans="2:10" x14ac:dyDescent="0.35">
      <c r="B987" s="45"/>
      <c r="C987" s="45"/>
      <c r="D987" s="45"/>
      <c r="E987" s="45"/>
      <c r="F987" s="45"/>
      <c r="G987" s="45"/>
      <c r="H987" s="45"/>
      <c r="I987" s="45"/>
      <c r="J987" s="45"/>
    </row>
    <row r="988" spans="2:10" x14ac:dyDescent="0.35">
      <c r="B988" s="45"/>
      <c r="C988" s="45"/>
      <c r="D988" s="45"/>
      <c r="E988" s="45"/>
      <c r="F988" s="45"/>
      <c r="G988" s="45"/>
      <c r="H988" s="45"/>
      <c r="I988" s="45"/>
      <c r="J988" s="45"/>
    </row>
    <row r="989" spans="2:10" x14ac:dyDescent="0.35">
      <c r="B989" s="45"/>
      <c r="C989" s="45"/>
      <c r="D989" s="45"/>
      <c r="E989" s="45"/>
      <c r="F989" s="45"/>
      <c r="G989" s="45"/>
      <c r="H989" s="45"/>
      <c r="I989" s="45"/>
      <c r="J989" s="45"/>
    </row>
    <row r="990" spans="2:10" x14ac:dyDescent="0.35">
      <c r="B990" s="45"/>
      <c r="C990" s="45"/>
      <c r="D990" s="45"/>
      <c r="E990" s="45"/>
      <c r="F990" s="45"/>
      <c r="G990" s="45"/>
      <c r="H990" s="45"/>
      <c r="I990" s="45"/>
      <c r="J990" s="45"/>
    </row>
    <row r="991" spans="2:10" x14ac:dyDescent="0.35">
      <c r="B991" s="45"/>
      <c r="C991" s="45"/>
      <c r="D991" s="45"/>
      <c r="E991" s="45"/>
      <c r="F991" s="45"/>
      <c r="G991" s="45"/>
      <c r="H991" s="45"/>
      <c r="I991" s="45"/>
      <c r="J991" s="45"/>
    </row>
    <row r="992" spans="2:10" x14ac:dyDescent="0.35">
      <c r="B992" s="45"/>
      <c r="C992" s="45"/>
      <c r="D992" s="45"/>
      <c r="E992" s="45"/>
      <c r="F992" s="45"/>
      <c r="G992" s="45"/>
      <c r="H992" s="45"/>
      <c r="I992" s="45"/>
      <c r="J992" s="45"/>
    </row>
    <row r="993" spans="2:10" x14ac:dyDescent="0.35">
      <c r="B993" s="45"/>
      <c r="C993" s="45"/>
      <c r="D993" s="45"/>
      <c r="E993" s="45"/>
      <c r="F993" s="45"/>
      <c r="G993" s="45"/>
      <c r="H993" s="45"/>
      <c r="I993" s="45"/>
      <c r="J993" s="45"/>
    </row>
    <row r="994" spans="2:10" x14ac:dyDescent="0.35">
      <c r="B994" s="45"/>
      <c r="C994" s="45"/>
      <c r="D994" s="45"/>
      <c r="E994" s="45"/>
      <c r="F994" s="45"/>
      <c r="G994" s="45"/>
      <c r="H994" s="45"/>
      <c r="I994" s="45"/>
      <c r="J994" s="45"/>
    </row>
    <row r="995" spans="2:10" x14ac:dyDescent="0.35">
      <c r="B995" s="45"/>
      <c r="C995" s="45"/>
      <c r="D995" s="45"/>
      <c r="E995" s="45"/>
      <c r="F995" s="45"/>
      <c r="G995" s="45"/>
      <c r="H995" s="45"/>
      <c r="I995" s="45"/>
      <c r="J995" s="45"/>
    </row>
    <row r="996" spans="2:10" x14ac:dyDescent="0.35">
      <c r="B996" s="45"/>
      <c r="C996" s="45"/>
      <c r="D996" s="45"/>
      <c r="E996" s="45"/>
      <c r="F996" s="45"/>
      <c r="G996" s="45"/>
      <c r="H996" s="45"/>
      <c r="I996" s="45"/>
      <c r="J996" s="45"/>
    </row>
    <row r="997" spans="2:10" x14ac:dyDescent="0.35">
      <c r="B997" s="45"/>
      <c r="C997" s="45"/>
      <c r="D997" s="45"/>
      <c r="E997" s="45"/>
      <c r="F997" s="45"/>
      <c r="G997" s="45"/>
      <c r="H997" s="45"/>
      <c r="I997" s="45"/>
      <c r="J997" s="45"/>
    </row>
    <row r="998" spans="2:10" x14ac:dyDescent="0.35">
      <c r="B998" s="45"/>
      <c r="C998" s="45"/>
      <c r="D998" s="45"/>
      <c r="E998" s="45"/>
      <c r="F998" s="45"/>
      <c r="G998" s="45"/>
      <c r="H998" s="45"/>
      <c r="I998" s="45"/>
      <c r="J998" s="45"/>
    </row>
    <row r="999" spans="2:10" x14ac:dyDescent="0.35">
      <c r="B999" s="45"/>
      <c r="C999" s="45"/>
      <c r="D999" s="45"/>
      <c r="E999" s="45"/>
      <c r="F999" s="45"/>
      <c r="G999" s="45"/>
      <c r="H999" s="45"/>
      <c r="I999" s="45"/>
      <c r="J999" s="45"/>
    </row>
    <row r="1000" spans="2:10" x14ac:dyDescent="0.35">
      <c r="B1000" s="45"/>
      <c r="C1000" s="45"/>
      <c r="D1000" s="45"/>
      <c r="E1000" s="45"/>
      <c r="F1000" s="45"/>
      <c r="G1000" s="45"/>
      <c r="H1000" s="45"/>
      <c r="I1000" s="45"/>
      <c r="J1000" s="45"/>
    </row>
    <row r="1001" spans="2:10" x14ac:dyDescent="0.35">
      <c r="B1001" s="45"/>
      <c r="C1001" s="45"/>
      <c r="D1001" s="45"/>
      <c r="E1001" s="45"/>
      <c r="F1001" s="45"/>
      <c r="G1001" s="45"/>
      <c r="H1001" s="45"/>
      <c r="I1001" s="45"/>
      <c r="J1001" s="45"/>
    </row>
    <row r="1002" spans="2:10" x14ac:dyDescent="0.35">
      <c r="B1002" s="45"/>
      <c r="C1002" s="45"/>
      <c r="D1002" s="45"/>
      <c r="E1002" s="45"/>
      <c r="F1002" s="45"/>
      <c r="G1002" s="45"/>
      <c r="H1002" s="45"/>
      <c r="I1002" s="45"/>
      <c r="J1002" s="45"/>
    </row>
    <row r="1003" spans="2:10" x14ac:dyDescent="0.35">
      <c r="B1003" s="45"/>
      <c r="C1003" s="45"/>
      <c r="D1003" s="45"/>
      <c r="E1003" s="45"/>
      <c r="F1003" s="45"/>
      <c r="G1003" s="45"/>
      <c r="H1003" s="45"/>
      <c r="I1003" s="45"/>
      <c r="J1003" s="45"/>
    </row>
    <row r="1004" spans="2:10" x14ac:dyDescent="0.35">
      <c r="B1004" s="45"/>
      <c r="C1004" s="45"/>
      <c r="D1004" s="45"/>
      <c r="E1004" s="45"/>
      <c r="F1004" s="45"/>
      <c r="G1004" s="45"/>
      <c r="H1004" s="45"/>
      <c r="I1004" s="45"/>
      <c r="J1004" s="45"/>
    </row>
    <row r="1005" spans="2:10" x14ac:dyDescent="0.35">
      <c r="B1005" s="45"/>
      <c r="C1005" s="45"/>
      <c r="D1005" s="45"/>
      <c r="E1005" s="45"/>
      <c r="F1005" s="45"/>
      <c r="G1005" s="45"/>
      <c r="H1005" s="45"/>
      <c r="I1005" s="45"/>
      <c r="J1005" s="45"/>
    </row>
    <row r="1006" spans="2:10" x14ac:dyDescent="0.35">
      <c r="B1006" s="45"/>
      <c r="C1006" s="45"/>
      <c r="D1006" s="45"/>
      <c r="E1006" s="45"/>
      <c r="F1006" s="45"/>
      <c r="G1006" s="45"/>
      <c r="H1006" s="45"/>
      <c r="I1006" s="45"/>
      <c r="J1006" s="45"/>
    </row>
    <row r="1007" spans="2:10" x14ac:dyDescent="0.35">
      <c r="B1007" s="45"/>
      <c r="C1007" s="45"/>
      <c r="D1007" s="45"/>
      <c r="E1007" s="45"/>
      <c r="F1007" s="45"/>
      <c r="G1007" s="45"/>
      <c r="H1007" s="45"/>
      <c r="I1007" s="45"/>
      <c r="J1007" s="45"/>
    </row>
    <row r="1008" spans="2:10" x14ac:dyDescent="0.35">
      <c r="B1008" s="45"/>
      <c r="C1008" s="45"/>
      <c r="D1008" s="45"/>
      <c r="E1008" s="45"/>
      <c r="F1008" s="45"/>
      <c r="G1008" s="45"/>
      <c r="H1008" s="45"/>
      <c r="I1008" s="45"/>
      <c r="J1008" s="45"/>
    </row>
    <row r="1009" spans="2:10" x14ac:dyDescent="0.35">
      <c r="B1009" s="45"/>
      <c r="C1009" s="45"/>
      <c r="D1009" s="45"/>
      <c r="E1009" s="45"/>
      <c r="F1009" s="45"/>
      <c r="G1009" s="45"/>
      <c r="H1009" s="45"/>
      <c r="I1009" s="45"/>
      <c r="J1009" s="45"/>
    </row>
    <row r="1010" spans="2:10" x14ac:dyDescent="0.35">
      <c r="B1010" s="45"/>
      <c r="C1010" s="45"/>
      <c r="D1010" s="45"/>
      <c r="E1010" s="45"/>
      <c r="F1010" s="45"/>
      <c r="G1010" s="45"/>
      <c r="H1010" s="45"/>
      <c r="I1010" s="45"/>
      <c r="J1010" s="45"/>
    </row>
    <row r="1011" spans="2:10" x14ac:dyDescent="0.35">
      <c r="B1011" s="45"/>
      <c r="C1011" s="45"/>
      <c r="D1011" s="45"/>
      <c r="E1011" s="45"/>
      <c r="F1011" s="45"/>
      <c r="G1011" s="45"/>
      <c r="H1011" s="45"/>
      <c r="I1011" s="45"/>
      <c r="J1011" s="45"/>
    </row>
    <row r="1012" spans="2:10" x14ac:dyDescent="0.35">
      <c r="B1012" s="45"/>
      <c r="C1012" s="45"/>
      <c r="D1012" s="45"/>
      <c r="E1012" s="45"/>
      <c r="F1012" s="45"/>
      <c r="G1012" s="45"/>
      <c r="H1012" s="45"/>
      <c r="I1012" s="45"/>
      <c r="J1012" s="45"/>
    </row>
    <row r="1013" spans="2:10" x14ac:dyDescent="0.35">
      <c r="B1013" s="45"/>
      <c r="C1013" s="45"/>
      <c r="D1013" s="45"/>
      <c r="E1013" s="45"/>
      <c r="F1013" s="45"/>
      <c r="G1013" s="45"/>
      <c r="H1013" s="45"/>
      <c r="I1013" s="45"/>
      <c r="J1013" s="45"/>
    </row>
    <row r="1014" spans="2:10" x14ac:dyDescent="0.35">
      <c r="B1014" s="45"/>
      <c r="C1014" s="45"/>
      <c r="D1014" s="45"/>
      <c r="E1014" s="45"/>
      <c r="F1014" s="45"/>
      <c r="G1014" s="45"/>
      <c r="H1014" s="45"/>
      <c r="I1014" s="45"/>
      <c r="J1014" s="45"/>
    </row>
    <row r="1015" spans="2:10" x14ac:dyDescent="0.35">
      <c r="B1015" s="45"/>
      <c r="C1015" s="45"/>
      <c r="D1015" s="45"/>
      <c r="E1015" s="45"/>
      <c r="F1015" s="45"/>
      <c r="G1015" s="45"/>
      <c r="H1015" s="45"/>
      <c r="I1015" s="45"/>
      <c r="J1015" s="45"/>
    </row>
    <row r="1016" spans="2:10" x14ac:dyDescent="0.35">
      <c r="B1016" s="45"/>
      <c r="C1016" s="45"/>
      <c r="D1016" s="45"/>
      <c r="E1016" s="45"/>
      <c r="F1016" s="45"/>
      <c r="G1016" s="45"/>
      <c r="H1016" s="45"/>
      <c r="I1016" s="45"/>
      <c r="J1016" s="45"/>
    </row>
    <row r="1017" spans="2:10" x14ac:dyDescent="0.35">
      <c r="B1017" s="45"/>
      <c r="C1017" s="45"/>
      <c r="D1017" s="45"/>
      <c r="E1017" s="45"/>
      <c r="F1017" s="45"/>
      <c r="G1017" s="45"/>
      <c r="H1017" s="45"/>
      <c r="I1017" s="45"/>
      <c r="J1017" s="45"/>
    </row>
    <row r="1018" spans="2:10" x14ac:dyDescent="0.35">
      <c r="B1018" s="45"/>
      <c r="C1018" s="45"/>
      <c r="D1018" s="45"/>
      <c r="E1018" s="45"/>
      <c r="F1018" s="45"/>
      <c r="G1018" s="45"/>
      <c r="H1018" s="45"/>
      <c r="I1018" s="45"/>
      <c r="J1018" s="45"/>
    </row>
    <row r="1019" spans="2:10" x14ac:dyDescent="0.35">
      <c r="B1019" s="45"/>
      <c r="C1019" s="45"/>
      <c r="D1019" s="45"/>
      <c r="E1019" s="45"/>
      <c r="F1019" s="45"/>
      <c r="G1019" s="45"/>
      <c r="H1019" s="45"/>
      <c r="I1019" s="45"/>
      <c r="J1019" s="45"/>
    </row>
    <row r="1020" spans="2:10" x14ac:dyDescent="0.35">
      <c r="B1020" s="45"/>
      <c r="C1020" s="45"/>
      <c r="D1020" s="45"/>
      <c r="E1020" s="45"/>
      <c r="F1020" s="45"/>
      <c r="G1020" s="45"/>
      <c r="H1020" s="45"/>
      <c r="I1020" s="45"/>
      <c r="J1020" s="45"/>
    </row>
    <row r="1021" spans="2:10" x14ac:dyDescent="0.35">
      <c r="B1021" s="45"/>
      <c r="C1021" s="45"/>
      <c r="D1021" s="45"/>
      <c r="E1021" s="45"/>
      <c r="F1021" s="45"/>
      <c r="G1021" s="45"/>
      <c r="H1021" s="45"/>
      <c r="I1021" s="45"/>
      <c r="J1021" s="45"/>
    </row>
    <row r="1022" spans="2:10" x14ac:dyDescent="0.35">
      <c r="B1022" s="45"/>
      <c r="C1022" s="45"/>
      <c r="D1022" s="45"/>
      <c r="E1022" s="45"/>
      <c r="F1022" s="45"/>
      <c r="G1022" s="45"/>
      <c r="H1022" s="45"/>
      <c r="I1022" s="45"/>
      <c r="J1022" s="45"/>
    </row>
    <row r="1023" spans="2:10" x14ac:dyDescent="0.35">
      <c r="B1023" s="45"/>
      <c r="C1023" s="45"/>
      <c r="D1023" s="45"/>
      <c r="E1023" s="45"/>
      <c r="F1023" s="45"/>
      <c r="G1023" s="45"/>
      <c r="H1023" s="45"/>
      <c r="I1023" s="45"/>
      <c r="J1023" s="45"/>
    </row>
    <row r="1024" spans="2:10" x14ac:dyDescent="0.35">
      <c r="B1024" s="45"/>
      <c r="C1024" s="45"/>
      <c r="D1024" s="45"/>
      <c r="E1024" s="45"/>
      <c r="F1024" s="45"/>
      <c r="G1024" s="45"/>
      <c r="H1024" s="45"/>
      <c r="I1024" s="45"/>
      <c r="J1024" s="45"/>
    </row>
    <row r="1025" spans="2:10" x14ac:dyDescent="0.35">
      <c r="B1025" s="45"/>
      <c r="C1025" s="45"/>
      <c r="D1025" s="45"/>
      <c r="E1025" s="45"/>
      <c r="F1025" s="45"/>
      <c r="G1025" s="45"/>
      <c r="H1025" s="45"/>
      <c r="I1025" s="45"/>
      <c r="J1025" s="45"/>
    </row>
    <row r="1026" spans="2:10" x14ac:dyDescent="0.35">
      <c r="B1026" s="45"/>
      <c r="C1026" s="45"/>
      <c r="D1026" s="45"/>
      <c r="E1026" s="45"/>
      <c r="F1026" s="45"/>
      <c r="G1026" s="45"/>
      <c r="H1026" s="45"/>
      <c r="I1026" s="45"/>
      <c r="J1026" s="45"/>
    </row>
    <row r="1027" spans="2:10" x14ac:dyDescent="0.35">
      <c r="B1027" s="45"/>
      <c r="C1027" s="45"/>
      <c r="D1027" s="45"/>
      <c r="E1027" s="45"/>
      <c r="F1027" s="45"/>
      <c r="G1027" s="45"/>
      <c r="H1027" s="45"/>
      <c r="I1027" s="45"/>
      <c r="J1027" s="45"/>
    </row>
    <row r="1028" spans="2:10" x14ac:dyDescent="0.35">
      <c r="B1028" s="45"/>
      <c r="C1028" s="45"/>
      <c r="D1028" s="45"/>
      <c r="E1028" s="45"/>
      <c r="F1028" s="45"/>
      <c r="G1028" s="45"/>
      <c r="H1028" s="45"/>
      <c r="I1028" s="45"/>
      <c r="J1028" s="45"/>
    </row>
    <row r="1029" spans="2:10" x14ac:dyDescent="0.35">
      <c r="B1029" s="45"/>
      <c r="C1029" s="45"/>
      <c r="D1029" s="45"/>
      <c r="E1029" s="45"/>
      <c r="F1029" s="45"/>
      <c r="G1029" s="45"/>
      <c r="H1029" s="45"/>
      <c r="I1029" s="45"/>
      <c r="J1029" s="45"/>
    </row>
    <row r="1030" spans="2:10" x14ac:dyDescent="0.35">
      <c r="B1030" s="45"/>
      <c r="C1030" s="45"/>
      <c r="D1030" s="45"/>
      <c r="E1030" s="45"/>
      <c r="F1030" s="45"/>
      <c r="G1030" s="45"/>
      <c r="H1030" s="45"/>
      <c r="I1030" s="45"/>
      <c r="J1030" s="45"/>
    </row>
    <row r="1031" spans="2:10" x14ac:dyDescent="0.35">
      <c r="B1031" s="45"/>
      <c r="C1031" s="45"/>
      <c r="D1031" s="45"/>
      <c r="E1031" s="45"/>
      <c r="F1031" s="45"/>
      <c r="G1031" s="45"/>
      <c r="H1031" s="45"/>
      <c r="I1031" s="45"/>
      <c r="J1031" s="45"/>
    </row>
    <row r="1032" spans="2:10" x14ac:dyDescent="0.35">
      <c r="B1032" s="45"/>
      <c r="C1032" s="45"/>
      <c r="D1032" s="45"/>
      <c r="E1032" s="45"/>
      <c r="F1032" s="45"/>
      <c r="G1032" s="45"/>
      <c r="H1032" s="45"/>
      <c r="I1032" s="45"/>
      <c r="J1032" s="45"/>
    </row>
    <row r="1033" spans="2:10" x14ac:dyDescent="0.35">
      <c r="B1033" s="45"/>
      <c r="C1033" s="45"/>
      <c r="D1033" s="45"/>
      <c r="E1033" s="45"/>
      <c r="F1033" s="45"/>
      <c r="G1033" s="45"/>
      <c r="H1033" s="45"/>
      <c r="I1033" s="45"/>
      <c r="J1033" s="45"/>
    </row>
    <row r="1034" spans="2:10" x14ac:dyDescent="0.35">
      <c r="B1034" s="45"/>
      <c r="C1034" s="45"/>
      <c r="D1034" s="45"/>
      <c r="E1034" s="45"/>
      <c r="F1034" s="45"/>
      <c r="G1034" s="45"/>
      <c r="H1034" s="45"/>
      <c r="I1034" s="45"/>
      <c r="J1034" s="45"/>
    </row>
    <row r="1035" spans="2:10" x14ac:dyDescent="0.35">
      <c r="B1035" s="45"/>
      <c r="C1035" s="45"/>
      <c r="D1035" s="45"/>
      <c r="E1035" s="45"/>
      <c r="F1035" s="45"/>
      <c r="G1035" s="45"/>
      <c r="H1035" s="45"/>
      <c r="I1035" s="45"/>
      <c r="J1035" s="45"/>
    </row>
    <row r="1036" spans="2:10" x14ac:dyDescent="0.35">
      <c r="B1036" s="45"/>
      <c r="C1036" s="45"/>
      <c r="D1036" s="45"/>
      <c r="E1036" s="45"/>
      <c r="F1036" s="45"/>
      <c r="G1036" s="45"/>
      <c r="H1036" s="45"/>
      <c r="I1036" s="45"/>
      <c r="J1036" s="45"/>
    </row>
    <row r="1037" spans="2:10" x14ac:dyDescent="0.35">
      <c r="B1037" s="45"/>
      <c r="C1037" s="45"/>
      <c r="D1037" s="45"/>
      <c r="E1037" s="45"/>
      <c r="F1037" s="45"/>
      <c r="G1037" s="45"/>
      <c r="H1037" s="45"/>
      <c r="I1037" s="45"/>
      <c r="J1037" s="45"/>
    </row>
    <row r="1038" spans="2:10" x14ac:dyDescent="0.35">
      <c r="B1038" s="45"/>
      <c r="C1038" s="45"/>
      <c r="D1038" s="45"/>
      <c r="E1038" s="45"/>
      <c r="F1038" s="45"/>
      <c r="G1038" s="45"/>
      <c r="H1038" s="45"/>
      <c r="I1038" s="45"/>
      <c r="J1038" s="45"/>
    </row>
    <row r="1039" spans="2:10" x14ac:dyDescent="0.35">
      <c r="B1039" s="45"/>
      <c r="C1039" s="45"/>
      <c r="D1039" s="45"/>
      <c r="E1039" s="45"/>
      <c r="F1039" s="45"/>
      <c r="G1039" s="45"/>
      <c r="H1039" s="45"/>
      <c r="I1039" s="45"/>
      <c r="J1039" s="45"/>
    </row>
    <row r="1040" spans="2:10" x14ac:dyDescent="0.35">
      <c r="B1040" s="45"/>
      <c r="C1040" s="45"/>
      <c r="D1040" s="45"/>
      <c r="E1040" s="45"/>
      <c r="F1040" s="45"/>
      <c r="G1040" s="45"/>
      <c r="H1040" s="45"/>
      <c r="I1040" s="45"/>
      <c r="J1040" s="45"/>
    </row>
    <row r="1041" spans="2:10" x14ac:dyDescent="0.35">
      <c r="B1041" s="45"/>
      <c r="C1041" s="45"/>
      <c r="D1041" s="45"/>
      <c r="E1041" s="45"/>
      <c r="F1041" s="45"/>
      <c r="G1041" s="45"/>
      <c r="H1041" s="45"/>
      <c r="I1041" s="45"/>
      <c r="J1041" s="45"/>
    </row>
    <row r="1042" spans="2:10" x14ac:dyDescent="0.35">
      <c r="B1042" s="45"/>
      <c r="C1042" s="45"/>
      <c r="D1042" s="45"/>
      <c r="E1042" s="45"/>
      <c r="F1042" s="45"/>
      <c r="G1042" s="45"/>
      <c r="H1042" s="45"/>
      <c r="I1042" s="45"/>
      <c r="J1042" s="45"/>
    </row>
    <row r="1043" spans="2:10" x14ac:dyDescent="0.35">
      <c r="B1043" s="45"/>
      <c r="C1043" s="45"/>
      <c r="D1043" s="45"/>
      <c r="E1043" s="45"/>
      <c r="F1043" s="45"/>
      <c r="G1043" s="45"/>
      <c r="H1043" s="45"/>
      <c r="I1043" s="45"/>
      <c r="J1043" s="45"/>
    </row>
    <row r="1044" spans="2:10" x14ac:dyDescent="0.35">
      <c r="B1044" s="45"/>
      <c r="C1044" s="45"/>
      <c r="D1044" s="45"/>
      <c r="E1044" s="45"/>
      <c r="F1044" s="45"/>
      <c r="G1044" s="45"/>
      <c r="H1044" s="45"/>
      <c r="I1044" s="45"/>
      <c r="J1044" s="45"/>
    </row>
    <row r="1045" spans="2:10" x14ac:dyDescent="0.35">
      <c r="B1045" s="45"/>
      <c r="C1045" s="45"/>
      <c r="D1045" s="45"/>
      <c r="E1045" s="45"/>
      <c r="F1045" s="45"/>
      <c r="G1045" s="45"/>
      <c r="H1045" s="45"/>
      <c r="I1045" s="45"/>
      <c r="J1045" s="45"/>
    </row>
    <row r="1046" spans="2:10" x14ac:dyDescent="0.35">
      <c r="B1046" s="45"/>
      <c r="C1046" s="45"/>
      <c r="D1046" s="45"/>
      <c r="E1046" s="45"/>
      <c r="F1046" s="45"/>
      <c r="G1046" s="45"/>
      <c r="H1046" s="45"/>
      <c r="I1046" s="45"/>
      <c r="J1046" s="45"/>
    </row>
    <row r="1047" spans="2:10" x14ac:dyDescent="0.35">
      <c r="B1047" s="45"/>
      <c r="C1047" s="45"/>
      <c r="D1047" s="45"/>
      <c r="E1047" s="45"/>
      <c r="F1047" s="45"/>
      <c r="G1047" s="45"/>
      <c r="H1047" s="45"/>
      <c r="I1047" s="45"/>
      <c r="J1047" s="45"/>
    </row>
    <row r="1048" spans="2:10" x14ac:dyDescent="0.35">
      <c r="B1048" s="45"/>
      <c r="C1048" s="45"/>
      <c r="D1048" s="45"/>
      <c r="E1048" s="45"/>
      <c r="F1048" s="45"/>
      <c r="G1048" s="45"/>
      <c r="H1048" s="45"/>
      <c r="I1048" s="45"/>
      <c r="J1048" s="45"/>
    </row>
    <row r="1049" spans="2:10" x14ac:dyDescent="0.35">
      <c r="B1049" s="45"/>
      <c r="C1049" s="45"/>
      <c r="D1049" s="45"/>
      <c r="E1049" s="45"/>
      <c r="F1049" s="45"/>
      <c r="G1049" s="45"/>
      <c r="H1049" s="45"/>
      <c r="I1049" s="45"/>
      <c r="J1049" s="45"/>
    </row>
    <row r="1050" spans="2:10" x14ac:dyDescent="0.35">
      <c r="B1050" s="45"/>
      <c r="C1050" s="45"/>
      <c r="D1050" s="45"/>
      <c r="E1050" s="45"/>
      <c r="F1050" s="45"/>
      <c r="G1050" s="45"/>
      <c r="H1050" s="45"/>
      <c r="I1050" s="45"/>
      <c r="J1050" s="45"/>
    </row>
    <row r="1051" spans="2:10" x14ac:dyDescent="0.35">
      <c r="B1051" s="45"/>
      <c r="C1051" s="45"/>
      <c r="D1051" s="45"/>
      <c r="E1051" s="45"/>
      <c r="F1051" s="45"/>
      <c r="G1051" s="45"/>
      <c r="H1051" s="45"/>
      <c r="I1051" s="45"/>
      <c r="J1051" s="45"/>
    </row>
    <row r="1052" spans="2:10" x14ac:dyDescent="0.35">
      <c r="B1052" s="45"/>
      <c r="C1052" s="45"/>
      <c r="D1052" s="45"/>
      <c r="E1052" s="45"/>
      <c r="F1052" s="45"/>
      <c r="G1052" s="45"/>
      <c r="H1052" s="45"/>
      <c r="I1052" s="45"/>
      <c r="J1052" s="45"/>
    </row>
    <row r="1053" spans="2:10" x14ac:dyDescent="0.35">
      <c r="B1053" s="45"/>
      <c r="C1053" s="45"/>
      <c r="D1053" s="45"/>
      <c r="E1053" s="45"/>
      <c r="F1053" s="45"/>
      <c r="G1053" s="45"/>
      <c r="H1053" s="45"/>
      <c r="I1053" s="45"/>
      <c r="J1053" s="45"/>
    </row>
    <row r="1054" spans="2:10" x14ac:dyDescent="0.35">
      <c r="B1054" s="45"/>
      <c r="C1054" s="45"/>
      <c r="D1054" s="45"/>
      <c r="E1054" s="45"/>
      <c r="F1054" s="45"/>
      <c r="G1054" s="45"/>
      <c r="H1054" s="45"/>
      <c r="I1054" s="45"/>
      <c r="J1054" s="45"/>
    </row>
    <row r="1055" spans="2:10" x14ac:dyDescent="0.35">
      <c r="B1055" s="45"/>
      <c r="C1055" s="45"/>
      <c r="D1055" s="45"/>
      <c r="E1055" s="45"/>
      <c r="F1055" s="45"/>
      <c r="G1055" s="45"/>
      <c r="H1055" s="45"/>
      <c r="I1055" s="45"/>
      <c r="J1055" s="45"/>
    </row>
    <row r="1056" spans="2:10" x14ac:dyDescent="0.35">
      <c r="B1056" s="45"/>
      <c r="C1056" s="45"/>
      <c r="D1056" s="45"/>
      <c r="E1056" s="45"/>
      <c r="F1056" s="45"/>
      <c r="G1056" s="45"/>
      <c r="H1056" s="45"/>
      <c r="I1056" s="45"/>
      <c r="J1056" s="45"/>
    </row>
    <row r="1057" spans="2:10" x14ac:dyDescent="0.35">
      <c r="B1057" s="45"/>
      <c r="C1057" s="45"/>
      <c r="D1057" s="45"/>
      <c r="E1057" s="45"/>
      <c r="F1057" s="45"/>
      <c r="G1057" s="45"/>
      <c r="H1057" s="45"/>
      <c r="I1057" s="45"/>
      <c r="J1057" s="45"/>
    </row>
    <row r="1058" spans="2:10" x14ac:dyDescent="0.35">
      <c r="B1058" s="45"/>
      <c r="C1058" s="45"/>
      <c r="D1058" s="45"/>
      <c r="E1058" s="45"/>
      <c r="F1058" s="45"/>
      <c r="G1058" s="45"/>
      <c r="H1058" s="45"/>
      <c r="I1058" s="45"/>
      <c r="J1058" s="45"/>
    </row>
    <row r="1059" spans="2:10" x14ac:dyDescent="0.35">
      <c r="B1059" s="45"/>
      <c r="C1059" s="45"/>
      <c r="D1059" s="45"/>
      <c r="E1059" s="45"/>
      <c r="F1059" s="45"/>
      <c r="G1059" s="45"/>
      <c r="H1059" s="45"/>
      <c r="I1059" s="45"/>
      <c r="J1059" s="45"/>
    </row>
    <row r="1060" spans="2:10" x14ac:dyDescent="0.35">
      <c r="B1060" s="45"/>
      <c r="C1060" s="45"/>
      <c r="D1060" s="45"/>
      <c r="E1060" s="45"/>
      <c r="F1060" s="45"/>
      <c r="G1060" s="45"/>
      <c r="H1060" s="45"/>
      <c r="I1060" s="45"/>
      <c r="J1060" s="45"/>
    </row>
    <row r="1061" spans="2:10" x14ac:dyDescent="0.35">
      <c r="B1061" s="45"/>
      <c r="C1061" s="45"/>
      <c r="D1061" s="45"/>
      <c r="E1061" s="45"/>
      <c r="F1061" s="45"/>
      <c r="G1061" s="45"/>
      <c r="H1061" s="45"/>
      <c r="I1061" s="45"/>
      <c r="J1061" s="45"/>
    </row>
    <row r="1062" spans="2:10" x14ac:dyDescent="0.35">
      <c r="B1062" s="45"/>
      <c r="C1062" s="45"/>
      <c r="D1062" s="45"/>
      <c r="E1062" s="45"/>
      <c r="F1062" s="45"/>
      <c r="G1062" s="45"/>
      <c r="H1062" s="45"/>
      <c r="I1062" s="45"/>
      <c r="J1062" s="45"/>
    </row>
    <row r="1063" spans="2:10" x14ac:dyDescent="0.35">
      <c r="B1063" s="45"/>
      <c r="C1063" s="45"/>
      <c r="D1063" s="45"/>
      <c r="E1063" s="45"/>
      <c r="F1063" s="45"/>
      <c r="G1063" s="45"/>
      <c r="H1063" s="45"/>
      <c r="I1063" s="45"/>
      <c r="J1063" s="45"/>
    </row>
    <row r="1064" spans="2:10" x14ac:dyDescent="0.35">
      <c r="B1064" s="45"/>
      <c r="C1064" s="45"/>
      <c r="D1064" s="45"/>
      <c r="E1064" s="45"/>
      <c r="F1064" s="45"/>
      <c r="G1064" s="45"/>
      <c r="H1064" s="45"/>
      <c r="I1064" s="45"/>
      <c r="J1064" s="45"/>
    </row>
    <row r="1065" spans="2:10" x14ac:dyDescent="0.35">
      <c r="B1065" s="45"/>
      <c r="C1065" s="45"/>
      <c r="D1065" s="45"/>
      <c r="E1065" s="45"/>
      <c r="F1065" s="45"/>
      <c r="G1065" s="45"/>
      <c r="H1065" s="45"/>
      <c r="I1065" s="45"/>
      <c r="J1065" s="45"/>
    </row>
    <row r="1066" spans="2:10" x14ac:dyDescent="0.35">
      <c r="B1066" s="45"/>
      <c r="C1066" s="45"/>
      <c r="D1066" s="45"/>
      <c r="E1066" s="45"/>
      <c r="F1066" s="45"/>
      <c r="G1066" s="45"/>
      <c r="H1066" s="45"/>
      <c r="I1066" s="45"/>
      <c r="J1066" s="45"/>
    </row>
    <row r="1067" spans="2:10" x14ac:dyDescent="0.35">
      <c r="B1067" s="45"/>
      <c r="C1067" s="45"/>
      <c r="D1067" s="45"/>
      <c r="E1067" s="45"/>
      <c r="F1067" s="45"/>
      <c r="G1067" s="45"/>
      <c r="H1067" s="45"/>
      <c r="I1067" s="45"/>
      <c r="J1067" s="45"/>
    </row>
    <row r="1068" spans="2:10" x14ac:dyDescent="0.35">
      <c r="B1068" s="45"/>
      <c r="C1068" s="45"/>
      <c r="D1068" s="45"/>
      <c r="E1068" s="45"/>
      <c r="F1068" s="45"/>
      <c r="G1068" s="45"/>
      <c r="H1068" s="45"/>
      <c r="I1068" s="45"/>
      <c r="J1068" s="45"/>
    </row>
    <row r="1069" spans="2:10" x14ac:dyDescent="0.35">
      <c r="B1069" s="45"/>
      <c r="C1069" s="45"/>
      <c r="D1069" s="45"/>
      <c r="E1069" s="45"/>
      <c r="F1069" s="45"/>
      <c r="G1069" s="45"/>
      <c r="H1069" s="45"/>
      <c r="I1069" s="45"/>
      <c r="J1069" s="45"/>
    </row>
    <row r="1070" spans="2:10" x14ac:dyDescent="0.35">
      <c r="B1070" s="45"/>
      <c r="C1070" s="45"/>
      <c r="D1070" s="45"/>
      <c r="E1070" s="45"/>
      <c r="F1070" s="45"/>
      <c r="G1070" s="45"/>
      <c r="H1070" s="45"/>
      <c r="I1070" s="45"/>
      <c r="J1070" s="45"/>
    </row>
    <row r="1071" spans="2:10" x14ac:dyDescent="0.35">
      <c r="B1071" s="45"/>
      <c r="C1071" s="45"/>
      <c r="D1071" s="45"/>
      <c r="E1071" s="45"/>
      <c r="F1071" s="45"/>
      <c r="G1071" s="45"/>
      <c r="H1071" s="45"/>
      <c r="I1071" s="45"/>
      <c r="J1071" s="45"/>
    </row>
    <row r="1072" spans="2:10" x14ac:dyDescent="0.35">
      <c r="B1072" s="45"/>
      <c r="C1072" s="45"/>
      <c r="D1072" s="45"/>
      <c r="E1072" s="45"/>
      <c r="F1072" s="45"/>
      <c r="G1072" s="45"/>
      <c r="H1072" s="45"/>
      <c r="I1072" s="45"/>
      <c r="J1072" s="45"/>
    </row>
    <row r="1073" spans="2:10" x14ac:dyDescent="0.35">
      <c r="B1073" s="45"/>
      <c r="C1073" s="45"/>
      <c r="D1073" s="45"/>
      <c r="E1073" s="45"/>
      <c r="F1073" s="45"/>
      <c r="G1073" s="45"/>
      <c r="H1073" s="45"/>
      <c r="I1073" s="45"/>
      <c r="J1073" s="45"/>
    </row>
    <row r="1074" spans="2:10" x14ac:dyDescent="0.35">
      <c r="B1074" s="45"/>
      <c r="C1074" s="45"/>
      <c r="D1074" s="45"/>
      <c r="E1074" s="45"/>
      <c r="F1074" s="45"/>
      <c r="G1074" s="45"/>
      <c r="H1074" s="45"/>
      <c r="I1074" s="45"/>
      <c r="J1074" s="45"/>
    </row>
    <row r="1075" spans="2:10" x14ac:dyDescent="0.35">
      <c r="B1075" s="45"/>
      <c r="C1075" s="45"/>
      <c r="D1075" s="45"/>
      <c r="E1075" s="45"/>
      <c r="F1075" s="45"/>
      <c r="G1075" s="45"/>
      <c r="H1075" s="45"/>
      <c r="I1075" s="45"/>
      <c r="J1075" s="45"/>
    </row>
    <row r="1076" spans="2:10" x14ac:dyDescent="0.35">
      <c r="B1076" s="45"/>
      <c r="C1076" s="45"/>
      <c r="D1076" s="45"/>
      <c r="E1076" s="45"/>
      <c r="F1076" s="45"/>
      <c r="G1076" s="45"/>
      <c r="H1076" s="45"/>
      <c r="I1076" s="45"/>
      <c r="J1076" s="45"/>
    </row>
    <row r="1077" spans="2:10" x14ac:dyDescent="0.35">
      <c r="B1077" s="45"/>
      <c r="C1077" s="45"/>
      <c r="D1077" s="45"/>
      <c r="E1077" s="45"/>
      <c r="F1077" s="45"/>
      <c r="G1077" s="45"/>
      <c r="H1077" s="45"/>
      <c r="I1077" s="45"/>
      <c r="J1077" s="45"/>
    </row>
    <row r="1078" spans="2:10" x14ac:dyDescent="0.35">
      <c r="B1078" s="45"/>
      <c r="C1078" s="45"/>
      <c r="D1078" s="45"/>
      <c r="E1078" s="45"/>
      <c r="F1078" s="45"/>
      <c r="G1078" s="45"/>
      <c r="H1078" s="45"/>
      <c r="I1078" s="45"/>
      <c r="J1078" s="45"/>
    </row>
    <row r="1079" spans="2:10" x14ac:dyDescent="0.35">
      <c r="B1079" s="45"/>
      <c r="C1079" s="45"/>
      <c r="D1079" s="45"/>
      <c r="E1079" s="45"/>
      <c r="F1079" s="45"/>
      <c r="G1079" s="45"/>
      <c r="H1079" s="45"/>
      <c r="I1079" s="45"/>
      <c r="J1079" s="45"/>
    </row>
    <row r="1080" spans="2:10" x14ac:dyDescent="0.35">
      <c r="B1080" s="45"/>
      <c r="C1080" s="45"/>
      <c r="D1080" s="45"/>
      <c r="E1080" s="45"/>
      <c r="F1080" s="45"/>
      <c r="G1080" s="45"/>
      <c r="H1080" s="45"/>
      <c r="I1080" s="45"/>
      <c r="J1080" s="45"/>
    </row>
    <row r="1081" spans="2:10" x14ac:dyDescent="0.35">
      <c r="B1081" s="45"/>
      <c r="C1081" s="45"/>
      <c r="D1081" s="45"/>
      <c r="E1081" s="45"/>
      <c r="F1081" s="45"/>
      <c r="G1081" s="45"/>
      <c r="H1081" s="45"/>
      <c r="I1081" s="45"/>
      <c r="J1081" s="45"/>
    </row>
    <row r="1082" spans="2:10" x14ac:dyDescent="0.35">
      <c r="B1082" s="45"/>
      <c r="C1082" s="45"/>
      <c r="D1082" s="45"/>
      <c r="E1082" s="45"/>
      <c r="F1082" s="45"/>
      <c r="G1082" s="45"/>
      <c r="H1082" s="45"/>
      <c r="I1082" s="45"/>
      <c r="J1082" s="45"/>
    </row>
    <row r="1083" spans="2:10" x14ac:dyDescent="0.35">
      <c r="B1083" s="45"/>
      <c r="C1083" s="45"/>
      <c r="D1083" s="45"/>
      <c r="E1083" s="45"/>
      <c r="F1083" s="45"/>
      <c r="G1083" s="45"/>
      <c r="H1083" s="45"/>
      <c r="I1083" s="45"/>
      <c r="J1083" s="45"/>
    </row>
    <row r="1084" spans="2:10" x14ac:dyDescent="0.35">
      <c r="B1084" s="45"/>
      <c r="C1084" s="45"/>
      <c r="D1084" s="45"/>
      <c r="E1084" s="45"/>
      <c r="F1084" s="45"/>
      <c r="G1084" s="45"/>
      <c r="H1084" s="45"/>
      <c r="I1084" s="45"/>
      <c r="J1084" s="45"/>
    </row>
    <row r="1085" spans="2:10" x14ac:dyDescent="0.35">
      <c r="B1085" s="45"/>
      <c r="C1085" s="45"/>
      <c r="D1085" s="45"/>
      <c r="E1085" s="45"/>
      <c r="F1085" s="45"/>
      <c r="G1085" s="45"/>
      <c r="H1085" s="45"/>
      <c r="I1085" s="45"/>
      <c r="J1085" s="45"/>
    </row>
    <row r="1086" spans="2:10" x14ac:dyDescent="0.35">
      <c r="B1086" s="45"/>
      <c r="C1086" s="45"/>
      <c r="D1086" s="45"/>
      <c r="E1086" s="45"/>
      <c r="F1086" s="45"/>
      <c r="G1086" s="45"/>
      <c r="H1086" s="45"/>
      <c r="I1086" s="45"/>
      <c r="J1086" s="45"/>
    </row>
    <row r="1087" spans="2:10" x14ac:dyDescent="0.35">
      <c r="B1087" s="45"/>
      <c r="C1087" s="45"/>
      <c r="D1087" s="45"/>
      <c r="E1087" s="45"/>
      <c r="F1087" s="45"/>
      <c r="G1087" s="45"/>
      <c r="H1087" s="45"/>
      <c r="I1087" s="45"/>
      <c r="J1087" s="45"/>
    </row>
    <row r="1088" spans="2:10" x14ac:dyDescent="0.35">
      <c r="B1088" s="45"/>
      <c r="C1088" s="45"/>
      <c r="D1088" s="45"/>
      <c r="E1088" s="45"/>
      <c r="F1088" s="45"/>
      <c r="G1088" s="45"/>
      <c r="H1088" s="45"/>
      <c r="I1088" s="45"/>
      <c r="J1088" s="45"/>
    </row>
    <row r="1089" spans="2:10" x14ac:dyDescent="0.35">
      <c r="B1089" s="45"/>
      <c r="C1089" s="45"/>
      <c r="D1089" s="45"/>
      <c r="E1089" s="45"/>
      <c r="F1089" s="45"/>
      <c r="G1089" s="45"/>
      <c r="H1089" s="45"/>
      <c r="I1089" s="45"/>
      <c r="J1089" s="45"/>
    </row>
    <row r="1090" spans="2:10" x14ac:dyDescent="0.35">
      <c r="B1090" s="45"/>
      <c r="C1090" s="45"/>
      <c r="D1090" s="45"/>
      <c r="E1090" s="45"/>
      <c r="F1090" s="45"/>
      <c r="G1090" s="45"/>
      <c r="H1090" s="45"/>
      <c r="I1090" s="45"/>
      <c r="J1090" s="45"/>
    </row>
    <row r="1091" spans="2:10" x14ac:dyDescent="0.35">
      <c r="B1091" s="45"/>
      <c r="C1091" s="45"/>
      <c r="D1091" s="45"/>
      <c r="E1091" s="45"/>
      <c r="F1091" s="45"/>
      <c r="G1091" s="45"/>
      <c r="H1091" s="45"/>
      <c r="I1091" s="45"/>
      <c r="J1091" s="45"/>
    </row>
    <row r="1092" spans="2:10" x14ac:dyDescent="0.35">
      <c r="B1092" s="45"/>
      <c r="C1092" s="45"/>
      <c r="D1092" s="45"/>
      <c r="E1092" s="45"/>
      <c r="F1092" s="45"/>
      <c r="G1092" s="45"/>
      <c r="H1092" s="45"/>
      <c r="I1092" s="45"/>
      <c r="J1092" s="45"/>
    </row>
    <row r="1093" spans="2:10" x14ac:dyDescent="0.35">
      <c r="B1093" s="45"/>
      <c r="C1093" s="45"/>
      <c r="D1093" s="45"/>
      <c r="E1093" s="45"/>
      <c r="F1093" s="45"/>
      <c r="G1093" s="45"/>
      <c r="H1093" s="45"/>
      <c r="I1093" s="45"/>
      <c r="J1093" s="45"/>
    </row>
    <row r="1094" spans="2:10" x14ac:dyDescent="0.35">
      <c r="B1094" s="45"/>
      <c r="C1094" s="45"/>
      <c r="D1094" s="45"/>
      <c r="E1094" s="45"/>
      <c r="F1094" s="45"/>
      <c r="G1094" s="45"/>
      <c r="H1094" s="45"/>
      <c r="I1094" s="45"/>
      <c r="J1094" s="45"/>
    </row>
    <row r="1095" spans="2:10" x14ac:dyDescent="0.35">
      <c r="B1095" s="45"/>
      <c r="C1095" s="45"/>
      <c r="D1095" s="45"/>
      <c r="E1095" s="45"/>
      <c r="F1095" s="45"/>
      <c r="G1095" s="45"/>
      <c r="H1095" s="45"/>
      <c r="I1095" s="45"/>
      <c r="J1095" s="45"/>
    </row>
    <row r="1096" spans="2:10" x14ac:dyDescent="0.35">
      <c r="B1096" s="45"/>
      <c r="C1096" s="45"/>
      <c r="D1096" s="45"/>
      <c r="E1096" s="45"/>
      <c r="F1096" s="45"/>
      <c r="G1096" s="45"/>
      <c r="H1096" s="45"/>
      <c r="I1096" s="45"/>
      <c r="J1096" s="45"/>
    </row>
    <row r="1097" spans="2:10" x14ac:dyDescent="0.35">
      <c r="B1097" s="45"/>
      <c r="C1097" s="45"/>
      <c r="D1097" s="45"/>
      <c r="E1097" s="45"/>
      <c r="F1097" s="45"/>
      <c r="G1097" s="45"/>
      <c r="H1097" s="45"/>
      <c r="I1097" s="45"/>
      <c r="J1097" s="45"/>
    </row>
    <row r="1098" spans="2:10" x14ac:dyDescent="0.35">
      <c r="B1098" s="45"/>
      <c r="C1098" s="45"/>
      <c r="D1098" s="45"/>
      <c r="E1098" s="45"/>
      <c r="F1098" s="45"/>
      <c r="G1098" s="45"/>
      <c r="H1098" s="45"/>
      <c r="I1098" s="45"/>
      <c r="J1098" s="45"/>
    </row>
    <row r="1099" spans="2:10" x14ac:dyDescent="0.35">
      <c r="B1099" s="45"/>
      <c r="C1099" s="45"/>
      <c r="D1099" s="45"/>
      <c r="E1099" s="45"/>
      <c r="F1099" s="45"/>
      <c r="G1099" s="45"/>
      <c r="H1099" s="45"/>
      <c r="I1099" s="45"/>
      <c r="J1099" s="45"/>
    </row>
    <row r="1100" spans="2:10" x14ac:dyDescent="0.35">
      <c r="B1100" s="45"/>
      <c r="C1100" s="45"/>
      <c r="D1100" s="45"/>
      <c r="E1100" s="45"/>
      <c r="F1100" s="45"/>
      <c r="G1100" s="45"/>
      <c r="H1100" s="45"/>
      <c r="I1100" s="45"/>
      <c r="J1100" s="45"/>
    </row>
    <row r="1101" spans="2:10" x14ac:dyDescent="0.35">
      <c r="B1101" s="45"/>
      <c r="C1101" s="45"/>
      <c r="D1101" s="45"/>
      <c r="E1101" s="45"/>
      <c r="F1101" s="45"/>
      <c r="G1101" s="45"/>
      <c r="H1101" s="45"/>
      <c r="I1101" s="45"/>
      <c r="J1101" s="45"/>
    </row>
    <row r="1102" spans="2:10" x14ac:dyDescent="0.35">
      <c r="B1102" s="45"/>
      <c r="C1102" s="45"/>
      <c r="D1102" s="45"/>
      <c r="E1102" s="45"/>
      <c r="F1102" s="45"/>
      <c r="G1102" s="45"/>
      <c r="H1102" s="45"/>
      <c r="I1102" s="45"/>
      <c r="J1102" s="45"/>
    </row>
    <row r="1103" spans="2:10" x14ac:dyDescent="0.35">
      <c r="B1103" s="45"/>
      <c r="C1103" s="45"/>
      <c r="D1103" s="45"/>
      <c r="E1103" s="45"/>
      <c r="F1103" s="45"/>
      <c r="G1103" s="45"/>
      <c r="H1103" s="45"/>
      <c r="I1103" s="45"/>
      <c r="J1103" s="45"/>
    </row>
    <row r="1104" spans="2:10" x14ac:dyDescent="0.35">
      <c r="B1104" s="45"/>
      <c r="C1104" s="45"/>
      <c r="D1104" s="45"/>
      <c r="E1104" s="45"/>
      <c r="F1104" s="45"/>
      <c r="G1104" s="45"/>
      <c r="H1104" s="45"/>
      <c r="I1104" s="45"/>
      <c r="J1104" s="45"/>
    </row>
    <row r="1105" spans="2:10" x14ac:dyDescent="0.35">
      <c r="B1105" s="45"/>
      <c r="C1105" s="45"/>
      <c r="D1105" s="45"/>
      <c r="E1105" s="45"/>
      <c r="F1105" s="45"/>
      <c r="G1105" s="45"/>
      <c r="H1105" s="45"/>
      <c r="I1105" s="45"/>
      <c r="J1105" s="45"/>
    </row>
    <row r="1106" spans="2:10" x14ac:dyDescent="0.35">
      <c r="B1106" s="45"/>
      <c r="C1106" s="45"/>
      <c r="D1106" s="45"/>
      <c r="E1106" s="45"/>
      <c r="F1106" s="45"/>
      <c r="G1106" s="45"/>
      <c r="H1106" s="45"/>
      <c r="I1106" s="45"/>
      <c r="J1106" s="45"/>
    </row>
    <row r="1107" spans="2:10" x14ac:dyDescent="0.35">
      <c r="B1107" s="45"/>
      <c r="C1107" s="45"/>
      <c r="D1107" s="45"/>
      <c r="E1107" s="45"/>
      <c r="F1107" s="45"/>
      <c r="G1107" s="45"/>
      <c r="H1107" s="45"/>
      <c r="I1107" s="45"/>
      <c r="J1107" s="45"/>
    </row>
    <row r="1108" spans="2:10" x14ac:dyDescent="0.35">
      <c r="B1108" s="45"/>
      <c r="C1108" s="45"/>
      <c r="D1108" s="45"/>
      <c r="E1108" s="45"/>
      <c r="F1108" s="45"/>
      <c r="G1108" s="45"/>
      <c r="H1108" s="45"/>
      <c r="I1108" s="45"/>
      <c r="J1108" s="45"/>
    </row>
    <row r="1109" spans="2:10" x14ac:dyDescent="0.35">
      <c r="B1109" s="45"/>
      <c r="C1109" s="45"/>
      <c r="D1109" s="45"/>
      <c r="E1109" s="45"/>
      <c r="F1109" s="45"/>
      <c r="G1109" s="45"/>
      <c r="H1109" s="45"/>
      <c r="I1109" s="45"/>
      <c r="J1109" s="45"/>
    </row>
    <row r="1110" spans="2:10" x14ac:dyDescent="0.35">
      <c r="B1110" s="45"/>
      <c r="C1110" s="45"/>
      <c r="D1110" s="45"/>
      <c r="E1110" s="45"/>
      <c r="F1110" s="45"/>
      <c r="G1110" s="45"/>
      <c r="H1110" s="45"/>
      <c r="I1110" s="45"/>
      <c r="J1110" s="45"/>
    </row>
    <row r="1111" spans="2:10" x14ac:dyDescent="0.35">
      <c r="B1111" s="45"/>
      <c r="C1111" s="45"/>
      <c r="D1111" s="45"/>
      <c r="E1111" s="45"/>
      <c r="F1111" s="45"/>
      <c r="G1111" s="45"/>
      <c r="H1111" s="45"/>
      <c r="I1111" s="45"/>
      <c r="J1111" s="45"/>
    </row>
    <row r="1112" spans="2:10" x14ac:dyDescent="0.35">
      <c r="B1112" s="45"/>
      <c r="C1112" s="45"/>
      <c r="D1112" s="45"/>
      <c r="E1112" s="45"/>
      <c r="F1112" s="45"/>
      <c r="G1112" s="45"/>
      <c r="H1112" s="45"/>
      <c r="I1112" s="45"/>
      <c r="J1112" s="45"/>
    </row>
    <row r="1113" spans="2:10" x14ac:dyDescent="0.35">
      <c r="B1113" s="45"/>
      <c r="C1113" s="45"/>
      <c r="D1113" s="45"/>
      <c r="E1113" s="45"/>
      <c r="F1113" s="45"/>
      <c r="G1113" s="45"/>
      <c r="H1113" s="45"/>
      <c r="I1113" s="45"/>
      <c r="J1113" s="45"/>
    </row>
    <row r="1114" spans="2:10" x14ac:dyDescent="0.35">
      <c r="B1114" s="45"/>
      <c r="C1114" s="45"/>
      <c r="D1114" s="45"/>
      <c r="E1114" s="45"/>
      <c r="F1114" s="45"/>
      <c r="G1114" s="45"/>
      <c r="H1114" s="45"/>
      <c r="I1114" s="45"/>
      <c r="J1114" s="45"/>
    </row>
    <row r="1115" spans="2:10" x14ac:dyDescent="0.35">
      <c r="B1115" s="45"/>
      <c r="C1115" s="45"/>
      <c r="D1115" s="45"/>
      <c r="E1115" s="45"/>
      <c r="F1115" s="45"/>
      <c r="G1115" s="45"/>
      <c r="H1115" s="45"/>
      <c r="I1115" s="45"/>
      <c r="J1115" s="45"/>
    </row>
    <row r="1116" spans="2:10" x14ac:dyDescent="0.35">
      <c r="B1116" s="45"/>
      <c r="C1116" s="45"/>
      <c r="D1116" s="45"/>
      <c r="E1116" s="45"/>
      <c r="F1116" s="45"/>
      <c r="G1116" s="45"/>
      <c r="H1116" s="45"/>
      <c r="I1116" s="45"/>
      <c r="J1116" s="45"/>
    </row>
    <row r="1117" spans="2:10" x14ac:dyDescent="0.35">
      <c r="B1117" s="45"/>
      <c r="C1117" s="45"/>
      <c r="D1117" s="45"/>
      <c r="E1117" s="45"/>
      <c r="F1117" s="45"/>
      <c r="G1117" s="45"/>
      <c r="H1117" s="45"/>
      <c r="I1117" s="45"/>
      <c r="J1117" s="45"/>
    </row>
    <row r="1118" spans="2:10" x14ac:dyDescent="0.35">
      <c r="B1118" s="45"/>
      <c r="C1118" s="45"/>
      <c r="D1118" s="45"/>
      <c r="E1118" s="45"/>
      <c r="F1118" s="45"/>
      <c r="G1118" s="45"/>
      <c r="H1118" s="45"/>
      <c r="I1118" s="45"/>
      <c r="J1118" s="45"/>
    </row>
    <row r="1119" spans="2:10" x14ac:dyDescent="0.35">
      <c r="B1119" s="45"/>
      <c r="C1119" s="45"/>
      <c r="D1119" s="45"/>
      <c r="E1119" s="45"/>
      <c r="F1119" s="45"/>
      <c r="G1119" s="45"/>
      <c r="H1119" s="45"/>
      <c r="I1119" s="45"/>
      <c r="J1119" s="45"/>
    </row>
    <row r="1120" spans="2:10" x14ac:dyDescent="0.35">
      <c r="B1120" s="45"/>
      <c r="C1120" s="45"/>
      <c r="D1120" s="45"/>
      <c r="E1120" s="45"/>
      <c r="F1120" s="45"/>
      <c r="G1120" s="45"/>
      <c r="H1120" s="45"/>
      <c r="I1120" s="45"/>
      <c r="J1120" s="45"/>
    </row>
    <row r="1121" spans="2:10" x14ac:dyDescent="0.35">
      <c r="B1121" s="45"/>
      <c r="C1121" s="45"/>
      <c r="D1121" s="45"/>
      <c r="E1121" s="45"/>
      <c r="F1121" s="45"/>
      <c r="G1121" s="45"/>
      <c r="H1121" s="45"/>
      <c r="I1121" s="45"/>
      <c r="J1121" s="45"/>
    </row>
    <row r="1122" spans="2:10" x14ac:dyDescent="0.35">
      <c r="B1122" s="45"/>
      <c r="C1122" s="45"/>
      <c r="D1122" s="45"/>
      <c r="E1122" s="45"/>
      <c r="F1122" s="45"/>
      <c r="G1122" s="45"/>
      <c r="H1122" s="45"/>
      <c r="I1122" s="45"/>
      <c r="J1122" s="45"/>
    </row>
    <row r="1123" spans="2:10" x14ac:dyDescent="0.35">
      <c r="B1123" s="45"/>
      <c r="C1123" s="45"/>
      <c r="D1123" s="45"/>
      <c r="E1123" s="45"/>
      <c r="F1123" s="45"/>
      <c r="G1123" s="45"/>
      <c r="H1123" s="45"/>
      <c r="I1123" s="45"/>
      <c r="J1123" s="45"/>
    </row>
    <row r="1124" spans="2:10" x14ac:dyDescent="0.35">
      <c r="B1124" s="45"/>
      <c r="C1124" s="45"/>
      <c r="D1124" s="45"/>
      <c r="E1124" s="45"/>
      <c r="F1124" s="45"/>
      <c r="G1124" s="45"/>
      <c r="H1124" s="45"/>
      <c r="I1124" s="45"/>
      <c r="J1124" s="45"/>
    </row>
    <row r="1125" spans="2:10" x14ac:dyDescent="0.35">
      <c r="B1125" s="45"/>
      <c r="C1125" s="45"/>
      <c r="D1125" s="45"/>
      <c r="E1125" s="45"/>
      <c r="F1125" s="45"/>
      <c r="G1125" s="45"/>
      <c r="H1125" s="45"/>
      <c r="I1125" s="45"/>
      <c r="J1125" s="45"/>
    </row>
    <row r="1126" spans="2:10" x14ac:dyDescent="0.35">
      <c r="B1126" s="45"/>
      <c r="C1126" s="45"/>
      <c r="D1126" s="45"/>
      <c r="E1126" s="45"/>
      <c r="F1126" s="45"/>
      <c r="G1126" s="45"/>
      <c r="H1126" s="45"/>
      <c r="I1126" s="45"/>
      <c r="J1126" s="45"/>
    </row>
    <row r="1127" spans="2:10" x14ac:dyDescent="0.35">
      <c r="B1127" s="45"/>
      <c r="C1127" s="45"/>
      <c r="D1127" s="45"/>
      <c r="E1127" s="45"/>
      <c r="F1127" s="45"/>
      <c r="G1127" s="45"/>
      <c r="H1127" s="45"/>
      <c r="I1127" s="45"/>
      <c r="J1127" s="45"/>
    </row>
    <row r="1128" spans="2:10" x14ac:dyDescent="0.35">
      <c r="B1128" s="45"/>
      <c r="C1128" s="45"/>
      <c r="D1128" s="45"/>
      <c r="E1128" s="45"/>
      <c r="F1128" s="45"/>
      <c r="G1128" s="45"/>
      <c r="H1128" s="45"/>
      <c r="I1128" s="45"/>
      <c r="J1128" s="45"/>
    </row>
    <row r="1129" spans="2:10" x14ac:dyDescent="0.35">
      <c r="B1129" s="45"/>
      <c r="C1129" s="45"/>
      <c r="D1129" s="45"/>
      <c r="E1129" s="45"/>
      <c r="F1129" s="45"/>
      <c r="G1129" s="45"/>
      <c r="H1129" s="45"/>
      <c r="I1129" s="45"/>
      <c r="J1129" s="45"/>
    </row>
    <row r="1130" spans="2:10" x14ac:dyDescent="0.35">
      <c r="B1130" s="45"/>
      <c r="C1130" s="45"/>
      <c r="D1130" s="45"/>
      <c r="E1130" s="45"/>
      <c r="F1130" s="45"/>
      <c r="G1130" s="45"/>
      <c r="H1130" s="45"/>
      <c r="I1130" s="45"/>
      <c r="J1130" s="45"/>
    </row>
    <row r="1131" spans="2:10" x14ac:dyDescent="0.35">
      <c r="B1131" s="45"/>
      <c r="C1131" s="45"/>
      <c r="D1131" s="45"/>
      <c r="E1131" s="45"/>
      <c r="F1131" s="45"/>
      <c r="G1131" s="45"/>
      <c r="H1131" s="45"/>
      <c r="I1131" s="45"/>
      <c r="J1131" s="45"/>
    </row>
    <row r="1132" spans="2:10" x14ac:dyDescent="0.35">
      <c r="B1132" s="45"/>
      <c r="C1132" s="45"/>
      <c r="D1132" s="45"/>
      <c r="E1132" s="45"/>
      <c r="F1132" s="45"/>
      <c r="G1132" s="45"/>
      <c r="H1132" s="45"/>
      <c r="I1132" s="45"/>
      <c r="J1132" s="45"/>
    </row>
    <row r="1133" spans="2:10" x14ac:dyDescent="0.35">
      <c r="B1133" s="45"/>
      <c r="C1133" s="45"/>
      <c r="D1133" s="45"/>
      <c r="E1133" s="45"/>
      <c r="F1133" s="45"/>
      <c r="G1133" s="45"/>
      <c r="H1133" s="45"/>
      <c r="I1133" s="45"/>
      <c r="J1133" s="45"/>
    </row>
    <row r="1134" spans="2:10" x14ac:dyDescent="0.35">
      <c r="B1134" s="45"/>
      <c r="C1134" s="45"/>
      <c r="D1134" s="45"/>
      <c r="E1134" s="45"/>
      <c r="F1134" s="45"/>
      <c r="G1134" s="45"/>
      <c r="H1134" s="45"/>
      <c r="I1134" s="45"/>
      <c r="J1134" s="45"/>
    </row>
    <row r="1135" spans="2:10" x14ac:dyDescent="0.35">
      <c r="B1135" s="45"/>
      <c r="C1135" s="45"/>
      <c r="D1135" s="45"/>
      <c r="E1135" s="45"/>
      <c r="F1135" s="45"/>
      <c r="G1135" s="45"/>
      <c r="H1135" s="45"/>
      <c r="I1135" s="45"/>
      <c r="J1135" s="45"/>
    </row>
    <row r="1136" spans="2:10" x14ac:dyDescent="0.35">
      <c r="B1136" s="45"/>
      <c r="C1136" s="45"/>
      <c r="D1136" s="45"/>
      <c r="E1136" s="45"/>
      <c r="F1136" s="45"/>
      <c r="G1136" s="45"/>
      <c r="H1136" s="45"/>
      <c r="I1136" s="45"/>
      <c r="J1136" s="45"/>
    </row>
    <row r="1137" spans="2:10" x14ac:dyDescent="0.35">
      <c r="B1137" s="45"/>
      <c r="C1137" s="45"/>
      <c r="D1137" s="45"/>
      <c r="E1137" s="45"/>
      <c r="F1137" s="45"/>
      <c r="G1137" s="45"/>
      <c r="H1137" s="45"/>
      <c r="I1137" s="45"/>
      <c r="J1137" s="45"/>
    </row>
    <row r="1138" spans="2:10" x14ac:dyDescent="0.35">
      <c r="B1138" s="45"/>
      <c r="C1138" s="45"/>
      <c r="D1138" s="45"/>
      <c r="E1138" s="45"/>
      <c r="F1138" s="45"/>
      <c r="G1138" s="45"/>
      <c r="H1138" s="45"/>
      <c r="I1138" s="45"/>
      <c r="J1138" s="45"/>
    </row>
    <row r="1139" spans="2:10" x14ac:dyDescent="0.35">
      <c r="B1139" s="45"/>
      <c r="C1139" s="45"/>
      <c r="D1139" s="45"/>
      <c r="E1139" s="45"/>
      <c r="F1139" s="45"/>
      <c r="G1139" s="45"/>
      <c r="H1139" s="45"/>
      <c r="I1139" s="45"/>
      <c r="J1139" s="45"/>
    </row>
    <row r="1140" spans="2:10" x14ac:dyDescent="0.35">
      <c r="B1140" s="45"/>
      <c r="C1140" s="45"/>
      <c r="D1140" s="45"/>
      <c r="E1140" s="45"/>
      <c r="F1140" s="45"/>
      <c r="G1140" s="45"/>
      <c r="H1140" s="45"/>
      <c r="I1140" s="45"/>
      <c r="J1140" s="45"/>
    </row>
    <row r="1141" spans="2:10" x14ac:dyDescent="0.35">
      <c r="B1141" s="45"/>
      <c r="C1141" s="45"/>
      <c r="D1141" s="45"/>
      <c r="E1141" s="45"/>
      <c r="F1141" s="45"/>
      <c r="G1141" s="45"/>
      <c r="H1141" s="45"/>
      <c r="I1141" s="45"/>
      <c r="J1141" s="45"/>
    </row>
    <row r="1142" spans="2:10" x14ac:dyDescent="0.35">
      <c r="B1142" s="45"/>
      <c r="C1142" s="45"/>
      <c r="D1142" s="45"/>
      <c r="E1142" s="45"/>
      <c r="F1142" s="45"/>
      <c r="G1142" s="45"/>
      <c r="H1142" s="45"/>
      <c r="I1142" s="45"/>
      <c r="J1142" s="45"/>
    </row>
    <row r="1143" spans="2:10" x14ac:dyDescent="0.35">
      <c r="B1143" s="45"/>
      <c r="C1143" s="45"/>
      <c r="D1143" s="45"/>
      <c r="E1143" s="45"/>
      <c r="F1143" s="45"/>
      <c r="G1143" s="45"/>
      <c r="H1143" s="45"/>
      <c r="I1143" s="45"/>
      <c r="J1143" s="45"/>
    </row>
    <row r="1144" spans="2:10" x14ac:dyDescent="0.35">
      <c r="B1144" s="45"/>
      <c r="C1144" s="45"/>
      <c r="D1144" s="45"/>
      <c r="E1144" s="45"/>
      <c r="F1144" s="45"/>
      <c r="G1144" s="45"/>
      <c r="H1144" s="45"/>
      <c r="I1144" s="45"/>
      <c r="J1144" s="45"/>
    </row>
    <row r="1145" spans="2:10" x14ac:dyDescent="0.35">
      <c r="B1145" s="45"/>
      <c r="C1145" s="45"/>
      <c r="D1145" s="45"/>
      <c r="E1145" s="45"/>
      <c r="F1145" s="45"/>
      <c r="G1145" s="45"/>
      <c r="H1145" s="45"/>
      <c r="I1145" s="45"/>
      <c r="J1145" s="45"/>
    </row>
    <row r="1146" spans="2:10" x14ac:dyDescent="0.35">
      <c r="B1146" s="45"/>
      <c r="C1146" s="45"/>
      <c r="D1146" s="45"/>
      <c r="E1146" s="45"/>
      <c r="F1146" s="45"/>
      <c r="G1146" s="45"/>
      <c r="H1146" s="45"/>
      <c r="I1146" s="45"/>
      <c r="J1146" s="45"/>
    </row>
    <row r="1147" spans="2:10" x14ac:dyDescent="0.35">
      <c r="B1147" s="45"/>
      <c r="C1147" s="45"/>
      <c r="D1147" s="45"/>
      <c r="E1147" s="45"/>
      <c r="F1147" s="45"/>
      <c r="G1147" s="45"/>
      <c r="H1147" s="45"/>
      <c r="I1147" s="45"/>
      <c r="J1147" s="45"/>
    </row>
    <row r="1148" spans="2:10" x14ac:dyDescent="0.35">
      <c r="B1148" s="45"/>
      <c r="C1148" s="45"/>
      <c r="D1148" s="45"/>
      <c r="E1148" s="45"/>
      <c r="F1148" s="45"/>
      <c r="G1148" s="45"/>
      <c r="H1148" s="45"/>
      <c r="I1148" s="45"/>
      <c r="J1148" s="45"/>
    </row>
    <row r="1149" spans="2:10" x14ac:dyDescent="0.35">
      <c r="B1149" s="45"/>
      <c r="C1149" s="45"/>
      <c r="D1149" s="45"/>
      <c r="E1149" s="45"/>
      <c r="F1149" s="45"/>
      <c r="G1149" s="45"/>
      <c r="H1149" s="45"/>
      <c r="I1149" s="45"/>
      <c r="J1149" s="45"/>
    </row>
    <row r="1150" spans="2:10" x14ac:dyDescent="0.35">
      <c r="B1150" s="45"/>
      <c r="C1150" s="45"/>
      <c r="D1150" s="45"/>
      <c r="E1150" s="45"/>
      <c r="F1150" s="45"/>
      <c r="G1150" s="45"/>
      <c r="H1150" s="45"/>
      <c r="I1150" s="45"/>
      <c r="J1150" s="45"/>
    </row>
    <row r="1151" spans="2:10" x14ac:dyDescent="0.35">
      <c r="B1151" s="45"/>
      <c r="C1151" s="45"/>
      <c r="D1151" s="45"/>
      <c r="E1151" s="45"/>
      <c r="F1151" s="45"/>
      <c r="G1151" s="45"/>
      <c r="H1151" s="45"/>
      <c r="I1151" s="45"/>
      <c r="J1151" s="45"/>
    </row>
    <row r="1152" spans="2:10" x14ac:dyDescent="0.35">
      <c r="B1152" s="45"/>
      <c r="C1152" s="45"/>
      <c r="D1152" s="45"/>
      <c r="E1152" s="45"/>
      <c r="F1152" s="45"/>
      <c r="G1152" s="45"/>
      <c r="H1152" s="45"/>
      <c r="I1152" s="45"/>
      <c r="J1152" s="45"/>
    </row>
    <row r="1153" spans="2:10" x14ac:dyDescent="0.35">
      <c r="B1153" s="45"/>
      <c r="C1153" s="45"/>
      <c r="D1153" s="45"/>
      <c r="E1153" s="45"/>
      <c r="F1153" s="45"/>
      <c r="G1153" s="45"/>
      <c r="H1153" s="45"/>
      <c r="I1153" s="45"/>
      <c r="J1153" s="45"/>
    </row>
    <row r="1154" spans="2:10" x14ac:dyDescent="0.35">
      <c r="B1154" s="45"/>
      <c r="C1154" s="45"/>
      <c r="D1154" s="45"/>
      <c r="E1154" s="45"/>
      <c r="F1154" s="45"/>
      <c r="G1154" s="45"/>
      <c r="H1154" s="45"/>
      <c r="I1154" s="45"/>
      <c r="J1154" s="45"/>
    </row>
    <row r="1155" spans="2:10" x14ac:dyDescent="0.35">
      <c r="B1155" s="45"/>
      <c r="C1155" s="45"/>
      <c r="D1155" s="45"/>
      <c r="E1155" s="45"/>
      <c r="F1155" s="45"/>
      <c r="G1155" s="45"/>
      <c r="H1155" s="45"/>
      <c r="I1155" s="45"/>
      <c r="J1155" s="45"/>
    </row>
    <row r="1156" spans="2:10" x14ac:dyDescent="0.35">
      <c r="B1156" s="45"/>
      <c r="C1156" s="45"/>
      <c r="D1156" s="45"/>
      <c r="E1156" s="45"/>
      <c r="F1156" s="45"/>
      <c r="G1156" s="45"/>
      <c r="H1156" s="45"/>
      <c r="I1156" s="45"/>
      <c r="J1156" s="45"/>
    </row>
    <row r="1157" spans="2:10" x14ac:dyDescent="0.35">
      <c r="B1157" s="45"/>
      <c r="C1157" s="45"/>
      <c r="D1157" s="45"/>
      <c r="E1157" s="45"/>
      <c r="F1157" s="45"/>
      <c r="G1157" s="45"/>
      <c r="H1157" s="45"/>
      <c r="I1157" s="45"/>
      <c r="J1157" s="45"/>
    </row>
    <row r="1158" spans="2:10" x14ac:dyDescent="0.35">
      <c r="B1158" s="45"/>
      <c r="C1158" s="45"/>
      <c r="D1158" s="45"/>
      <c r="E1158" s="45"/>
      <c r="F1158" s="45"/>
      <c r="G1158" s="45"/>
      <c r="H1158" s="45"/>
      <c r="I1158" s="45"/>
      <c r="J1158" s="45"/>
    </row>
    <row r="1159" spans="2:10" x14ac:dyDescent="0.35">
      <c r="B1159" s="45"/>
      <c r="C1159" s="45"/>
      <c r="D1159" s="45"/>
      <c r="E1159" s="45"/>
      <c r="F1159" s="45"/>
      <c r="G1159" s="45"/>
      <c r="H1159" s="45"/>
      <c r="I1159" s="45"/>
      <c r="J1159" s="45"/>
    </row>
    <row r="1160" spans="2:10" x14ac:dyDescent="0.35">
      <c r="B1160" s="45"/>
      <c r="C1160" s="45"/>
      <c r="D1160" s="45"/>
      <c r="E1160" s="45"/>
      <c r="F1160" s="45"/>
      <c r="G1160" s="45"/>
      <c r="H1160" s="45"/>
      <c r="I1160" s="45"/>
      <c r="J1160" s="45"/>
    </row>
    <row r="1161" spans="2:10" x14ac:dyDescent="0.35">
      <c r="B1161" s="45"/>
      <c r="C1161" s="45"/>
      <c r="D1161" s="45"/>
      <c r="E1161" s="45"/>
      <c r="F1161" s="45"/>
      <c r="G1161" s="45"/>
      <c r="H1161" s="45"/>
      <c r="I1161" s="45"/>
      <c r="J1161" s="45"/>
    </row>
    <row r="1162" spans="2:10" x14ac:dyDescent="0.35">
      <c r="B1162" s="45"/>
      <c r="C1162" s="45"/>
      <c r="D1162" s="45"/>
      <c r="E1162" s="45"/>
      <c r="F1162" s="45"/>
      <c r="G1162" s="45"/>
      <c r="H1162" s="45"/>
      <c r="I1162" s="45"/>
      <c r="J1162" s="45"/>
    </row>
    <row r="1163" spans="2:10" x14ac:dyDescent="0.35">
      <c r="B1163" s="45"/>
      <c r="C1163" s="45"/>
      <c r="D1163" s="45"/>
      <c r="E1163" s="45"/>
      <c r="F1163" s="45"/>
      <c r="G1163" s="45"/>
      <c r="H1163" s="45"/>
      <c r="I1163" s="45"/>
      <c r="J1163" s="45"/>
    </row>
    <row r="1164" spans="2:10" x14ac:dyDescent="0.35">
      <c r="B1164" s="45"/>
      <c r="C1164" s="45"/>
      <c r="D1164" s="45"/>
      <c r="E1164" s="45"/>
      <c r="F1164" s="45"/>
      <c r="G1164" s="45"/>
      <c r="H1164" s="45"/>
      <c r="I1164" s="45"/>
      <c r="J1164" s="45"/>
    </row>
    <row r="1165" spans="2:10" x14ac:dyDescent="0.35">
      <c r="B1165" s="45"/>
      <c r="C1165" s="45"/>
      <c r="D1165" s="45"/>
      <c r="E1165" s="45"/>
      <c r="F1165" s="45"/>
      <c r="G1165" s="45"/>
      <c r="H1165" s="45"/>
      <c r="I1165" s="45"/>
      <c r="J1165" s="45"/>
    </row>
    <row r="1166" spans="2:10" x14ac:dyDescent="0.35">
      <c r="B1166" s="45"/>
      <c r="C1166" s="45"/>
      <c r="D1166" s="45"/>
      <c r="E1166" s="45"/>
      <c r="F1166" s="45"/>
      <c r="G1166" s="45"/>
      <c r="H1166" s="45"/>
      <c r="I1166" s="45"/>
      <c r="J1166" s="45"/>
    </row>
    <row r="1167" spans="2:10" x14ac:dyDescent="0.35">
      <c r="B1167" s="45"/>
      <c r="C1167" s="45"/>
      <c r="D1167" s="45"/>
      <c r="E1167" s="45"/>
      <c r="F1167" s="45"/>
      <c r="G1167" s="45"/>
      <c r="H1167" s="45"/>
      <c r="I1167" s="45"/>
      <c r="J1167" s="45"/>
    </row>
    <row r="1168" spans="2:10" x14ac:dyDescent="0.35">
      <c r="B1168" s="45"/>
      <c r="C1168" s="45"/>
      <c r="D1168" s="45"/>
      <c r="E1168" s="45"/>
      <c r="F1168" s="45"/>
      <c r="G1168" s="45"/>
      <c r="H1168" s="45"/>
      <c r="I1168" s="45"/>
      <c r="J1168" s="45"/>
    </row>
    <row r="1169" spans="2:10" x14ac:dyDescent="0.35">
      <c r="B1169" s="45"/>
      <c r="C1169" s="45"/>
      <c r="D1169" s="45"/>
      <c r="E1169" s="45"/>
      <c r="F1169" s="45"/>
      <c r="G1169" s="45"/>
      <c r="H1169" s="45"/>
      <c r="I1169" s="45"/>
      <c r="J1169" s="45"/>
    </row>
    <row r="1170" spans="2:10" x14ac:dyDescent="0.35">
      <c r="B1170" s="45"/>
      <c r="C1170" s="45"/>
      <c r="D1170" s="45"/>
      <c r="E1170" s="45"/>
      <c r="F1170" s="45"/>
      <c r="G1170" s="45"/>
      <c r="H1170" s="45"/>
      <c r="I1170" s="45"/>
      <c r="J1170" s="45"/>
    </row>
    <row r="1171" spans="2:10" x14ac:dyDescent="0.35">
      <c r="B1171" s="45"/>
      <c r="C1171" s="45"/>
      <c r="D1171" s="45"/>
      <c r="E1171" s="45"/>
      <c r="F1171" s="45"/>
      <c r="G1171" s="45"/>
      <c r="H1171" s="45"/>
      <c r="I1171" s="45"/>
      <c r="J1171" s="45"/>
    </row>
    <row r="1172" spans="2:10" x14ac:dyDescent="0.35">
      <c r="B1172" s="45"/>
      <c r="C1172" s="45"/>
      <c r="D1172" s="45"/>
      <c r="E1172" s="45"/>
      <c r="F1172" s="45"/>
      <c r="G1172" s="45"/>
      <c r="H1172" s="45"/>
      <c r="I1172" s="45"/>
      <c r="J1172" s="45"/>
    </row>
    <row r="1173" spans="2:10" x14ac:dyDescent="0.35">
      <c r="B1173" s="45"/>
      <c r="C1173" s="45"/>
      <c r="D1173" s="45"/>
      <c r="E1173" s="45"/>
      <c r="F1173" s="45"/>
      <c r="G1173" s="45"/>
      <c r="H1173" s="45"/>
      <c r="I1173" s="45"/>
      <c r="J1173" s="45"/>
    </row>
    <row r="1174" spans="2:10" x14ac:dyDescent="0.35">
      <c r="B1174" s="45"/>
      <c r="C1174" s="45"/>
      <c r="D1174" s="45"/>
      <c r="E1174" s="45"/>
      <c r="F1174" s="45"/>
      <c r="G1174" s="45"/>
      <c r="H1174" s="45"/>
      <c r="I1174" s="45"/>
      <c r="J1174" s="45"/>
    </row>
    <row r="1175" spans="2:10" x14ac:dyDescent="0.35">
      <c r="B1175" s="45"/>
      <c r="C1175" s="45"/>
      <c r="D1175" s="45"/>
      <c r="E1175" s="45"/>
      <c r="F1175" s="45"/>
      <c r="G1175" s="45"/>
      <c r="H1175" s="45"/>
      <c r="I1175" s="45"/>
      <c r="J1175" s="45"/>
    </row>
    <row r="1176" spans="2:10" x14ac:dyDescent="0.35">
      <c r="B1176" s="45"/>
      <c r="C1176" s="45"/>
      <c r="D1176" s="45"/>
      <c r="E1176" s="45"/>
      <c r="F1176" s="45"/>
      <c r="G1176" s="45"/>
      <c r="H1176" s="45"/>
      <c r="I1176" s="45"/>
      <c r="J1176" s="45"/>
    </row>
    <row r="1177" spans="2:10" x14ac:dyDescent="0.35">
      <c r="B1177" s="45"/>
      <c r="C1177" s="45"/>
      <c r="D1177" s="45"/>
      <c r="E1177" s="45"/>
      <c r="F1177" s="45"/>
      <c r="G1177" s="45"/>
      <c r="H1177" s="45"/>
      <c r="I1177" s="45"/>
      <c r="J1177" s="45"/>
    </row>
    <row r="1178" spans="2:10" x14ac:dyDescent="0.35">
      <c r="B1178" s="45"/>
      <c r="C1178" s="45"/>
      <c r="D1178" s="45"/>
      <c r="E1178" s="45"/>
      <c r="F1178" s="45"/>
      <c r="G1178" s="45"/>
      <c r="H1178" s="45"/>
      <c r="I1178" s="45"/>
      <c r="J1178" s="45"/>
    </row>
    <row r="1179" spans="2:10" x14ac:dyDescent="0.35">
      <c r="B1179" s="45"/>
      <c r="C1179" s="45"/>
      <c r="D1179" s="45"/>
      <c r="E1179" s="45"/>
      <c r="F1179" s="45"/>
      <c r="G1179" s="45"/>
      <c r="H1179" s="45"/>
      <c r="I1179" s="45"/>
      <c r="J1179" s="45"/>
    </row>
    <row r="1180" spans="2:10" x14ac:dyDescent="0.35">
      <c r="B1180" s="45"/>
      <c r="C1180" s="45"/>
      <c r="D1180" s="45"/>
      <c r="E1180" s="45"/>
      <c r="F1180" s="45"/>
      <c r="G1180" s="45"/>
      <c r="H1180" s="45"/>
      <c r="I1180" s="45"/>
      <c r="J1180" s="45"/>
    </row>
    <row r="1181" spans="2:10" x14ac:dyDescent="0.35">
      <c r="B1181" s="45"/>
      <c r="C1181" s="45"/>
      <c r="D1181" s="45"/>
      <c r="E1181" s="45"/>
      <c r="F1181" s="45"/>
      <c r="G1181" s="45"/>
      <c r="H1181" s="45"/>
      <c r="I1181" s="45"/>
      <c r="J1181" s="45"/>
    </row>
    <row r="1182" spans="2:10" x14ac:dyDescent="0.35">
      <c r="B1182" s="45"/>
      <c r="C1182" s="45"/>
      <c r="D1182" s="45"/>
      <c r="E1182" s="45"/>
      <c r="F1182" s="45"/>
      <c r="G1182" s="45"/>
      <c r="H1182" s="45"/>
      <c r="I1182" s="45"/>
      <c r="J1182" s="45"/>
    </row>
    <row r="1183" spans="2:10" x14ac:dyDescent="0.35">
      <c r="B1183" s="45"/>
      <c r="C1183" s="45"/>
      <c r="D1183" s="45"/>
      <c r="E1183" s="45"/>
      <c r="F1183" s="45"/>
      <c r="G1183" s="45"/>
      <c r="H1183" s="45"/>
      <c r="I1183" s="45"/>
      <c r="J1183" s="45"/>
    </row>
    <row r="1184" spans="2:10" x14ac:dyDescent="0.35">
      <c r="B1184" s="45"/>
      <c r="C1184" s="45"/>
      <c r="D1184" s="45"/>
      <c r="E1184" s="45"/>
      <c r="F1184" s="45"/>
      <c r="G1184" s="45"/>
      <c r="H1184" s="45"/>
      <c r="I1184" s="45"/>
      <c r="J1184" s="45"/>
    </row>
    <row r="1185" spans="2:10" x14ac:dyDescent="0.35">
      <c r="B1185" s="45"/>
      <c r="C1185" s="45"/>
      <c r="D1185" s="45"/>
      <c r="E1185" s="45"/>
      <c r="F1185" s="45"/>
      <c r="G1185" s="45"/>
      <c r="H1185" s="45"/>
      <c r="I1185" s="45"/>
      <c r="J1185" s="45"/>
    </row>
    <row r="1186" spans="2:10" x14ac:dyDescent="0.35">
      <c r="B1186" s="45"/>
      <c r="C1186" s="45"/>
      <c r="D1186" s="45"/>
      <c r="E1186" s="45"/>
      <c r="F1186" s="45"/>
      <c r="G1186" s="45"/>
      <c r="H1186" s="45"/>
      <c r="I1186" s="45"/>
      <c r="J1186" s="45"/>
    </row>
    <row r="1187" spans="2:10" x14ac:dyDescent="0.35">
      <c r="B1187" s="45"/>
      <c r="C1187" s="45"/>
      <c r="D1187" s="45"/>
      <c r="E1187" s="45"/>
      <c r="F1187" s="45"/>
      <c r="G1187" s="45"/>
      <c r="H1187" s="45"/>
      <c r="I1187" s="45"/>
      <c r="J1187" s="45"/>
    </row>
    <row r="1188" spans="2:10" x14ac:dyDescent="0.35">
      <c r="B1188" s="45"/>
      <c r="C1188" s="45"/>
      <c r="D1188" s="45"/>
      <c r="E1188" s="45"/>
      <c r="F1188" s="45"/>
      <c r="G1188" s="45"/>
      <c r="H1188" s="45"/>
      <c r="I1188" s="45"/>
      <c r="J1188" s="45"/>
    </row>
    <row r="1189" spans="2:10" x14ac:dyDescent="0.35">
      <c r="B1189" s="45"/>
      <c r="C1189" s="45"/>
      <c r="D1189" s="45"/>
      <c r="E1189" s="45"/>
      <c r="F1189" s="45"/>
      <c r="G1189" s="45"/>
      <c r="H1189" s="45"/>
      <c r="I1189" s="45"/>
      <c r="J1189" s="45"/>
    </row>
    <row r="1190" spans="2:10" x14ac:dyDescent="0.35">
      <c r="B1190" s="45"/>
      <c r="C1190" s="45"/>
      <c r="D1190" s="45"/>
      <c r="E1190" s="45"/>
      <c r="F1190" s="45"/>
      <c r="G1190" s="45"/>
      <c r="H1190" s="45"/>
      <c r="I1190" s="45"/>
      <c r="J1190" s="45"/>
    </row>
    <row r="1191" spans="2:10" x14ac:dyDescent="0.35">
      <c r="B1191" s="45"/>
      <c r="C1191" s="45"/>
      <c r="D1191" s="45"/>
      <c r="E1191" s="45"/>
      <c r="F1191" s="45"/>
      <c r="G1191" s="45"/>
      <c r="H1191" s="45"/>
      <c r="I1191" s="45"/>
      <c r="J1191" s="45"/>
    </row>
    <row r="1192" spans="2:10" x14ac:dyDescent="0.35">
      <c r="B1192" s="45"/>
      <c r="C1192" s="45"/>
      <c r="D1192" s="45"/>
      <c r="E1192" s="45"/>
      <c r="F1192" s="45"/>
      <c r="G1192" s="45"/>
      <c r="H1192" s="45"/>
      <c r="I1192" s="45"/>
      <c r="J1192" s="45"/>
    </row>
    <row r="1193" spans="2:10" x14ac:dyDescent="0.35">
      <c r="B1193" s="45"/>
      <c r="C1193" s="45"/>
      <c r="D1193" s="45"/>
      <c r="E1193" s="45"/>
      <c r="F1193" s="45"/>
      <c r="G1193" s="45"/>
      <c r="H1193" s="45"/>
      <c r="I1193" s="45"/>
      <c r="J1193" s="45"/>
    </row>
    <row r="1194" spans="2:10" x14ac:dyDescent="0.35">
      <c r="B1194" s="45"/>
      <c r="C1194" s="45"/>
      <c r="D1194" s="45"/>
      <c r="E1194" s="45"/>
      <c r="F1194" s="45"/>
      <c r="G1194" s="45"/>
      <c r="H1194" s="45"/>
      <c r="I1194" s="45"/>
      <c r="J1194" s="45"/>
    </row>
    <row r="1195" spans="2:10" x14ac:dyDescent="0.35">
      <c r="B1195" s="45"/>
      <c r="C1195" s="45"/>
      <c r="D1195" s="45"/>
      <c r="E1195" s="45"/>
      <c r="F1195" s="45"/>
      <c r="G1195" s="45"/>
      <c r="H1195" s="45"/>
      <c r="I1195" s="45"/>
      <c r="J1195" s="45"/>
    </row>
    <row r="1196" spans="2:10" x14ac:dyDescent="0.35">
      <c r="B1196" s="45"/>
      <c r="C1196" s="45"/>
      <c r="D1196" s="45"/>
      <c r="E1196" s="45"/>
      <c r="F1196" s="45"/>
      <c r="G1196" s="45"/>
      <c r="H1196" s="45"/>
      <c r="I1196" s="45"/>
      <c r="J1196" s="45"/>
    </row>
    <row r="1197" spans="2:10" x14ac:dyDescent="0.35">
      <c r="B1197" s="45"/>
      <c r="C1197" s="45"/>
      <c r="D1197" s="45"/>
      <c r="E1197" s="45"/>
      <c r="F1197" s="45"/>
      <c r="G1197" s="45"/>
      <c r="H1197" s="45"/>
      <c r="I1197" s="45"/>
      <c r="J1197" s="45"/>
    </row>
    <row r="1198" spans="2:10" x14ac:dyDescent="0.35">
      <c r="B1198" s="45"/>
      <c r="C1198" s="45"/>
      <c r="D1198" s="45"/>
      <c r="E1198" s="45"/>
      <c r="F1198" s="45"/>
      <c r="G1198" s="45"/>
      <c r="H1198" s="45"/>
      <c r="I1198" s="45"/>
      <c r="J1198" s="45"/>
    </row>
    <row r="1199" spans="2:10" x14ac:dyDescent="0.35">
      <c r="B1199" s="45"/>
      <c r="C1199" s="45"/>
      <c r="D1199" s="45"/>
      <c r="E1199" s="45"/>
      <c r="F1199" s="45"/>
      <c r="G1199" s="45"/>
      <c r="H1199" s="45"/>
      <c r="I1199" s="45"/>
      <c r="J1199" s="45"/>
    </row>
    <row r="1200" spans="2:10" x14ac:dyDescent="0.35">
      <c r="B1200" s="45"/>
      <c r="C1200" s="45"/>
      <c r="D1200" s="45"/>
      <c r="E1200" s="45"/>
      <c r="F1200" s="45"/>
      <c r="G1200" s="45"/>
      <c r="H1200" s="45"/>
      <c r="I1200" s="45"/>
      <c r="J1200" s="45"/>
    </row>
    <row r="1201" spans="2:10" x14ac:dyDescent="0.35">
      <c r="B1201" s="45"/>
      <c r="C1201" s="45"/>
      <c r="D1201" s="45"/>
      <c r="E1201" s="45"/>
      <c r="F1201" s="45"/>
      <c r="G1201" s="45"/>
      <c r="H1201" s="45"/>
      <c r="I1201" s="45"/>
      <c r="J1201" s="45"/>
    </row>
    <row r="1202" spans="2:10" x14ac:dyDescent="0.35">
      <c r="B1202" s="45"/>
      <c r="C1202" s="45"/>
      <c r="D1202" s="45"/>
      <c r="E1202" s="45"/>
      <c r="F1202" s="45"/>
      <c r="G1202" s="45"/>
      <c r="H1202" s="45"/>
      <c r="I1202" s="45"/>
      <c r="J1202" s="45"/>
    </row>
    <row r="1203" spans="2:10" x14ac:dyDescent="0.35">
      <c r="B1203" s="45"/>
      <c r="C1203" s="45"/>
      <c r="D1203" s="45"/>
      <c r="E1203" s="45"/>
      <c r="F1203" s="45"/>
      <c r="G1203" s="45"/>
      <c r="H1203" s="45"/>
      <c r="I1203" s="45"/>
      <c r="J1203" s="45"/>
    </row>
    <row r="1204" spans="2:10" x14ac:dyDescent="0.35">
      <c r="B1204" s="45"/>
      <c r="C1204" s="45"/>
      <c r="D1204" s="45"/>
      <c r="E1204" s="45"/>
      <c r="F1204" s="45"/>
      <c r="G1204" s="45"/>
      <c r="H1204" s="45"/>
      <c r="I1204" s="45"/>
      <c r="J1204" s="45"/>
    </row>
    <row r="1205" spans="2:10" x14ac:dyDescent="0.35">
      <c r="B1205" s="45"/>
      <c r="C1205" s="45"/>
      <c r="D1205" s="45"/>
      <c r="E1205" s="45"/>
      <c r="F1205" s="45"/>
      <c r="G1205" s="45"/>
      <c r="H1205" s="45"/>
      <c r="I1205" s="45"/>
      <c r="J1205" s="45"/>
    </row>
    <row r="1206" spans="2:10" x14ac:dyDescent="0.35">
      <c r="B1206" s="45"/>
      <c r="C1206" s="45"/>
      <c r="D1206" s="45"/>
      <c r="E1206" s="45"/>
      <c r="F1206" s="45"/>
      <c r="G1206" s="45"/>
      <c r="H1206" s="45"/>
      <c r="I1206" s="45"/>
      <c r="J1206" s="45"/>
    </row>
    <row r="1207" spans="2:10" x14ac:dyDescent="0.35">
      <c r="B1207" s="45"/>
      <c r="C1207" s="45"/>
      <c r="D1207" s="45"/>
      <c r="E1207" s="45"/>
      <c r="F1207" s="45"/>
      <c r="G1207" s="45"/>
      <c r="H1207" s="45"/>
      <c r="I1207" s="45"/>
      <c r="J1207" s="45"/>
    </row>
    <row r="1208" spans="2:10" x14ac:dyDescent="0.35">
      <c r="B1208" s="45"/>
      <c r="C1208" s="45"/>
      <c r="D1208" s="45"/>
      <c r="E1208" s="45"/>
      <c r="F1208" s="45"/>
      <c r="G1208" s="45"/>
      <c r="H1208" s="45"/>
      <c r="I1208" s="45"/>
      <c r="J1208" s="45"/>
    </row>
    <row r="1209" spans="2:10" x14ac:dyDescent="0.35">
      <c r="B1209" s="45"/>
      <c r="C1209" s="45"/>
      <c r="D1209" s="45"/>
      <c r="E1209" s="45"/>
      <c r="F1209" s="45"/>
      <c r="G1209" s="45"/>
      <c r="H1209" s="45"/>
      <c r="I1209" s="45"/>
      <c r="J1209" s="45"/>
    </row>
    <row r="1210" spans="2:10" x14ac:dyDescent="0.35">
      <c r="B1210" s="45"/>
      <c r="C1210" s="45"/>
      <c r="D1210" s="45"/>
      <c r="E1210" s="45"/>
      <c r="F1210" s="45"/>
      <c r="G1210" s="45"/>
      <c r="H1210" s="45"/>
      <c r="I1210" s="45"/>
      <c r="J1210" s="45"/>
    </row>
    <row r="1211" spans="2:10" x14ac:dyDescent="0.35">
      <c r="B1211" s="45"/>
      <c r="C1211" s="45"/>
      <c r="D1211" s="45"/>
      <c r="E1211" s="45"/>
      <c r="F1211" s="45"/>
      <c r="G1211" s="45"/>
      <c r="H1211" s="45"/>
      <c r="I1211" s="45"/>
      <c r="J1211" s="45"/>
    </row>
    <row r="1212" spans="2:10" x14ac:dyDescent="0.35">
      <c r="B1212" s="45"/>
      <c r="C1212" s="45"/>
      <c r="D1212" s="45"/>
      <c r="E1212" s="45"/>
      <c r="F1212" s="45"/>
      <c r="G1212" s="45"/>
      <c r="H1212" s="45"/>
      <c r="I1212" s="45"/>
      <c r="J1212" s="45"/>
    </row>
    <row r="1213" spans="2:10" x14ac:dyDescent="0.35">
      <c r="B1213" s="45"/>
      <c r="C1213" s="45"/>
      <c r="D1213" s="45"/>
      <c r="E1213" s="45"/>
      <c r="F1213" s="45"/>
      <c r="G1213" s="45"/>
      <c r="H1213" s="45"/>
      <c r="I1213" s="45"/>
      <c r="J1213" s="45"/>
    </row>
    <row r="1214" spans="2:10" x14ac:dyDescent="0.35">
      <c r="B1214" s="45"/>
      <c r="C1214" s="45"/>
      <c r="D1214" s="45"/>
      <c r="E1214" s="45"/>
      <c r="F1214" s="45"/>
      <c r="G1214" s="45"/>
      <c r="H1214" s="45"/>
      <c r="I1214" s="45"/>
      <c r="J1214" s="45"/>
    </row>
    <row r="1215" spans="2:10" x14ac:dyDescent="0.35">
      <c r="B1215" s="45"/>
      <c r="C1215" s="45"/>
      <c r="D1215" s="45"/>
      <c r="E1215" s="45"/>
      <c r="F1215" s="45"/>
      <c r="G1215" s="45"/>
      <c r="H1215" s="45"/>
      <c r="I1215" s="45"/>
      <c r="J1215" s="45"/>
    </row>
    <row r="1216" spans="2:10" x14ac:dyDescent="0.35">
      <c r="B1216" s="45"/>
      <c r="C1216" s="45"/>
      <c r="D1216" s="45"/>
      <c r="E1216" s="45"/>
      <c r="F1216" s="45"/>
      <c r="G1216" s="45"/>
      <c r="H1216" s="45"/>
      <c r="I1216" s="45"/>
      <c r="J1216" s="45"/>
    </row>
    <row r="1217" spans="2:10" x14ac:dyDescent="0.35">
      <c r="B1217" s="45"/>
      <c r="C1217" s="45"/>
      <c r="D1217" s="45"/>
      <c r="E1217" s="45"/>
      <c r="F1217" s="45"/>
      <c r="G1217" s="45"/>
      <c r="H1217" s="45"/>
      <c r="I1217" s="45"/>
      <c r="J1217" s="45"/>
    </row>
    <row r="1218" spans="2:10" x14ac:dyDescent="0.35">
      <c r="B1218" s="45"/>
      <c r="C1218" s="45"/>
      <c r="D1218" s="45"/>
      <c r="E1218" s="45"/>
      <c r="F1218" s="45"/>
      <c r="G1218" s="45"/>
      <c r="H1218" s="45"/>
      <c r="I1218" s="45"/>
      <c r="J1218" s="45"/>
    </row>
    <row r="1219" spans="2:10" x14ac:dyDescent="0.35">
      <c r="B1219" s="45"/>
      <c r="C1219" s="45"/>
      <c r="D1219" s="45"/>
      <c r="E1219" s="45"/>
      <c r="F1219" s="45"/>
      <c r="G1219" s="45"/>
      <c r="H1219" s="45"/>
      <c r="I1219" s="45"/>
      <c r="J1219" s="45"/>
    </row>
    <row r="1220" spans="2:10" x14ac:dyDescent="0.35">
      <c r="B1220" s="45"/>
      <c r="C1220" s="45"/>
      <c r="D1220" s="45"/>
      <c r="E1220" s="45"/>
      <c r="F1220" s="45"/>
      <c r="G1220" s="45"/>
      <c r="H1220" s="45"/>
      <c r="I1220" s="45"/>
      <c r="J1220" s="45"/>
    </row>
    <row r="1221" spans="2:10" x14ac:dyDescent="0.35">
      <c r="B1221" s="45"/>
      <c r="C1221" s="45"/>
      <c r="D1221" s="45"/>
      <c r="E1221" s="45"/>
      <c r="F1221" s="45"/>
      <c r="G1221" s="45"/>
      <c r="H1221" s="45"/>
      <c r="I1221" s="45"/>
      <c r="J1221" s="45"/>
    </row>
    <row r="1222" spans="2:10" x14ac:dyDescent="0.35">
      <c r="B1222" s="45"/>
      <c r="C1222" s="45"/>
      <c r="D1222" s="45"/>
      <c r="E1222" s="45"/>
      <c r="F1222" s="45"/>
      <c r="G1222" s="45"/>
      <c r="H1222" s="45"/>
      <c r="I1222" s="45"/>
      <c r="J1222" s="45"/>
    </row>
    <row r="1223" spans="2:10" x14ac:dyDescent="0.35">
      <c r="B1223" s="45"/>
      <c r="C1223" s="45"/>
      <c r="D1223" s="45"/>
      <c r="E1223" s="45"/>
      <c r="F1223" s="45"/>
      <c r="G1223" s="45"/>
      <c r="H1223" s="45"/>
      <c r="I1223" s="45"/>
      <c r="J1223" s="45"/>
    </row>
    <row r="1224" spans="2:10" x14ac:dyDescent="0.35">
      <c r="B1224" s="45"/>
      <c r="C1224" s="45"/>
      <c r="D1224" s="45"/>
      <c r="E1224" s="45"/>
      <c r="F1224" s="45"/>
      <c r="G1224" s="45"/>
      <c r="H1224" s="45"/>
      <c r="I1224" s="45"/>
      <c r="J1224" s="45"/>
    </row>
    <row r="1225" spans="2:10" x14ac:dyDescent="0.35">
      <c r="B1225" s="45"/>
      <c r="C1225" s="45"/>
      <c r="D1225" s="45"/>
      <c r="E1225" s="45"/>
      <c r="F1225" s="45"/>
      <c r="G1225" s="45"/>
      <c r="H1225" s="45"/>
      <c r="I1225" s="45"/>
      <c r="J1225" s="45"/>
    </row>
    <row r="1226" spans="2:10" x14ac:dyDescent="0.35">
      <c r="B1226" s="45"/>
      <c r="C1226" s="45"/>
      <c r="D1226" s="45"/>
      <c r="E1226" s="45"/>
      <c r="F1226" s="45"/>
      <c r="G1226" s="45"/>
      <c r="H1226" s="45"/>
      <c r="I1226" s="45"/>
      <c r="J1226" s="45"/>
    </row>
    <row r="1227" spans="2:10" x14ac:dyDescent="0.35">
      <c r="B1227" s="45"/>
      <c r="C1227" s="45"/>
      <c r="D1227" s="45"/>
      <c r="E1227" s="45"/>
      <c r="F1227" s="45"/>
      <c r="G1227" s="45"/>
      <c r="H1227" s="45"/>
      <c r="I1227" s="45"/>
      <c r="J1227" s="45"/>
    </row>
    <row r="1228" spans="2:10" x14ac:dyDescent="0.35">
      <c r="B1228" s="45"/>
      <c r="C1228" s="45"/>
      <c r="D1228" s="45"/>
      <c r="E1228" s="45"/>
      <c r="F1228" s="45"/>
      <c r="G1228" s="45"/>
      <c r="H1228" s="45"/>
      <c r="I1228" s="45"/>
      <c r="J1228" s="45"/>
    </row>
    <row r="1229" spans="2:10" x14ac:dyDescent="0.35">
      <c r="B1229" s="45"/>
      <c r="C1229" s="45"/>
      <c r="D1229" s="45"/>
      <c r="E1229" s="45"/>
      <c r="F1229" s="45"/>
      <c r="G1229" s="45"/>
      <c r="H1229" s="45"/>
      <c r="I1229" s="45"/>
      <c r="J1229" s="45"/>
    </row>
    <row r="1230" spans="2:10" x14ac:dyDescent="0.35">
      <c r="B1230" s="45"/>
      <c r="C1230" s="45"/>
      <c r="D1230" s="45"/>
      <c r="E1230" s="45"/>
      <c r="F1230" s="45"/>
      <c r="G1230" s="45"/>
      <c r="H1230" s="45"/>
      <c r="I1230" s="45"/>
      <c r="J1230" s="45"/>
    </row>
    <row r="1231" spans="2:10" x14ac:dyDescent="0.35">
      <c r="B1231" s="45"/>
      <c r="C1231" s="45"/>
      <c r="D1231" s="45"/>
      <c r="E1231" s="45"/>
      <c r="F1231" s="45"/>
      <c r="G1231" s="45"/>
      <c r="H1231" s="45"/>
      <c r="I1231" s="45"/>
      <c r="J1231" s="45"/>
    </row>
    <row r="1232" spans="2:10" x14ac:dyDescent="0.35">
      <c r="B1232" s="45"/>
      <c r="C1232" s="45"/>
      <c r="D1232" s="45"/>
      <c r="E1232" s="45"/>
      <c r="F1232" s="45"/>
      <c r="G1232" s="45"/>
      <c r="H1232" s="45"/>
      <c r="I1232" s="45"/>
      <c r="J1232" s="45"/>
    </row>
    <row r="1233" spans="2:10" x14ac:dyDescent="0.35">
      <c r="B1233" s="45"/>
      <c r="C1233" s="45"/>
      <c r="D1233" s="45"/>
      <c r="E1233" s="45"/>
      <c r="F1233" s="45"/>
      <c r="G1233" s="45"/>
      <c r="H1233" s="45"/>
      <c r="I1233" s="45"/>
      <c r="J1233" s="45"/>
    </row>
    <row r="1234" spans="2:10" x14ac:dyDescent="0.35">
      <c r="B1234" s="45"/>
      <c r="C1234" s="45"/>
      <c r="D1234" s="45"/>
      <c r="E1234" s="45"/>
      <c r="F1234" s="45"/>
      <c r="G1234" s="45"/>
      <c r="H1234" s="45"/>
      <c r="I1234" s="45"/>
      <c r="J1234" s="45"/>
    </row>
    <row r="1235" spans="2:10" x14ac:dyDescent="0.35">
      <c r="B1235" s="45"/>
      <c r="C1235" s="45"/>
      <c r="D1235" s="45"/>
      <c r="E1235" s="45"/>
      <c r="F1235" s="45"/>
      <c r="G1235" s="45"/>
      <c r="H1235" s="45"/>
      <c r="I1235" s="45"/>
      <c r="J1235" s="45"/>
    </row>
    <row r="1236" spans="2:10" x14ac:dyDescent="0.35">
      <c r="B1236" s="45"/>
      <c r="C1236" s="45"/>
      <c r="D1236" s="45"/>
      <c r="E1236" s="45"/>
      <c r="F1236" s="45"/>
      <c r="G1236" s="45"/>
      <c r="H1236" s="45"/>
      <c r="I1236" s="45"/>
      <c r="J1236" s="45"/>
    </row>
    <row r="1237" spans="2:10" x14ac:dyDescent="0.35">
      <c r="B1237" s="45"/>
      <c r="C1237" s="45"/>
      <c r="D1237" s="45"/>
      <c r="E1237" s="45"/>
      <c r="F1237" s="45"/>
      <c r="G1237" s="45"/>
      <c r="H1237" s="45"/>
      <c r="I1237" s="45"/>
      <c r="J1237" s="45"/>
    </row>
    <row r="1238" spans="2:10" x14ac:dyDescent="0.35">
      <c r="B1238" s="45"/>
      <c r="C1238" s="45"/>
      <c r="D1238" s="45"/>
      <c r="E1238" s="45"/>
      <c r="F1238" s="45"/>
      <c r="G1238" s="45"/>
      <c r="H1238" s="45"/>
      <c r="I1238" s="45"/>
      <c r="J1238" s="45"/>
    </row>
    <row r="1239" spans="2:10" x14ac:dyDescent="0.35">
      <c r="B1239" s="45"/>
      <c r="C1239" s="45"/>
      <c r="D1239" s="45"/>
      <c r="E1239" s="45"/>
      <c r="F1239" s="45"/>
      <c r="G1239" s="45"/>
      <c r="H1239" s="45"/>
      <c r="I1239" s="45"/>
      <c r="J1239" s="45"/>
    </row>
    <row r="1240" spans="2:10" x14ac:dyDescent="0.35">
      <c r="B1240" s="45"/>
      <c r="C1240" s="45"/>
      <c r="D1240" s="45"/>
      <c r="E1240" s="45"/>
      <c r="F1240" s="45"/>
      <c r="G1240" s="45"/>
      <c r="H1240" s="45"/>
      <c r="I1240" s="45"/>
      <c r="J1240" s="45"/>
    </row>
    <row r="1241" spans="2:10" x14ac:dyDescent="0.35">
      <c r="B1241" s="45"/>
      <c r="C1241" s="45"/>
      <c r="D1241" s="45"/>
      <c r="E1241" s="45"/>
      <c r="F1241" s="45"/>
      <c r="G1241" s="45"/>
      <c r="H1241" s="45"/>
      <c r="I1241" s="45"/>
      <c r="J1241" s="45"/>
    </row>
    <row r="1242" spans="2:10" x14ac:dyDescent="0.35">
      <c r="B1242" s="45"/>
      <c r="C1242" s="45"/>
      <c r="D1242" s="45"/>
      <c r="E1242" s="45"/>
      <c r="F1242" s="45"/>
      <c r="G1242" s="45"/>
      <c r="H1242" s="45"/>
      <c r="I1242" s="45"/>
      <c r="J1242" s="45"/>
    </row>
    <row r="1243" spans="2:10" x14ac:dyDescent="0.35">
      <c r="B1243" s="45"/>
      <c r="C1243" s="45"/>
      <c r="D1243" s="45"/>
      <c r="E1243" s="45"/>
      <c r="F1243" s="45"/>
      <c r="G1243" s="45"/>
      <c r="H1243" s="45"/>
      <c r="I1243" s="45"/>
      <c r="J1243" s="45"/>
    </row>
    <row r="1244" spans="2:10" x14ac:dyDescent="0.35">
      <c r="B1244" s="45"/>
      <c r="C1244" s="45"/>
      <c r="D1244" s="45"/>
      <c r="E1244" s="45"/>
      <c r="F1244" s="45"/>
      <c r="G1244" s="45"/>
      <c r="H1244" s="45"/>
      <c r="I1244" s="45"/>
      <c r="J1244" s="45"/>
    </row>
    <row r="1245" spans="2:10" x14ac:dyDescent="0.35">
      <c r="B1245" s="45"/>
      <c r="C1245" s="45"/>
      <c r="D1245" s="45"/>
      <c r="E1245" s="45"/>
      <c r="F1245" s="45"/>
      <c r="G1245" s="45"/>
      <c r="H1245" s="45"/>
      <c r="I1245" s="45"/>
      <c r="J1245" s="45"/>
    </row>
    <row r="1246" spans="2:10" x14ac:dyDescent="0.35">
      <c r="B1246" s="45"/>
      <c r="C1246" s="45"/>
      <c r="D1246" s="45"/>
      <c r="E1246" s="45"/>
      <c r="F1246" s="45"/>
      <c r="G1246" s="45"/>
      <c r="H1246" s="45"/>
      <c r="I1246" s="45"/>
      <c r="J1246" s="45"/>
    </row>
    <row r="1247" spans="2:10" x14ac:dyDescent="0.35">
      <c r="B1247" s="45"/>
      <c r="C1247" s="45"/>
      <c r="D1247" s="45"/>
      <c r="E1247" s="45"/>
      <c r="F1247" s="45"/>
      <c r="G1247" s="45"/>
      <c r="H1247" s="45"/>
      <c r="I1247" s="45"/>
      <c r="J1247" s="45"/>
    </row>
    <row r="1248" spans="2:10" x14ac:dyDescent="0.35">
      <c r="B1248" s="45"/>
      <c r="C1248" s="45"/>
      <c r="D1248" s="45"/>
      <c r="E1248" s="45"/>
      <c r="F1248" s="45"/>
      <c r="G1248" s="45"/>
      <c r="H1248" s="45"/>
      <c r="I1248" s="45"/>
      <c r="J1248" s="45"/>
    </row>
    <row r="1249" spans="2:10" x14ac:dyDescent="0.35">
      <c r="B1249" s="45"/>
      <c r="C1249" s="45"/>
      <c r="D1249" s="45"/>
      <c r="E1249" s="45"/>
      <c r="F1249" s="45"/>
      <c r="G1249" s="45"/>
      <c r="H1249" s="45"/>
      <c r="I1249" s="45"/>
      <c r="J1249" s="45"/>
    </row>
    <row r="1250" spans="2:10" x14ac:dyDescent="0.35">
      <c r="B1250" s="45"/>
      <c r="C1250" s="45"/>
      <c r="D1250" s="45"/>
      <c r="E1250" s="45"/>
      <c r="F1250" s="45"/>
      <c r="G1250" s="45"/>
      <c r="H1250" s="45"/>
      <c r="I1250" s="45"/>
      <c r="J1250" s="45"/>
    </row>
    <row r="1251" spans="2:10" x14ac:dyDescent="0.35">
      <c r="B1251" s="45"/>
      <c r="C1251" s="45"/>
      <c r="D1251" s="45"/>
      <c r="E1251" s="45"/>
      <c r="F1251" s="45"/>
      <c r="G1251" s="45"/>
      <c r="H1251" s="45"/>
      <c r="I1251" s="45"/>
      <c r="J1251" s="45"/>
    </row>
    <row r="1252" spans="2:10" x14ac:dyDescent="0.35">
      <c r="B1252" s="45"/>
      <c r="C1252" s="45"/>
      <c r="D1252" s="45"/>
      <c r="E1252" s="45"/>
      <c r="F1252" s="45"/>
      <c r="G1252" s="45"/>
      <c r="H1252" s="45"/>
      <c r="I1252" s="45"/>
      <c r="J1252" s="45"/>
    </row>
    <row r="1253" spans="2:10" x14ac:dyDescent="0.35">
      <c r="B1253" s="45"/>
      <c r="C1253" s="45"/>
      <c r="D1253" s="45"/>
      <c r="E1253" s="45"/>
      <c r="F1253" s="45"/>
      <c r="G1253" s="45"/>
      <c r="H1253" s="45"/>
      <c r="I1253" s="45"/>
      <c r="J1253" s="45"/>
    </row>
    <row r="1254" spans="2:10" x14ac:dyDescent="0.35">
      <c r="B1254" s="45"/>
      <c r="C1254" s="45"/>
      <c r="D1254" s="45"/>
      <c r="E1254" s="45"/>
      <c r="F1254" s="45"/>
      <c r="G1254" s="45"/>
      <c r="H1254" s="45"/>
      <c r="I1254" s="45"/>
      <c r="J1254" s="45"/>
    </row>
    <row r="1255" spans="2:10" x14ac:dyDescent="0.35">
      <c r="B1255" s="45"/>
      <c r="C1255" s="45"/>
      <c r="D1255" s="45"/>
      <c r="E1255" s="45"/>
      <c r="F1255" s="45"/>
      <c r="G1255" s="45"/>
      <c r="H1255" s="45"/>
      <c r="I1255" s="45"/>
      <c r="J1255" s="45"/>
    </row>
    <row r="1256" spans="2:10" x14ac:dyDescent="0.35">
      <c r="B1256" s="45"/>
      <c r="C1256" s="45"/>
      <c r="D1256" s="45"/>
      <c r="E1256" s="45"/>
      <c r="F1256" s="45"/>
      <c r="G1256" s="45"/>
      <c r="H1256" s="45"/>
      <c r="I1256" s="45"/>
      <c r="J1256" s="45"/>
    </row>
    <row r="1257" spans="2:10" x14ac:dyDescent="0.35">
      <c r="B1257" s="45"/>
      <c r="C1257" s="45"/>
      <c r="D1257" s="45"/>
      <c r="E1257" s="45"/>
      <c r="F1257" s="45"/>
      <c r="G1257" s="45"/>
      <c r="H1257" s="45"/>
      <c r="I1257" s="45"/>
      <c r="J1257" s="45"/>
    </row>
    <row r="1258" spans="2:10" x14ac:dyDescent="0.35">
      <c r="B1258" s="45"/>
      <c r="C1258" s="45"/>
      <c r="D1258" s="45"/>
      <c r="E1258" s="45"/>
      <c r="F1258" s="45"/>
      <c r="G1258" s="45"/>
      <c r="H1258" s="45"/>
      <c r="I1258" s="45"/>
      <c r="J1258" s="45"/>
    </row>
    <row r="1259" spans="2:10" x14ac:dyDescent="0.35">
      <c r="B1259" s="45"/>
      <c r="C1259" s="45"/>
      <c r="D1259" s="45"/>
      <c r="E1259" s="45"/>
      <c r="F1259" s="45"/>
      <c r="G1259" s="45"/>
      <c r="H1259" s="45"/>
      <c r="I1259" s="45"/>
      <c r="J1259" s="45"/>
    </row>
    <row r="1260" spans="2:10" x14ac:dyDescent="0.35">
      <c r="B1260" s="45"/>
      <c r="C1260" s="45"/>
      <c r="D1260" s="45"/>
      <c r="E1260" s="45"/>
      <c r="F1260" s="45"/>
      <c r="G1260" s="45"/>
      <c r="H1260" s="45"/>
      <c r="I1260" s="45"/>
      <c r="J1260" s="45"/>
    </row>
    <row r="1261" spans="2:10" x14ac:dyDescent="0.35">
      <c r="B1261" s="45"/>
      <c r="C1261" s="45"/>
      <c r="D1261" s="45"/>
      <c r="E1261" s="45"/>
      <c r="F1261" s="45"/>
      <c r="G1261" s="45"/>
      <c r="H1261" s="45"/>
      <c r="I1261" s="45"/>
      <c r="J1261" s="45"/>
    </row>
    <row r="1262" spans="2:10" x14ac:dyDescent="0.35">
      <c r="B1262" s="45"/>
      <c r="C1262" s="45"/>
      <c r="D1262" s="45"/>
      <c r="E1262" s="45"/>
      <c r="F1262" s="45"/>
      <c r="G1262" s="45"/>
      <c r="H1262" s="45"/>
      <c r="I1262" s="45"/>
      <c r="J1262" s="45"/>
    </row>
    <row r="1263" spans="2:10" x14ac:dyDescent="0.35">
      <c r="B1263" s="45"/>
      <c r="C1263" s="45"/>
      <c r="D1263" s="45"/>
      <c r="E1263" s="45"/>
      <c r="F1263" s="45"/>
      <c r="G1263" s="45"/>
      <c r="H1263" s="45"/>
      <c r="I1263" s="45"/>
      <c r="J1263" s="45"/>
    </row>
    <row r="1264" spans="2:10" x14ac:dyDescent="0.35">
      <c r="B1264" s="45"/>
      <c r="C1264" s="45"/>
      <c r="D1264" s="45"/>
      <c r="E1264" s="45"/>
      <c r="F1264" s="45"/>
      <c r="G1264" s="45"/>
      <c r="H1264" s="45"/>
      <c r="I1264" s="45"/>
      <c r="J1264" s="45"/>
    </row>
    <row r="1265" spans="2:10" x14ac:dyDescent="0.35">
      <c r="B1265" s="45"/>
      <c r="C1265" s="45"/>
      <c r="D1265" s="45"/>
      <c r="E1265" s="45"/>
      <c r="F1265" s="45"/>
      <c r="G1265" s="45"/>
      <c r="H1265" s="45"/>
      <c r="I1265" s="45"/>
      <c r="J1265" s="45"/>
    </row>
    <row r="1266" spans="2:10" x14ac:dyDescent="0.35">
      <c r="B1266" s="45"/>
      <c r="C1266" s="45"/>
      <c r="D1266" s="45"/>
      <c r="E1266" s="45"/>
      <c r="F1266" s="45"/>
      <c r="G1266" s="45"/>
      <c r="H1266" s="45"/>
      <c r="I1266" s="45"/>
      <c r="J1266" s="45"/>
    </row>
    <row r="1267" spans="2:10" x14ac:dyDescent="0.35">
      <c r="B1267" s="45"/>
      <c r="C1267" s="45"/>
      <c r="D1267" s="45"/>
      <c r="E1267" s="45"/>
      <c r="F1267" s="45"/>
      <c r="G1267" s="45"/>
      <c r="H1267" s="45"/>
      <c r="I1267" s="45"/>
      <c r="J1267" s="45"/>
    </row>
    <row r="1268" spans="2:10" x14ac:dyDescent="0.35">
      <c r="B1268" s="45"/>
      <c r="C1268" s="45"/>
      <c r="D1268" s="45"/>
      <c r="E1268" s="45"/>
      <c r="F1268" s="45"/>
      <c r="G1268" s="45"/>
      <c r="H1268" s="45"/>
      <c r="I1268" s="45"/>
      <c r="J1268" s="45"/>
    </row>
    <row r="1269" spans="2:10" x14ac:dyDescent="0.35">
      <c r="B1269" s="45"/>
      <c r="C1269" s="45"/>
      <c r="D1269" s="45"/>
      <c r="E1269" s="45"/>
      <c r="F1269" s="45"/>
      <c r="G1269" s="45"/>
      <c r="H1269" s="45"/>
      <c r="I1269" s="45"/>
      <c r="J1269" s="45"/>
    </row>
    <row r="1270" spans="2:10" x14ac:dyDescent="0.35">
      <c r="B1270" s="45"/>
      <c r="C1270" s="45"/>
      <c r="D1270" s="45"/>
      <c r="E1270" s="45"/>
      <c r="F1270" s="45"/>
      <c r="G1270" s="45"/>
      <c r="H1270" s="45"/>
      <c r="I1270" s="45"/>
      <c r="J1270" s="45"/>
    </row>
    <row r="1271" spans="2:10" x14ac:dyDescent="0.35">
      <c r="B1271" s="45"/>
      <c r="C1271" s="45"/>
      <c r="D1271" s="45"/>
      <c r="E1271" s="45"/>
      <c r="F1271" s="45"/>
      <c r="G1271" s="45"/>
      <c r="H1271" s="45"/>
      <c r="I1271" s="45"/>
      <c r="J1271" s="45"/>
    </row>
    <row r="1272" spans="2:10" x14ac:dyDescent="0.35">
      <c r="B1272" s="45"/>
      <c r="C1272" s="45"/>
      <c r="D1272" s="45"/>
      <c r="E1272" s="45"/>
      <c r="F1272" s="45"/>
      <c r="G1272" s="45"/>
      <c r="H1272" s="45"/>
      <c r="I1272" s="45"/>
      <c r="J1272" s="45"/>
    </row>
    <row r="1273" spans="2:10" x14ac:dyDescent="0.35">
      <c r="B1273" s="45"/>
      <c r="C1273" s="45"/>
      <c r="D1273" s="45"/>
      <c r="E1273" s="45"/>
      <c r="F1273" s="45"/>
      <c r="G1273" s="45"/>
      <c r="H1273" s="45"/>
      <c r="I1273" s="45"/>
      <c r="J1273" s="45"/>
    </row>
    <row r="1274" spans="2:10" x14ac:dyDescent="0.35">
      <c r="B1274" s="45"/>
      <c r="C1274" s="45"/>
      <c r="D1274" s="45"/>
      <c r="E1274" s="45"/>
      <c r="F1274" s="45"/>
      <c r="G1274" s="45"/>
      <c r="H1274" s="45"/>
      <c r="I1274" s="45"/>
      <c r="J1274" s="45"/>
    </row>
    <row r="1275" spans="2:10" x14ac:dyDescent="0.35">
      <c r="B1275" s="45"/>
      <c r="C1275" s="45"/>
      <c r="D1275" s="45"/>
      <c r="E1275" s="45"/>
      <c r="F1275" s="45"/>
      <c r="G1275" s="45"/>
      <c r="H1275" s="45"/>
      <c r="I1275" s="45"/>
      <c r="J1275" s="45"/>
    </row>
    <row r="1276" spans="2:10" x14ac:dyDescent="0.35">
      <c r="B1276" s="45"/>
      <c r="C1276" s="45"/>
      <c r="D1276" s="45"/>
      <c r="E1276" s="45"/>
      <c r="F1276" s="45"/>
      <c r="G1276" s="45"/>
      <c r="H1276" s="45"/>
      <c r="I1276" s="45"/>
      <c r="J1276" s="45"/>
    </row>
    <row r="1277" spans="2:10" x14ac:dyDescent="0.35">
      <c r="B1277" s="45"/>
      <c r="C1277" s="45"/>
      <c r="D1277" s="45"/>
      <c r="E1277" s="45"/>
      <c r="F1277" s="45"/>
      <c r="G1277" s="45"/>
      <c r="H1277" s="45"/>
      <c r="I1277" s="45"/>
      <c r="J1277" s="45"/>
    </row>
    <row r="1278" spans="2:10" x14ac:dyDescent="0.35">
      <c r="B1278" s="45"/>
      <c r="C1278" s="45"/>
      <c r="D1278" s="45"/>
      <c r="E1278" s="45"/>
      <c r="F1278" s="45"/>
      <c r="G1278" s="45"/>
      <c r="H1278" s="45"/>
      <c r="I1278" s="45"/>
      <c r="J1278" s="45"/>
    </row>
    <row r="1279" spans="2:10" x14ac:dyDescent="0.35">
      <c r="B1279" s="45"/>
      <c r="C1279" s="45"/>
      <c r="D1279" s="45"/>
      <c r="E1279" s="45"/>
      <c r="F1279" s="45"/>
      <c r="G1279" s="45"/>
      <c r="H1279" s="45"/>
      <c r="I1279" s="45"/>
      <c r="J1279" s="45"/>
    </row>
    <row r="1280" spans="2:10" x14ac:dyDescent="0.35">
      <c r="B1280" s="45"/>
      <c r="C1280" s="45"/>
      <c r="D1280" s="45"/>
      <c r="E1280" s="45"/>
      <c r="F1280" s="45"/>
      <c r="G1280" s="45"/>
      <c r="H1280" s="45"/>
      <c r="I1280" s="45"/>
      <c r="J1280" s="45"/>
    </row>
    <row r="1281" spans="2:10" x14ac:dyDescent="0.35">
      <c r="B1281" s="45"/>
      <c r="C1281" s="45"/>
      <c r="D1281" s="45"/>
      <c r="E1281" s="45"/>
      <c r="F1281" s="45"/>
      <c r="G1281" s="45"/>
      <c r="H1281" s="45"/>
      <c r="I1281" s="45"/>
      <c r="J1281" s="45"/>
    </row>
    <row r="1282" spans="2:10" x14ac:dyDescent="0.35">
      <c r="B1282" s="45"/>
      <c r="C1282" s="45"/>
      <c r="D1282" s="45"/>
      <c r="E1282" s="45"/>
      <c r="F1282" s="45"/>
      <c r="G1282" s="45"/>
      <c r="H1282" s="45"/>
      <c r="I1282" s="45"/>
      <c r="J1282" s="45"/>
    </row>
    <row r="1283" spans="2:10" x14ac:dyDescent="0.35">
      <c r="B1283" s="45"/>
      <c r="C1283" s="45"/>
      <c r="D1283" s="45"/>
      <c r="E1283" s="45"/>
      <c r="F1283" s="45"/>
      <c r="G1283" s="45"/>
      <c r="H1283" s="45"/>
      <c r="I1283" s="45"/>
      <c r="J1283" s="45"/>
    </row>
    <row r="1284" spans="2:10" x14ac:dyDescent="0.35">
      <c r="B1284" s="45"/>
      <c r="C1284" s="45"/>
      <c r="D1284" s="45"/>
      <c r="E1284" s="45"/>
      <c r="F1284" s="45"/>
      <c r="G1284" s="45"/>
      <c r="H1284" s="45"/>
      <c r="I1284" s="45"/>
      <c r="J1284" s="45"/>
    </row>
    <row r="1285" spans="2:10" x14ac:dyDescent="0.35">
      <c r="B1285" s="45"/>
      <c r="C1285" s="45"/>
      <c r="D1285" s="45"/>
      <c r="E1285" s="45"/>
      <c r="F1285" s="45"/>
      <c r="G1285" s="45"/>
      <c r="H1285" s="45"/>
      <c r="I1285" s="45"/>
      <c r="J1285" s="45"/>
    </row>
    <row r="1286" spans="2:10" x14ac:dyDescent="0.35">
      <c r="B1286" s="45"/>
      <c r="C1286" s="45"/>
      <c r="D1286" s="45"/>
      <c r="E1286" s="45"/>
      <c r="F1286" s="45"/>
      <c r="G1286" s="45"/>
      <c r="H1286" s="45"/>
      <c r="I1286" s="45"/>
      <c r="J1286" s="45"/>
    </row>
    <row r="1287" spans="2:10" x14ac:dyDescent="0.35">
      <c r="B1287" s="45"/>
      <c r="C1287" s="45"/>
      <c r="D1287" s="45"/>
      <c r="E1287" s="45"/>
      <c r="F1287" s="45"/>
      <c r="G1287" s="45"/>
      <c r="H1287" s="45"/>
      <c r="I1287" s="45"/>
      <c r="J1287" s="45"/>
    </row>
    <row r="1288" spans="2:10" x14ac:dyDescent="0.35">
      <c r="B1288" s="45"/>
      <c r="C1288" s="45"/>
      <c r="D1288" s="45"/>
      <c r="E1288" s="45"/>
      <c r="F1288" s="45"/>
      <c r="G1288" s="45"/>
      <c r="H1288" s="45"/>
      <c r="I1288" s="45"/>
      <c r="J1288" s="45"/>
    </row>
    <row r="1289" spans="2:10" x14ac:dyDescent="0.35">
      <c r="B1289" s="45"/>
      <c r="C1289" s="45"/>
      <c r="D1289" s="45"/>
      <c r="E1289" s="45"/>
      <c r="F1289" s="45"/>
      <c r="G1289" s="45"/>
      <c r="H1289" s="45"/>
      <c r="I1289" s="45"/>
      <c r="J1289" s="45"/>
    </row>
    <row r="1290" spans="2:10" x14ac:dyDescent="0.35">
      <c r="B1290" s="45"/>
      <c r="C1290" s="45"/>
      <c r="D1290" s="45"/>
      <c r="E1290" s="45"/>
      <c r="F1290" s="45"/>
      <c r="G1290" s="45"/>
      <c r="H1290" s="45"/>
      <c r="I1290" s="45"/>
      <c r="J1290" s="45"/>
    </row>
    <row r="1291" spans="2:10" x14ac:dyDescent="0.35">
      <c r="B1291" s="45"/>
      <c r="C1291" s="45"/>
      <c r="D1291" s="45"/>
      <c r="E1291" s="45"/>
      <c r="F1291" s="45"/>
      <c r="G1291" s="45"/>
      <c r="H1291" s="45"/>
      <c r="I1291" s="45"/>
      <c r="J1291" s="45"/>
    </row>
    <row r="1292" spans="2:10" x14ac:dyDescent="0.35">
      <c r="B1292" s="45"/>
      <c r="C1292" s="45"/>
      <c r="D1292" s="45"/>
      <c r="E1292" s="45"/>
      <c r="F1292" s="45"/>
      <c r="G1292" s="45"/>
      <c r="H1292" s="45"/>
      <c r="I1292" s="45"/>
      <c r="J1292" s="45"/>
    </row>
    <row r="1293" spans="2:10" x14ac:dyDescent="0.35">
      <c r="B1293" s="45"/>
      <c r="C1293" s="45"/>
      <c r="D1293" s="45"/>
      <c r="E1293" s="45"/>
      <c r="F1293" s="45"/>
      <c r="G1293" s="45"/>
      <c r="H1293" s="45"/>
      <c r="I1293" s="45"/>
      <c r="J1293" s="45"/>
    </row>
    <row r="1294" spans="2:10" x14ac:dyDescent="0.35">
      <c r="B1294" s="45"/>
      <c r="C1294" s="45"/>
      <c r="D1294" s="45"/>
      <c r="E1294" s="45"/>
      <c r="F1294" s="45"/>
      <c r="G1294" s="45"/>
      <c r="H1294" s="45"/>
      <c r="I1294" s="45"/>
      <c r="J1294" s="45"/>
    </row>
    <row r="1295" spans="2:10" x14ac:dyDescent="0.35">
      <c r="B1295" s="45"/>
      <c r="C1295" s="45"/>
      <c r="D1295" s="45"/>
      <c r="E1295" s="45"/>
      <c r="F1295" s="45"/>
      <c r="G1295" s="45"/>
      <c r="H1295" s="45"/>
      <c r="I1295" s="45"/>
      <c r="J1295" s="45"/>
    </row>
    <row r="1296" spans="2:10" x14ac:dyDescent="0.35">
      <c r="B1296" s="45"/>
      <c r="C1296" s="45"/>
      <c r="D1296" s="45"/>
      <c r="E1296" s="45"/>
      <c r="F1296" s="45"/>
      <c r="G1296" s="45"/>
      <c r="H1296" s="45"/>
      <c r="I1296" s="45"/>
      <c r="J1296" s="45"/>
    </row>
    <row r="1297" spans="2:10" x14ac:dyDescent="0.35">
      <c r="B1297" s="45"/>
      <c r="C1297" s="45"/>
      <c r="D1297" s="45"/>
      <c r="E1297" s="45"/>
      <c r="F1297" s="45"/>
      <c r="G1297" s="45"/>
      <c r="H1297" s="45"/>
      <c r="I1297" s="45"/>
      <c r="J1297" s="45"/>
    </row>
    <row r="1298" spans="2:10" x14ac:dyDescent="0.35">
      <c r="B1298" s="45"/>
      <c r="C1298" s="45"/>
      <c r="D1298" s="45"/>
      <c r="E1298" s="45"/>
      <c r="F1298" s="45"/>
      <c r="G1298" s="45"/>
      <c r="H1298" s="45"/>
      <c r="I1298" s="45"/>
      <c r="J1298" s="45"/>
    </row>
    <row r="1299" spans="2:10" x14ac:dyDescent="0.35">
      <c r="B1299" s="45"/>
      <c r="C1299" s="45"/>
      <c r="D1299" s="45"/>
      <c r="E1299" s="45"/>
      <c r="F1299" s="45"/>
      <c r="G1299" s="45"/>
      <c r="H1299" s="45"/>
      <c r="I1299" s="45"/>
      <c r="J1299" s="45"/>
    </row>
    <row r="1300" spans="2:10" x14ac:dyDescent="0.35">
      <c r="B1300" s="45"/>
      <c r="C1300" s="45"/>
      <c r="D1300" s="45"/>
      <c r="E1300" s="45"/>
      <c r="F1300" s="45"/>
      <c r="G1300" s="45"/>
      <c r="H1300" s="45"/>
      <c r="I1300" s="45"/>
      <c r="J1300" s="45"/>
    </row>
    <row r="1301" spans="2:10" x14ac:dyDescent="0.35">
      <c r="B1301" s="45"/>
      <c r="C1301" s="45"/>
      <c r="D1301" s="45"/>
      <c r="E1301" s="45"/>
      <c r="F1301" s="45"/>
      <c r="G1301" s="45"/>
      <c r="H1301" s="45"/>
      <c r="I1301" s="45"/>
      <c r="J1301" s="45"/>
    </row>
    <row r="1302" spans="2:10" x14ac:dyDescent="0.35">
      <c r="B1302" s="45"/>
      <c r="C1302" s="45"/>
      <c r="D1302" s="45"/>
      <c r="E1302" s="45"/>
      <c r="F1302" s="45"/>
      <c r="G1302" s="45"/>
      <c r="H1302" s="45"/>
      <c r="I1302" s="45"/>
      <c r="J1302" s="45"/>
    </row>
    <row r="1303" spans="2:10" x14ac:dyDescent="0.35">
      <c r="B1303" s="45"/>
      <c r="C1303" s="45"/>
      <c r="D1303" s="45"/>
      <c r="E1303" s="45"/>
      <c r="F1303" s="45"/>
      <c r="G1303" s="45"/>
      <c r="H1303" s="45"/>
      <c r="I1303" s="45"/>
      <c r="J1303" s="45"/>
    </row>
    <row r="1304" spans="2:10" x14ac:dyDescent="0.35">
      <c r="B1304" s="45"/>
      <c r="C1304" s="45"/>
      <c r="D1304" s="45"/>
      <c r="E1304" s="45"/>
      <c r="F1304" s="45"/>
      <c r="G1304" s="45"/>
      <c r="H1304" s="45"/>
      <c r="I1304" s="45"/>
      <c r="J1304" s="45"/>
    </row>
    <row r="1305" spans="2:10" x14ac:dyDescent="0.35">
      <c r="B1305" s="45"/>
      <c r="C1305" s="45"/>
      <c r="D1305" s="45"/>
      <c r="E1305" s="45"/>
      <c r="F1305" s="45"/>
      <c r="G1305" s="45"/>
      <c r="H1305" s="45"/>
      <c r="I1305" s="45"/>
      <c r="J1305" s="45"/>
    </row>
    <row r="1306" spans="2:10" x14ac:dyDescent="0.35">
      <c r="B1306" s="45"/>
      <c r="C1306" s="45"/>
      <c r="D1306" s="45"/>
      <c r="E1306" s="45"/>
      <c r="F1306" s="45"/>
      <c r="G1306" s="45"/>
      <c r="H1306" s="45"/>
      <c r="I1306" s="45"/>
      <c r="J1306" s="45"/>
    </row>
    <row r="1307" spans="2:10" x14ac:dyDescent="0.35">
      <c r="B1307" s="45"/>
      <c r="C1307" s="45"/>
      <c r="D1307" s="45"/>
      <c r="E1307" s="45"/>
      <c r="F1307" s="45"/>
      <c r="G1307" s="45"/>
      <c r="H1307" s="45"/>
      <c r="I1307" s="45"/>
      <c r="J1307" s="45"/>
    </row>
    <row r="1308" spans="2:10" x14ac:dyDescent="0.35">
      <c r="B1308" s="45"/>
      <c r="C1308" s="45"/>
      <c r="D1308" s="45"/>
      <c r="E1308" s="45"/>
      <c r="F1308" s="45"/>
      <c r="G1308" s="45"/>
      <c r="H1308" s="45"/>
      <c r="I1308" s="45"/>
      <c r="J1308" s="45"/>
    </row>
    <row r="1309" spans="2:10" x14ac:dyDescent="0.35">
      <c r="B1309" s="45"/>
      <c r="C1309" s="45"/>
      <c r="D1309" s="45"/>
      <c r="E1309" s="45"/>
      <c r="F1309" s="45"/>
      <c r="G1309" s="45"/>
      <c r="H1309" s="45"/>
      <c r="I1309" s="45"/>
      <c r="J1309" s="45"/>
    </row>
    <row r="1310" spans="2:10" x14ac:dyDescent="0.35">
      <c r="B1310" s="45"/>
      <c r="C1310" s="45"/>
      <c r="D1310" s="45"/>
      <c r="E1310" s="45"/>
      <c r="F1310" s="45"/>
      <c r="G1310" s="45"/>
      <c r="H1310" s="45"/>
      <c r="I1310" s="45"/>
      <c r="J1310" s="45"/>
    </row>
    <row r="1311" spans="2:10" x14ac:dyDescent="0.35">
      <c r="B1311" s="45"/>
      <c r="C1311" s="45"/>
      <c r="D1311" s="45"/>
      <c r="E1311" s="45"/>
      <c r="F1311" s="45"/>
      <c r="G1311" s="45"/>
      <c r="H1311" s="45"/>
      <c r="I1311" s="45"/>
      <c r="J1311" s="45"/>
    </row>
    <row r="1312" spans="2:10" x14ac:dyDescent="0.35">
      <c r="B1312" s="45"/>
      <c r="C1312" s="45"/>
      <c r="D1312" s="45"/>
      <c r="E1312" s="45"/>
      <c r="F1312" s="45"/>
      <c r="G1312" s="45"/>
      <c r="H1312" s="45"/>
      <c r="I1312" s="45"/>
      <c r="J1312" s="45"/>
    </row>
    <row r="1313" spans="2:10" x14ac:dyDescent="0.35">
      <c r="B1313" s="45"/>
      <c r="C1313" s="45"/>
      <c r="D1313" s="45"/>
      <c r="E1313" s="45"/>
      <c r="F1313" s="45"/>
      <c r="G1313" s="45"/>
      <c r="H1313" s="45"/>
      <c r="I1313" s="45"/>
      <c r="J1313" s="45"/>
    </row>
    <row r="1314" spans="2:10" x14ac:dyDescent="0.35">
      <c r="B1314" s="45"/>
      <c r="C1314" s="45"/>
      <c r="D1314" s="45"/>
      <c r="E1314" s="45"/>
      <c r="F1314" s="45"/>
      <c r="G1314" s="45"/>
      <c r="H1314" s="45"/>
      <c r="I1314" s="45"/>
      <c r="J1314" s="45"/>
    </row>
    <row r="1315" spans="2:10" x14ac:dyDescent="0.35">
      <c r="B1315" s="45"/>
      <c r="C1315" s="45"/>
      <c r="D1315" s="45"/>
      <c r="E1315" s="45"/>
      <c r="F1315" s="45"/>
      <c r="G1315" s="45"/>
      <c r="H1315" s="45"/>
      <c r="I1315" s="45"/>
      <c r="J1315" s="45"/>
    </row>
    <row r="1316" spans="2:10" x14ac:dyDescent="0.35">
      <c r="B1316" s="45"/>
      <c r="C1316" s="45"/>
      <c r="D1316" s="45"/>
      <c r="E1316" s="45"/>
      <c r="F1316" s="45"/>
      <c r="G1316" s="45"/>
      <c r="H1316" s="45"/>
      <c r="I1316" s="45"/>
      <c r="J1316" s="45"/>
    </row>
    <row r="1317" spans="2:10" x14ac:dyDescent="0.35">
      <c r="B1317" s="45"/>
      <c r="C1317" s="45"/>
      <c r="D1317" s="45"/>
      <c r="E1317" s="45"/>
      <c r="F1317" s="45"/>
      <c r="G1317" s="45"/>
      <c r="H1317" s="45"/>
      <c r="I1317" s="45"/>
      <c r="J1317" s="45"/>
    </row>
    <row r="1318" spans="2:10" x14ac:dyDescent="0.35">
      <c r="B1318" s="45"/>
      <c r="C1318" s="45"/>
      <c r="D1318" s="45"/>
      <c r="E1318" s="45"/>
      <c r="F1318" s="45"/>
      <c r="G1318" s="45"/>
      <c r="H1318" s="45"/>
      <c r="I1318" s="45"/>
      <c r="J1318" s="45"/>
    </row>
    <row r="1319" spans="2:10" x14ac:dyDescent="0.35">
      <c r="B1319" s="45"/>
      <c r="C1319" s="45"/>
      <c r="D1319" s="45"/>
      <c r="E1319" s="45"/>
      <c r="F1319" s="45"/>
      <c r="G1319" s="45"/>
      <c r="H1319" s="45"/>
      <c r="I1319" s="45"/>
      <c r="J1319" s="45"/>
    </row>
    <row r="1320" spans="2:10" x14ac:dyDescent="0.35">
      <c r="B1320" s="45"/>
      <c r="C1320" s="45"/>
      <c r="D1320" s="45"/>
      <c r="E1320" s="45"/>
      <c r="F1320" s="45"/>
      <c r="G1320" s="45"/>
      <c r="H1320" s="45"/>
      <c r="I1320" s="45"/>
      <c r="J1320" s="45"/>
    </row>
    <row r="1321" spans="2:10" x14ac:dyDescent="0.35">
      <c r="B1321" s="45"/>
      <c r="C1321" s="45"/>
      <c r="D1321" s="45"/>
      <c r="E1321" s="45"/>
      <c r="F1321" s="45"/>
      <c r="G1321" s="45"/>
      <c r="H1321" s="45"/>
      <c r="I1321" s="45"/>
      <c r="J1321" s="45"/>
    </row>
    <row r="1322" spans="2:10" x14ac:dyDescent="0.35">
      <c r="B1322" s="45"/>
      <c r="C1322" s="45"/>
      <c r="D1322" s="45"/>
      <c r="E1322" s="45"/>
      <c r="F1322" s="45"/>
      <c r="G1322" s="45"/>
      <c r="H1322" s="45"/>
      <c r="I1322" s="45"/>
      <c r="J1322" s="45"/>
    </row>
    <row r="1323" spans="2:10" x14ac:dyDescent="0.35">
      <c r="B1323" s="45"/>
      <c r="C1323" s="45"/>
      <c r="D1323" s="45"/>
      <c r="E1323" s="45"/>
      <c r="F1323" s="45"/>
      <c r="G1323" s="45"/>
      <c r="H1323" s="45"/>
      <c r="I1323" s="45"/>
      <c r="J1323" s="45"/>
    </row>
    <row r="1324" spans="2:10" x14ac:dyDescent="0.35">
      <c r="B1324" s="45"/>
      <c r="C1324" s="45"/>
      <c r="D1324" s="45"/>
      <c r="E1324" s="45"/>
      <c r="F1324" s="45"/>
      <c r="G1324" s="45"/>
      <c r="H1324" s="45"/>
      <c r="I1324" s="45"/>
      <c r="J1324" s="45"/>
    </row>
    <row r="1325" spans="2:10" x14ac:dyDescent="0.35">
      <c r="B1325" s="45"/>
      <c r="C1325" s="45"/>
      <c r="D1325" s="45"/>
      <c r="E1325" s="45"/>
      <c r="F1325" s="45"/>
      <c r="G1325" s="45"/>
      <c r="H1325" s="45"/>
      <c r="I1325" s="45"/>
      <c r="J1325" s="45"/>
    </row>
    <row r="1326" spans="2:10" x14ac:dyDescent="0.35">
      <c r="B1326" s="45"/>
      <c r="C1326" s="45"/>
      <c r="D1326" s="45"/>
      <c r="E1326" s="45"/>
      <c r="F1326" s="45"/>
      <c r="G1326" s="45"/>
      <c r="H1326" s="45"/>
      <c r="I1326" s="45"/>
      <c r="J1326" s="45"/>
    </row>
    <row r="1327" spans="2:10" x14ac:dyDescent="0.35">
      <c r="B1327" s="45"/>
      <c r="C1327" s="45"/>
      <c r="D1327" s="45"/>
      <c r="E1327" s="45"/>
      <c r="F1327" s="45"/>
      <c r="G1327" s="45"/>
      <c r="H1327" s="45"/>
      <c r="I1327" s="45"/>
      <c r="J1327" s="45"/>
    </row>
    <row r="1328" spans="2:10" x14ac:dyDescent="0.35">
      <c r="B1328" s="45"/>
      <c r="C1328" s="45"/>
      <c r="D1328" s="45"/>
      <c r="E1328" s="45"/>
      <c r="F1328" s="45"/>
      <c r="G1328" s="45"/>
      <c r="H1328" s="45"/>
      <c r="I1328" s="45"/>
      <c r="J1328" s="45"/>
    </row>
    <row r="1329" spans="2:10" x14ac:dyDescent="0.35">
      <c r="B1329" s="45"/>
      <c r="C1329" s="45"/>
      <c r="D1329" s="45"/>
      <c r="E1329" s="45"/>
      <c r="F1329" s="45"/>
      <c r="G1329" s="45"/>
      <c r="H1329" s="45"/>
      <c r="I1329" s="45"/>
      <c r="J1329" s="45"/>
    </row>
    <row r="1330" spans="2:10" x14ac:dyDescent="0.35">
      <c r="B1330" s="45"/>
      <c r="C1330" s="45"/>
      <c r="D1330" s="45"/>
      <c r="E1330" s="45"/>
      <c r="F1330" s="45"/>
      <c r="G1330" s="45"/>
      <c r="H1330" s="45"/>
      <c r="I1330" s="45"/>
      <c r="J1330" s="45"/>
    </row>
    <row r="1331" spans="2:10" x14ac:dyDescent="0.35">
      <c r="B1331" s="45"/>
      <c r="C1331" s="45"/>
      <c r="D1331" s="45"/>
      <c r="E1331" s="45"/>
      <c r="F1331" s="45"/>
      <c r="G1331" s="45"/>
      <c r="H1331" s="45"/>
      <c r="I1331" s="45"/>
      <c r="J1331" s="45"/>
    </row>
    <row r="1332" spans="2:10" x14ac:dyDescent="0.35">
      <c r="B1332" s="45"/>
      <c r="C1332" s="45"/>
      <c r="D1332" s="45"/>
      <c r="E1332" s="45"/>
      <c r="F1332" s="45"/>
      <c r="G1332" s="45"/>
      <c r="H1332" s="45"/>
      <c r="I1332" s="45"/>
      <c r="J1332" s="45"/>
    </row>
    <row r="1333" spans="2:10" x14ac:dyDescent="0.35">
      <c r="B1333" s="45"/>
      <c r="C1333" s="45"/>
      <c r="D1333" s="45"/>
      <c r="E1333" s="45"/>
      <c r="F1333" s="45"/>
      <c r="G1333" s="45"/>
      <c r="H1333" s="45"/>
      <c r="I1333" s="45"/>
      <c r="J1333" s="45"/>
    </row>
    <row r="1334" spans="2:10" x14ac:dyDescent="0.35">
      <c r="B1334" s="45"/>
      <c r="C1334" s="45"/>
      <c r="D1334" s="45"/>
      <c r="E1334" s="45"/>
      <c r="F1334" s="45"/>
      <c r="G1334" s="45"/>
      <c r="H1334" s="45"/>
      <c r="I1334" s="45"/>
      <c r="J1334" s="45"/>
    </row>
    <row r="1335" spans="2:10" x14ac:dyDescent="0.35">
      <c r="B1335" s="45"/>
      <c r="C1335" s="45"/>
      <c r="D1335" s="45"/>
      <c r="E1335" s="45"/>
      <c r="F1335" s="45"/>
      <c r="G1335" s="45"/>
      <c r="H1335" s="45"/>
      <c r="I1335" s="45"/>
      <c r="J1335" s="45"/>
    </row>
    <row r="1336" spans="2:10" x14ac:dyDescent="0.35">
      <c r="B1336" s="45"/>
      <c r="C1336" s="45"/>
      <c r="D1336" s="45"/>
      <c r="E1336" s="45"/>
      <c r="F1336" s="45"/>
      <c r="G1336" s="45"/>
      <c r="H1336" s="45"/>
      <c r="I1336" s="45"/>
      <c r="J1336" s="45"/>
    </row>
    <row r="1337" spans="2:10" x14ac:dyDescent="0.35">
      <c r="B1337" s="45"/>
      <c r="C1337" s="45"/>
      <c r="D1337" s="45"/>
      <c r="E1337" s="45"/>
      <c r="F1337" s="45"/>
      <c r="G1337" s="45"/>
      <c r="H1337" s="45"/>
      <c r="I1337" s="45"/>
      <c r="J1337" s="45"/>
    </row>
    <row r="1338" spans="2:10" x14ac:dyDescent="0.35">
      <c r="B1338" s="45"/>
      <c r="C1338" s="45"/>
      <c r="D1338" s="45"/>
      <c r="E1338" s="45"/>
      <c r="F1338" s="45"/>
      <c r="G1338" s="45"/>
      <c r="H1338" s="45"/>
      <c r="I1338" s="45"/>
      <c r="J1338" s="45"/>
    </row>
    <row r="1339" spans="2:10" x14ac:dyDescent="0.35">
      <c r="B1339" s="45"/>
      <c r="C1339" s="45"/>
      <c r="D1339" s="45"/>
      <c r="E1339" s="45"/>
      <c r="F1339" s="45"/>
      <c r="G1339" s="45"/>
      <c r="H1339" s="45"/>
      <c r="I1339" s="45"/>
      <c r="J1339" s="45"/>
    </row>
    <row r="1340" spans="2:10" x14ac:dyDescent="0.35">
      <c r="B1340" s="45"/>
      <c r="C1340" s="45"/>
      <c r="D1340" s="45"/>
      <c r="E1340" s="45"/>
      <c r="F1340" s="45"/>
      <c r="G1340" s="45"/>
      <c r="H1340" s="45"/>
      <c r="I1340" s="45"/>
      <c r="J1340" s="45"/>
    </row>
    <row r="1341" spans="2:10" x14ac:dyDescent="0.35">
      <c r="B1341" s="45"/>
      <c r="C1341" s="45"/>
      <c r="D1341" s="45"/>
      <c r="E1341" s="45"/>
      <c r="F1341" s="45"/>
      <c r="G1341" s="45"/>
      <c r="H1341" s="45"/>
      <c r="I1341" s="45"/>
      <c r="J1341" s="45"/>
    </row>
    <row r="1342" spans="2:10" x14ac:dyDescent="0.35">
      <c r="B1342" s="45"/>
      <c r="C1342" s="45"/>
      <c r="D1342" s="45"/>
      <c r="E1342" s="45"/>
      <c r="F1342" s="45"/>
      <c r="G1342" s="45"/>
      <c r="H1342" s="45"/>
      <c r="I1342" s="45"/>
      <c r="J1342" s="45"/>
    </row>
    <row r="1343" spans="2:10" x14ac:dyDescent="0.35">
      <c r="B1343" s="45"/>
      <c r="C1343" s="45"/>
      <c r="D1343" s="45"/>
      <c r="E1343" s="45"/>
      <c r="F1343" s="45"/>
      <c r="G1343" s="45"/>
      <c r="H1343" s="45"/>
      <c r="I1343" s="45"/>
      <c r="J1343" s="45"/>
    </row>
    <row r="1344" spans="2:10" x14ac:dyDescent="0.35">
      <c r="B1344" s="45"/>
      <c r="C1344" s="45"/>
      <c r="D1344" s="45"/>
      <c r="E1344" s="45"/>
      <c r="F1344" s="45"/>
      <c r="G1344" s="45"/>
      <c r="H1344" s="45"/>
      <c r="I1344" s="45"/>
      <c r="J1344" s="45"/>
    </row>
    <row r="1345" spans="2:10" x14ac:dyDescent="0.35">
      <c r="B1345" s="45"/>
      <c r="C1345" s="45"/>
      <c r="D1345" s="45"/>
      <c r="E1345" s="45"/>
      <c r="F1345" s="45"/>
      <c r="G1345" s="45"/>
      <c r="H1345" s="45"/>
      <c r="I1345" s="45"/>
      <c r="J1345" s="45"/>
    </row>
    <row r="1346" spans="2:10" x14ac:dyDescent="0.35">
      <c r="B1346" s="45"/>
      <c r="C1346" s="45"/>
      <c r="D1346" s="45"/>
      <c r="E1346" s="45"/>
      <c r="F1346" s="45"/>
      <c r="G1346" s="45"/>
      <c r="H1346" s="45"/>
      <c r="I1346" s="45"/>
      <c r="J1346" s="45"/>
    </row>
    <row r="1347" spans="2:10" x14ac:dyDescent="0.35">
      <c r="B1347" s="45"/>
      <c r="C1347" s="45"/>
      <c r="D1347" s="45"/>
      <c r="E1347" s="45"/>
      <c r="F1347" s="45"/>
      <c r="G1347" s="45"/>
      <c r="H1347" s="45"/>
      <c r="I1347" s="45"/>
      <c r="J1347" s="45"/>
    </row>
    <row r="1348" spans="2:10" x14ac:dyDescent="0.35">
      <c r="B1348" s="45"/>
      <c r="C1348" s="45"/>
      <c r="D1348" s="45"/>
      <c r="E1348" s="45"/>
      <c r="F1348" s="45"/>
      <c r="G1348" s="45"/>
      <c r="H1348" s="45"/>
      <c r="I1348" s="45"/>
      <c r="J1348" s="45"/>
    </row>
    <row r="1349" spans="2:10" x14ac:dyDescent="0.35">
      <c r="B1349" s="45"/>
      <c r="C1349" s="45"/>
      <c r="D1349" s="45"/>
      <c r="E1349" s="45"/>
      <c r="F1349" s="45"/>
      <c r="G1349" s="45"/>
      <c r="H1349" s="45"/>
      <c r="I1349" s="45"/>
      <c r="J1349" s="45"/>
    </row>
    <row r="1350" spans="2:10" x14ac:dyDescent="0.35">
      <c r="B1350" s="45"/>
      <c r="C1350" s="45"/>
      <c r="D1350" s="45"/>
      <c r="E1350" s="45"/>
      <c r="F1350" s="45"/>
      <c r="G1350" s="45"/>
      <c r="H1350" s="45"/>
      <c r="I1350" s="45"/>
      <c r="J1350" s="45"/>
    </row>
    <row r="1351" spans="2:10" x14ac:dyDescent="0.35">
      <c r="B1351" s="45"/>
      <c r="C1351" s="45"/>
      <c r="D1351" s="45"/>
      <c r="E1351" s="45"/>
      <c r="F1351" s="45"/>
      <c r="G1351" s="45"/>
      <c r="H1351" s="45"/>
      <c r="I1351" s="45"/>
      <c r="J1351" s="45"/>
    </row>
    <row r="1352" spans="2:10" x14ac:dyDescent="0.35">
      <c r="B1352" s="45"/>
      <c r="C1352" s="45"/>
      <c r="D1352" s="45"/>
      <c r="E1352" s="45"/>
      <c r="F1352" s="45"/>
      <c r="G1352" s="45"/>
      <c r="H1352" s="45"/>
      <c r="I1352" s="45"/>
      <c r="J1352" s="45"/>
    </row>
    <row r="1353" spans="2:10" x14ac:dyDescent="0.35">
      <c r="B1353" s="45"/>
      <c r="C1353" s="45"/>
      <c r="D1353" s="45"/>
      <c r="E1353" s="45"/>
      <c r="F1353" s="45"/>
      <c r="G1353" s="45"/>
      <c r="H1353" s="45"/>
      <c r="I1353" s="45"/>
      <c r="J1353" s="45"/>
    </row>
    <row r="1354" spans="2:10" x14ac:dyDescent="0.35">
      <c r="B1354" s="45"/>
      <c r="C1354" s="45"/>
      <c r="D1354" s="45"/>
      <c r="E1354" s="45"/>
      <c r="F1354" s="45"/>
      <c r="G1354" s="45"/>
      <c r="H1354" s="45"/>
      <c r="I1354" s="45"/>
      <c r="J1354" s="45"/>
    </row>
    <row r="1355" spans="2:10" x14ac:dyDescent="0.35">
      <c r="B1355" s="45"/>
      <c r="C1355" s="45"/>
      <c r="D1355" s="45"/>
      <c r="E1355" s="45"/>
      <c r="F1355" s="45"/>
      <c r="G1355" s="45"/>
      <c r="H1355" s="45"/>
      <c r="I1355" s="45"/>
      <c r="J1355" s="45"/>
    </row>
    <row r="1356" spans="2:10" x14ac:dyDescent="0.35">
      <c r="B1356" s="45"/>
      <c r="C1356" s="45"/>
      <c r="D1356" s="45"/>
      <c r="E1356" s="45"/>
      <c r="F1356" s="45"/>
      <c r="G1356" s="45"/>
      <c r="H1356" s="45"/>
      <c r="I1356" s="45"/>
      <c r="J1356" s="45"/>
    </row>
    <row r="1357" spans="2:10" x14ac:dyDescent="0.35">
      <c r="B1357" s="45"/>
      <c r="C1357" s="45"/>
      <c r="D1357" s="45"/>
      <c r="E1357" s="45"/>
      <c r="F1357" s="45"/>
      <c r="G1357" s="45"/>
      <c r="H1357" s="45"/>
      <c r="I1357" s="45"/>
      <c r="J1357" s="45"/>
    </row>
    <row r="1358" spans="2:10" x14ac:dyDescent="0.35">
      <c r="B1358" s="45"/>
      <c r="C1358" s="45"/>
      <c r="D1358" s="45"/>
      <c r="E1358" s="45"/>
      <c r="F1358" s="45"/>
      <c r="G1358" s="45"/>
      <c r="H1358" s="45"/>
      <c r="I1358" s="45"/>
      <c r="J1358" s="45"/>
    </row>
    <row r="1359" spans="2:10" x14ac:dyDescent="0.35">
      <c r="B1359" s="45"/>
      <c r="C1359" s="45"/>
      <c r="D1359" s="45"/>
      <c r="E1359" s="45"/>
      <c r="F1359" s="45"/>
      <c r="G1359" s="45"/>
      <c r="H1359" s="45"/>
      <c r="I1359" s="45"/>
      <c r="J1359" s="45"/>
    </row>
    <row r="1360" spans="2:10" x14ac:dyDescent="0.35">
      <c r="B1360" s="45"/>
      <c r="C1360" s="45"/>
      <c r="D1360" s="45"/>
      <c r="E1360" s="45"/>
      <c r="F1360" s="45"/>
      <c r="G1360" s="45"/>
      <c r="H1360" s="45"/>
      <c r="I1360" s="45"/>
      <c r="J1360" s="45"/>
    </row>
    <row r="1361" spans="2:10" x14ac:dyDescent="0.35">
      <c r="B1361" s="45"/>
      <c r="C1361" s="45"/>
      <c r="D1361" s="45"/>
      <c r="E1361" s="45"/>
      <c r="F1361" s="45"/>
      <c r="G1361" s="45"/>
      <c r="H1361" s="45"/>
      <c r="I1361" s="45"/>
      <c r="J1361" s="45"/>
    </row>
    <row r="1362" spans="2:10" x14ac:dyDescent="0.35">
      <c r="B1362" s="45"/>
      <c r="C1362" s="45"/>
      <c r="D1362" s="45"/>
      <c r="E1362" s="45"/>
      <c r="F1362" s="45"/>
      <c r="G1362" s="45"/>
      <c r="H1362" s="45"/>
      <c r="I1362" s="45"/>
      <c r="J1362" s="45"/>
    </row>
    <row r="1363" spans="2:10" x14ac:dyDescent="0.35">
      <c r="B1363" s="45"/>
      <c r="C1363" s="45"/>
      <c r="D1363" s="45"/>
      <c r="E1363" s="45"/>
      <c r="F1363" s="45"/>
      <c r="G1363" s="45"/>
      <c r="H1363" s="45"/>
      <c r="I1363" s="45"/>
      <c r="J1363" s="45"/>
    </row>
    <row r="1364" spans="2:10" x14ac:dyDescent="0.35">
      <c r="B1364" s="45"/>
      <c r="C1364" s="45"/>
      <c r="D1364" s="45"/>
      <c r="E1364" s="45"/>
      <c r="F1364" s="45"/>
      <c r="G1364" s="45"/>
      <c r="H1364" s="45"/>
      <c r="I1364" s="45"/>
      <c r="J1364" s="45"/>
    </row>
    <row r="1365" spans="2:10" x14ac:dyDescent="0.35">
      <c r="B1365" s="45"/>
      <c r="C1365" s="45"/>
      <c r="D1365" s="45"/>
      <c r="E1365" s="45"/>
      <c r="F1365" s="45"/>
      <c r="G1365" s="45"/>
      <c r="H1365" s="45"/>
      <c r="I1365" s="45"/>
      <c r="J1365" s="45"/>
    </row>
    <row r="1366" spans="2:10" x14ac:dyDescent="0.35">
      <c r="B1366" s="45"/>
      <c r="C1366" s="45"/>
      <c r="D1366" s="45"/>
      <c r="E1366" s="45"/>
      <c r="F1366" s="45"/>
      <c r="G1366" s="45"/>
      <c r="H1366" s="45"/>
      <c r="I1366" s="45"/>
      <c r="J1366" s="45"/>
    </row>
    <row r="1367" spans="2:10" x14ac:dyDescent="0.35">
      <c r="B1367" s="45"/>
      <c r="C1367" s="45"/>
      <c r="D1367" s="45"/>
      <c r="E1367" s="45"/>
      <c r="F1367" s="45"/>
      <c r="G1367" s="45"/>
      <c r="H1367" s="45"/>
      <c r="I1367" s="45"/>
      <c r="J1367" s="45"/>
    </row>
    <row r="1368" spans="2:10" x14ac:dyDescent="0.35">
      <c r="B1368" s="45"/>
      <c r="C1368" s="45"/>
      <c r="D1368" s="45"/>
      <c r="E1368" s="45"/>
      <c r="F1368" s="45"/>
      <c r="G1368" s="45"/>
      <c r="H1368" s="45"/>
      <c r="I1368" s="45"/>
      <c r="J1368" s="45"/>
    </row>
    <row r="1369" spans="2:10" x14ac:dyDescent="0.35">
      <c r="B1369" s="45"/>
      <c r="C1369" s="45"/>
      <c r="D1369" s="45"/>
      <c r="E1369" s="45"/>
      <c r="F1369" s="45"/>
      <c r="G1369" s="45"/>
      <c r="H1369" s="45"/>
      <c r="I1369" s="45"/>
      <c r="J1369" s="45"/>
    </row>
    <row r="1370" spans="2:10" x14ac:dyDescent="0.35">
      <c r="B1370" s="45"/>
      <c r="C1370" s="45"/>
      <c r="D1370" s="45"/>
      <c r="E1370" s="45"/>
      <c r="F1370" s="45"/>
      <c r="G1370" s="45"/>
      <c r="H1370" s="45"/>
      <c r="I1370" s="45"/>
      <c r="J1370" s="45"/>
    </row>
    <row r="1371" spans="2:10" x14ac:dyDescent="0.35">
      <c r="B1371" s="45"/>
      <c r="C1371" s="45"/>
      <c r="D1371" s="45"/>
      <c r="E1371" s="45"/>
      <c r="F1371" s="45"/>
      <c r="G1371" s="45"/>
      <c r="H1371" s="45"/>
      <c r="I1371" s="45"/>
      <c r="J1371" s="45"/>
    </row>
    <row r="1372" spans="2:10" x14ac:dyDescent="0.35">
      <c r="B1372" s="45"/>
      <c r="C1372" s="45"/>
      <c r="D1372" s="45"/>
      <c r="E1372" s="45"/>
      <c r="F1372" s="45"/>
      <c r="G1372" s="45"/>
      <c r="H1372" s="45"/>
      <c r="I1372" s="45"/>
      <c r="J1372" s="45"/>
    </row>
    <row r="1373" spans="2:10" x14ac:dyDescent="0.35">
      <c r="B1373" s="45"/>
      <c r="C1373" s="45"/>
      <c r="D1373" s="45"/>
      <c r="E1373" s="45"/>
      <c r="F1373" s="45"/>
      <c r="G1373" s="45"/>
      <c r="H1373" s="45"/>
      <c r="I1373" s="45"/>
      <c r="J1373" s="45"/>
    </row>
    <row r="1374" spans="2:10" x14ac:dyDescent="0.35">
      <c r="B1374" s="45"/>
      <c r="C1374" s="45"/>
      <c r="D1374" s="45"/>
      <c r="E1374" s="45"/>
      <c r="F1374" s="45"/>
      <c r="G1374" s="45"/>
      <c r="H1374" s="45"/>
      <c r="I1374" s="45"/>
      <c r="J1374" s="45"/>
    </row>
    <row r="1375" spans="2:10" x14ac:dyDescent="0.35">
      <c r="B1375" s="45"/>
      <c r="C1375" s="45"/>
      <c r="D1375" s="45"/>
      <c r="E1375" s="45"/>
      <c r="F1375" s="45"/>
      <c r="G1375" s="45"/>
      <c r="H1375" s="45"/>
      <c r="I1375" s="45"/>
      <c r="J1375" s="45"/>
    </row>
    <row r="1376" spans="2:10" x14ac:dyDescent="0.35">
      <c r="B1376" s="45"/>
      <c r="C1376" s="45"/>
      <c r="D1376" s="45"/>
      <c r="E1376" s="45"/>
      <c r="F1376" s="45"/>
      <c r="G1376" s="45"/>
      <c r="H1376" s="45"/>
      <c r="I1376" s="45"/>
      <c r="J1376" s="45"/>
    </row>
    <row r="1377" spans="2:10" x14ac:dyDescent="0.35">
      <c r="B1377" s="45"/>
      <c r="C1377" s="45"/>
      <c r="D1377" s="45"/>
      <c r="E1377" s="45"/>
      <c r="F1377" s="45"/>
      <c r="G1377" s="45"/>
      <c r="H1377" s="45"/>
      <c r="I1377" s="45"/>
      <c r="J1377" s="45"/>
    </row>
    <row r="1378" spans="2:10" x14ac:dyDescent="0.35">
      <c r="B1378" s="45"/>
      <c r="C1378" s="45"/>
      <c r="D1378" s="45"/>
      <c r="E1378" s="45"/>
      <c r="F1378" s="45"/>
      <c r="G1378" s="45"/>
      <c r="H1378" s="45"/>
      <c r="I1378" s="45"/>
      <c r="J1378" s="45"/>
    </row>
    <row r="1379" spans="2:10" x14ac:dyDescent="0.35">
      <c r="B1379" s="45"/>
      <c r="C1379" s="45"/>
      <c r="D1379" s="45"/>
      <c r="E1379" s="45"/>
      <c r="F1379" s="45"/>
      <c r="G1379" s="45"/>
      <c r="H1379" s="45"/>
      <c r="I1379" s="45"/>
      <c r="J1379" s="45"/>
    </row>
    <row r="1380" spans="2:10" x14ac:dyDescent="0.35">
      <c r="B1380" s="45"/>
      <c r="C1380" s="45"/>
      <c r="D1380" s="45"/>
      <c r="E1380" s="45"/>
      <c r="F1380" s="45"/>
      <c r="G1380" s="45"/>
      <c r="H1380" s="45"/>
      <c r="I1380" s="45"/>
      <c r="J1380" s="45"/>
    </row>
    <row r="1381" spans="2:10" x14ac:dyDescent="0.35">
      <c r="B1381" s="45"/>
      <c r="C1381" s="45"/>
      <c r="D1381" s="45"/>
      <c r="E1381" s="45"/>
      <c r="F1381" s="45"/>
      <c r="G1381" s="45"/>
      <c r="H1381" s="45"/>
      <c r="I1381" s="45"/>
      <c r="J1381" s="45"/>
    </row>
    <row r="1382" spans="2:10" x14ac:dyDescent="0.35">
      <c r="B1382" s="45"/>
      <c r="C1382" s="45"/>
      <c r="D1382" s="45"/>
      <c r="E1382" s="45"/>
      <c r="F1382" s="45"/>
      <c r="G1382" s="45"/>
      <c r="H1382" s="45"/>
      <c r="I1382" s="45"/>
      <c r="J1382" s="45"/>
    </row>
    <row r="1383" spans="2:10" x14ac:dyDescent="0.35">
      <c r="B1383" s="45"/>
      <c r="C1383" s="45"/>
      <c r="D1383" s="45"/>
      <c r="E1383" s="45"/>
      <c r="F1383" s="45"/>
      <c r="G1383" s="45"/>
      <c r="H1383" s="45"/>
      <c r="I1383" s="45"/>
      <c r="J1383" s="45"/>
    </row>
    <row r="1384" spans="2:10" x14ac:dyDescent="0.35">
      <c r="B1384" s="45"/>
      <c r="C1384" s="45"/>
      <c r="D1384" s="45"/>
      <c r="E1384" s="45"/>
      <c r="F1384" s="45"/>
      <c r="G1384" s="45"/>
      <c r="H1384" s="45"/>
      <c r="I1384" s="45"/>
      <c r="J1384" s="45"/>
    </row>
    <row r="1385" spans="2:10" x14ac:dyDescent="0.35">
      <c r="B1385" s="45"/>
      <c r="C1385" s="45"/>
      <c r="D1385" s="45"/>
      <c r="E1385" s="45"/>
      <c r="F1385" s="45"/>
      <c r="G1385" s="45"/>
      <c r="H1385" s="45"/>
      <c r="I1385" s="45"/>
      <c r="J1385" s="45"/>
    </row>
    <row r="1386" spans="2:10" x14ac:dyDescent="0.35">
      <c r="B1386" s="45"/>
      <c r="C1386" s="45"/>
      <c r="D1386" s="45"/>
      <c r="E1386" s="45"/>
      <c r="F1386" s="45"/>
      <c r="G1386" s="45"/>
      <c r="H1386" s="45"/>
      <c r="I1386" s="45"/>
      <c r="J1386" s="45"/>
    </row>
    <row r="1387" spans="2:10" x14ac:dyDescent="0.35">
      <c r="B1387" s="45"/>
      <c r="C1387" s="45"/>
      <c r="D1387" s="45"/>
      <c r="E1387" s="45"/>
      <c r="F1387" s="45"/>
      <c r="G1387" s="45"/>
      <c r="H1387" s="45"/>
      <c r="I1387" s="45"/>
      <c r="J1387" s="45"/>
    </row>
    <row r="1388" spans="2:10" x14ac:dyDescent="0.35">
      <c r="B1388" s="45"/>
      <c r="C1388" s="45"/>
      <c r="D1388" s="45"/>
      <c r="E1388" s="45"/>
      <c r="F1388" s="45"/>
      <c r="G1388" s="45"/>
      <c r="H1388" s="45"/>
      <c r="I1388" s="45"/>
      <c r="J1388" s="45"/>
    </row>
    <row r="1389" spans="2:10" x14ac:dyDescent="0.35">
      <c r="B1389" s="45"/>
      <c r="C1389" s="45"/>
      <c r="D1389" s="45"/>
      <c r="E1389" s="45"/>
      <c r="F1389" s="45"/>
      <c r="G1389" s="45"/>
      <c r="H1389" s="45"/>
      <c r="I1389" s="45"/>
      <c r="J1389" s="45"/>
    </row>
    <row r="1390" spans="2:10" x14ac:dyDescent="0.35">
      <c r="B1390" s="45"/>
      <c r="C1390" s="45"/>
      <c r="D1390" s="45"/>
      <c r="E1390" s="45"/>
      <c r="F1390" s="45"/>
      <c r="G1390" s="45"/>
      <c r="H1390" s="45"/>
      <c r="I1390" s="45"/>
      <c r="J1390" s="45"/>
    </row>
    <row r="1391" spans="2:10" x14ac:dyDescent="0.35">
      <c r="B1391" s="45"/>
      <c r="C1391" s="45"/>
      <c r="D1391" s="45"/>
      <c r="E1391" s="45"/>
      <c r="F1391" s="45"/>
      <c r="G1391" s="45"/>
      <c r="H1391" s="45"/>
      <c r="I1391" s="45"/>
      <c r="J1391" s="45"/>
    </row>
    <row r="1392" spans="2:10" x14ac:dyDescent="0.35">
      <c r="B1392" s="45"/>
      <c r="C1392" s="45"/>
      <c r="D1392" s="45"/>
      <c r="E1392" s="45"/>
      <c r="F1392" s="45"/>
      <c r="G1392" s="45"/>
      <c r="H1392" s="45"/>
      <c r="I1392" s="45"/>
      <c r="J1392" s="45"/>
    </row>
    <row r="1393" spans="2:10" x14ac:dyDescent="0.35">
      <c r="B1393" s="45"/>
      <c r="C1393" s="45"/>
      <c r="D1393" s="45"/>
      <c r="E1393" s="45"/>
      <c r="F1393" s="45"/>
      <c r="G1393" s="45"/>
      <c r="H1393" s="45"/>
      <c r="I1393" s="45"/>
      <c r="J1393" s="45"/>
    </row>
    <row r="1394" spans="2:10" x14ac:dyDescent="0.35">
      <c r="B1394" s="45"/>
      <c r="C1394" s="45"/>
      <c r="D1394" s="45"/>
      <c r="E1394" s="45"/>
      <c r="F1394" s="45"/>
      <c r="G1394" s="45"/>
      <c r="H1394" s="45"/>
      <c r="I1394" s="45"/>
      <c r="J1394" s="45"/>
    </row>
    <row r="1395" spans="2:10" x14ac:dyDescent="0.35">
      <c r="B1395" s="45"/>
      <c r="C1395" s="45"/>
      <c r="D1395" s="45"/>
      <c r="E1395" s="45"/>
      <c r="F1395" s="45"/>
      <c r="G1395" s="45"/>
      <c r="H1395" s="45"/>
      <c r="I1395" s="45"/>
      <c r="J1395" s="45"/>
    </row>
    <row r="1396" spans="2:10" x14ac:dyDescent="0.35">
      <c r="B1396" s="45"/>
      <c r="C1396" s="45"/>
      <c r="D1396" s="45"/>
      <c r="E1396" s="45"/>
      <c r="F1396" s="45"/>
      <c r="G1396" s="45"/>
      <c r="H1396" s="45"/>
      <c r="I1396" s="45"/>
      <c r="J1396" s="45"/>
    </row>
    <row r="1397" spans="2:10" x14ac:dyDescent="0.35">
      <c r="B1397" s="45"/>
      <c r="C1397" s="45"/>
      <c r="D1397" s="45"/>
      <c r="E1397" s="45"/>
      <c r="F1397" s="45"/>
      <c r="G1397" s="45"/>
      <c r="H1397" s="45"/>
      <c r="I1397" s="45"/>
      <c r="J1397" s="45"/>
    </row>
    <row r="1398" spans="2:10" x14ac:dyDescent="0.35">
      <c r="B1398" s="45"/>
      <c r="C1398" s="45"/>
      <c r="D1398" s="45"/>
      <c r="E1398" s="45"/>
      <c r="F1398" s="45"/>
      <c r="G1398" s="45"/>
      <c r="H1398" s="45"/>
      <c r="I1398" s="45"/>
      <c r="J1398" s="45"/>
    </row>
    <row r="1399" spans="2:10" x14ac:dyDescent="0.35">
      <c r="B1399" s="45"/>
      <c r="C1399" s="45"/>
      <c r="D1399" s="45"/>
      <c r="E1399" s="45"/>
      <c r="F1399" s="45"/>
      <c r="G1399" s="45"/>
      <c r="H1399" s="45"/>
      <c r="I1399" s="45"/>
      <c r="J1399" s="45"/>
    </row>
    <row r="1400" spans="2:10" x14ac:dyDescent="0.35">
      <c r="B1400" s="45"/>
      <c r="C1400" s="45"/>
      <c r="D1400" s="45"/>
      <c r="E1400" s="45"/>
      <c r="F1400" s="45"/>
      <c r="G1400" s="45"/>
      <c r="H1400" s="45"/>
      <c r="I1400" s="45"/>
      <c r="J1400" s="45"/>
    </row>
    <row r="1401" spans="2:10" x14ac:dyDescent="0.35">
      <c r="B1401" s="45"/>
      <c r="C1401" s="45"/>
      <c r="D1401" s="45"/>
      <c r="E1401" s="45"/>
      <c r="F1401" s="45"/>
      <c r="G1401" s="45"/>
      <c r="H1401" s="45"/>
      <c r="I1401" s="45"/>
      <c r="J1401" s="45"/>
    </row>
    <row r="1402" spans="2:10" x14ac:dyDescent="0.35">
      <c r="B1402" s="45"/>
      <c r="C1402" s="45"/>
      <c r="D1402" s="45"/>
      <c r="E1402" s="45"/>
      <c r="F1402" s="45"/>
      <c r="G1402" s="45"/>
      <c r="H1402" s="45"/>
      <c r="I1402" s="45"/>
      <c r="J1402" s="45"/>
    </row>
    <row r="1403" spans="2:10" x14ac:dyDescent="0.35">
      <c r="B1403" s="45"/>
      <c r="C1403" s="45"/>
      <c r="D1403" s="45"/>
      <c r="E1403" s="45"/>
      <c r="F1403" s="45"/>
      <c r="G1403" s="45"/>
      <c r="H1403" s="45"/>
      <c r="I1403" s="45"/>
      <c r="J1403" s="45"/>
    </row>
    <row r="1404" spans="2:10" x14ac:dyDescent="0.35">
      <c r="B1404" s="45"/>
      <c r="C1404" s="45"/>
      <c r="D1404" s="45"/>
      <c r="E1404" s="45"/>
      <c r="F1404" s="45"/>
      <c r="G1404" s="45"/>
      <c r="H1404" s="45"/>
      <c r="I1404" s="45"/>
      <c r="J1404" s="45"/>
    </row>
    <row r="1405" spans="2:10" x14ac:dyDescent="0.35">
      <c r="B1405" s="45"/>
      <c r="C1405" s="45"/>
      <c r="D1405" s="45"/>
      <c r="E1405" s="45"/>
      <c r="F1405" s="45"/>
      <c r="G1405" s="45"/>
      <c r="H1405" s="45"/>
      <c r="I1405" s="45"/>
      <c r="J1405" s="45"/>
    </row>
    <row r="1406" spans="2:10" x14ac:dyDescent="0.35">
      <c r="B1406" s="45"/>
      <c r="C1406" s="45"/>
      <c r="D1406" s="45"/>
      <c r="E1406" s="45"/>
      <c r="F1406" s="45"/>
      <c r="G1406" s="45"/>
      <c r="H1406" s="45"/>
      <c r="I1406" s="45"/>
      <c r="J1406" s="45"/>
    </row>
    <row r="1407" spans="2:10" x14ac:dyDescent="0.35">
      <c r="B1407" s="45"/>
      <c r="C1407" s="45"/>
      <c r="D1407" s="45"/>
      <c r="E1407" s="45"/>
      <c r="F1407" s="45"/>
      <c r="G1407" s="45"/>
      <c r="H1407" s="45"/>
      <c r="I1407" s="45"/>
      <c r="J1407" s="45"/>
    </row>
    <row r="1408" spans="2:10" x14ac:dyDescent="0.35">
      <c r="B1408" s="45"/>
      <c r="C1408" s="45"/>
      <c r="D1408" s="45"/>
      <c r="E1408" s="45"/>
      <c r="F1408" s="45"/>
      <c r="G1408" s="45"/>
      <c r="H1408" s="45"/>
      <c r="I1408" s="45"/>
      <c r="J1408" s="45"/>
    </row>
    <row r="1409" spans="2:10" x14ac:dyDescent="0.35">
      <c r="B1409" s="45"/>
      <c r="C1409" s="45"/>
      <c r="D1409" s="45"/>
      <c r="E1409" s="45"/>
      <c r="F1409" s="45"/>
      <c r="G1409" s="45"/>
      <c r="H1409" s="45"/>
      <c r="I1409" s="45"/>
      <c r="J1409" s="45"/>
    </row>
    <row r="1410" spans="2:10" x14ac:dyDescent="0.35">
      <c r="B1410" s="45"/>
      <c r="C1410" s="45"/>
      <c r="D1410" s="45"/>
      <c r="E1410" s="45"/>
      <c r="F1410" s="45"/>
      <c r="G1410" s="45"/>
      <c r="H1410" s="45"/>
      <c r="I1410" s="45"/>
      <c r="J1410" s="45"/>
    </row>
    <row r="1411" spans="2:10" x14ac:dyDescent="0.35">
      <c r="B1411" s="45"/>
      <c r="C1411" s="45"/>
      <c r="D1411" s="45"/>
      <c r="E1411" s="45"/>
      <c r="F1411" s="45"/>
      <c r="G1411" s="45"/>
      <c r="H1411" s="45"/>
      <c r="I1411" s="45"/>
      <c r="J1411" s="45"/>
    </row>
    <row r="1412" spans="2:10" x14ac:dyDescent="0.35">
      <c r="B1412" s="45"/>
      <c r="C1412" s="45"/>
      <c r="D1412" s="45"/>
      <c r="E1412" s="45"/>
      <c r="F1412" s="45"/>
      <c r="G1412" s="45"/>
      <c r="H1412" s="45"/>
      <c r="I1412" s="45"/>
      <c r="J1412" s="45"/>
    </row>
    <row r="1413" spans="2:10" x14ac:dyDescent="0.35">
      <c r="B1413" s="45"/>
      <c r="C1413" s="45"/>
      <c r="D1413" s="45"/>
      <c r="E1413" s="45"/>
      <c r="F1413" s="45"/>
      <c r="G1413" s="45"/>
      <c r="H1413" s="45"/>
      <c r="I1413" s="45"/>
      <c r="J1413" s="45"/>
    </row>
    <row r="1414" spans="2:10" x14ac:dyDescent="0.35">
      <c r="B1414" s="45"/>
      <c r="C1414" s="45"/>
      <c r="D1414" s="45"/>
      <c r="E1414" s="45"/>
      <c r="F1414" s="45"/>
      <c r="G1414" s="45"/>
      <c r="H1414" s="45"/>
      <c r="I1414" s="45"/>
      <c r="J1414" s="45"/>
    </row>
    <row r="1415" spans="2:10" x14ac:dyDescent="0.35">
      <c r="B1415" s="45"/>
      <c r="C1415" s="45"/>
      <c r="D1415" s="45"/>
      <c r="E1415" s="45"/>
      <c r="F1415" s="45"/>
      <c r="G1415" s="45"/>
      <c r="H1415" s="45"/>
      <c r="I1415" s="45"/>
      <c r="J1415" s="45"/>
    </row>
    <row r="1416" spans="2:10" x14ac:dyDescent="0.35">
      <c r="B1416" s="45"/>
      <c r="C1416" s="45"/>
      <c r="D1416" s="45"/>
      <c r="E1416" s="45"/>
      <c r="F1416" s="45"/>
      <c r="G1416" s="45"/>
      <c r="H1416" s="45"/>
      <c r="I1416" s="45"/>
      <c r="J1416" s="45"/>
    </row>
    <row r="1417" spans="2:10" x14ac:dyDescent="0.35">
      <c r="B1417" s="45"/>
      <c r="C1417" s="45"/>
      <c r="D1417" s="45"/>
      <c r="E1417" s="45"/>
      <c r="F1417" s="45"/>
      <c r="G1417" s="45"/>
      <c r="H1417" s="45"/>
      <c r="I1417" s="45"/>
      <c r="J1417" s="45"/>
    </row>
    <row r="1418" spans="2:10" x14ac:dyDescent="0.35">
      <c r="B1418" s="45"/>
      <c r="C1418" s="45"/>
      <c r="D1418" s="45"/>
      <c r="E1418" s="45"/>
      <c r="F1418" s="45"/>
      <c r="G1418" s="45"/>
      <c r="H1418" s="45"/>
      <c r="I1418" s="45"/>
      <c r="J1418" s="45"/>
    </row>
    <row r="1419" spans="2:10" x14ac:dyDescent="0.35">
      <c r="B1419" s="45"/>
      <c r="C1419" s="45"/>
      <c r="D1419" s="45"/>
      <c r="E1419" s="45"/>
      <c r="F1419" s="45"/>
      <c r="G1419" s="45"/>
      <c r="H1419" s="45"/>
      <c r="I1419" s="45"/>
      <c r="J1419" s="45"/>
    </row>
    <row r="1420" spans="2:10" x14ac:dyDescent="0.35">
      <c r="B1420" s="45"/>
      <c r="C1420" s="45"/>
      <c r="D1420" s="45"/>
      <c r="E1420" s="45"/>
      <c r="F1420" s="45"/>
      <c r="G1420" s="45"/>
      <c r="H1420" s="45"/>
      <c r="I1420" s="45"/>
      <c r="J1420" s="45"/>
    </row>
    <row r="1421" spans="2:10" x14ac:dyDescent="0.35">
      <c r="B1421" s="45"/>
      <c r="C1421" s="45"/>
      <c r="D1421" s="45"/>
      <c r="E1421" s="45"/>
      <c r="F1421" s="45"/>
      <c r="G1421" s="45"/>
      <c r="H1421" s="45"/>
      <c r="I1421" s="45"/>
      <c r="J1421" s="45"/>
    </row>
    <row r="1422" spans="2:10" x14ac:dyDescent="0.35">
      <c r="B1422" s="45"/>
      <c r="C1422" s="45"/>
      <c r="D1422" s="45"/>
      <c r="E1422" s="45"/>
      <c r="F1422" s="45"/>
      <c r="G1422" s="45"/>
      <c r="H1422" s="45"/>
      <c r="I1422" s="45"/>
      <c r="J1422" s="45"/>
    </row>
    <row r="1423" spans="2:10" x14ac:dyDescent="0.35">
      <c r="B1423" s="45"/>
      <c r="C1423" s="45"/>
      <c r="D1423" s="45"/>
      <c r="E1423" s="45"/>
      <c r="F1423" s="45"/>
      <c r="G1423" s="45"/>
      <c r="H1423" s="45"/>
      <c r="I1423" s="45"/>
      <c r="J1423" s="45"/>
    </row>
    <row r="1424" spans="2:10" x14ac:dyDescent="0.35">
      <c r="B1424" s="45"/>
      <c r="C1424" s="45"/>
      <c r="D1424" s="45"/>
      <c r="E1424" s="45"/>
      <c r="F1424" s="45"/>
      <c r="G1424" s="45"/>
      <c r="H1424" s="45"/>
      <c r="I1424" s="45"/>
      <c r="J1424" s="45"/>
    </row>
    <row r="1425" spans="2:10" x14ac:dyDescent="0.35">
      <c r="B1425" s="45"/>
      <c r="C1425" s="45"/>
      <c r="D1425" s="45"/>
      <c r="E1425" s="45"/>
      <c r="F1425" s="45"/>
      <c r="G1425" s="45"/>
      <c r="H1425" s="45"/>
      <c r="I1425" s="45"/>
      <c r="J1425" s="45"/>
    </row>
    <row r="1426" spans="2:10" x14ac:dyDescent="0.35">
      <c r="B1426" s="45"/>
      <c r="C1426" s="45"/>
      <c r="D1426" s="45"/>
      <c r="E1426" s="45"/>
      <c r="F1426" s="45"/>
      <c r="G1426" s="45"/>
      <c r="H1426" s="45"/>
      <c r="I1426" s="45"/>
      <c r="J1426" s="45"/>
    </row>
    <row r="1427" spans="2:10" x14ac:dyDescent="0.35">
      <c r="B1427" s="45"/>
      <c r="C1427" s="45"/>
      <c r="D1427" s="45"/>
      <c r="E1427" s="45"/>
      <c r="F1427" s="45"/>
      <c r="G1427" s="45"/>
      <c r="H1427" s="45"/>
      <c r="I1427" s="45"/>
      <c r="J1427" s="45"/>
    </row>
    <row r="1428" spans="2:10" x14ac:dyDescent="0.35">
      <c r="B1428" s="45"/>
      <c r="C1428" s="45"/>
      <c r="D1428" s="45"/>
      <c r="E1428" s="45"/>
      <c r="F1428" s="45"/>
      <c r="G1428" s="45"/>
      <c r="H1428" s="45"/>
      <c r="I1428" s="45"/>
      <c r="J1428" s="45"/>
    </row>
    <row r="1429" spans="2:10" x14ac:dyDescent="0.35">
      <c r="B1429" s="45"/>
      <c r="C1429" s="45"/>
      <c r="D1429" s="45"/>
      <c r="E1429" s="45"/>
      <c r="F1429" s="45"/>
      <c r="G1429" s="45"/>
      <c r="H1429" s="45"/>
      <c r="I1429" s="45"/>
      <c r="J1429" s="45"/>
    </row>
    <row r="1430" spans="2:10" x14ac:dyDescent="0.35">
      <c r="B1430" s="45"/>
      <c r="C1430" s="45"/>
      <c r="D1430" s="45"/>
      <c r="E1430" s="45"/>
      <c r="F1430" s="45"/>
      <c r="G1430" s="45"/>
      <c r="H1430" s="45"/>
      <c r="I1430" s="45"/>
      <c r="J1430" s="45"/>
    </row>
    <row r="1431" spans="2:10" x14ac:dyDescent="0.35">
      <c r="B1431" s="45"/>
      <c r="C1431" s="45"/>
      <c r="D1431" s="45"/>
      <c r="E1431" s="45"/>
      <c r="F1431" s="45"/>
      <c r="G1431" s="45"/>
      <c r="H1431" s="45"/>
      <c r="I1431" s="45"/>
      <c r="J1431" s="45"/>
    </row>
    <row r="1432" spans="2:10" x14ac:dyDescent="0.35">
      <c r="B1432" s="45"/>
      <c r="C1432" s="45"/>
      <c r="D1432" s="45"/>
      <c r="E1432" s="45"/>
      <c r="F1432" s="45"/>
      <c r="G1432" s="45"/>
      <c r="H1432" s="45"/>
      <c r="I1432" s="45"/>
      <c r="J1432" s="45"/>
    </row>
    <row r="1433" spans="2:10" x14ac:dyDescent="0.35">
      <c r="B1433" s="45"/>
      <c r="C1433" s="45"/>
      <c r="D1433" s="45"/>
      <c r="E1433" s="45"/>
      <c r="F1433" s="45"/>
      <c r="G1433" s="45"/>
      <c r="H1433" s="45"/>
      <c r="I1433" s="45"/>
      <c r="J1433" s="45"/>
    </row>
    <row r="1434" spans="2:10" x14ac:dyDescent="0.35">
      <c r="B1434" s="45"/>
      <c r="C1434" s="45"/>
      <c r="D1434" s="45"/>
      <c r="E1434" s="45"/>
      <c r="F1434" s="45"/>
      <c r="G1434" s="45"/>
      <c r="H1434" s="45"/>
      <c r="I1434" s="45"/>
      <c r="J1434" s="45"/>
    </row>
    <row r="1435" spans="2:10" x14ac:dyDescent="0.35">
      <c r="B1435" s="45"/>
      <c r="C1435" s="45"/>
      <c r="D1435" s="45"/>
      <c r="E1435" s="45"/>
      <c r="F1435" s="45"/>
      <c r="G1435" s="45"/>
      <c r="H1435" s="45"/>
      <c r="I1435" s="45"/>
      <c r="J1435" s="45"/>
    </row>
    <row r="1436" spans="2:10" x14ac:dyDescent="0.35">
      <c r="B1436" s="45"/>
      <c r="C1436" s="45"/>
      <c r="D1436" s="45"/>
      <c r="E1436" s="45"/>
      <c r="F1436" s="45"/>
      <c r="G1436" s="45"/>
      <c r="H1436" s="45"/>
      <c r="I1436" s="45"/>
      <c r="J1436" s="45"/>
    </row>
    <row r="1437" spans="2:10" x14ac:dyDescent="0.35">
      <c r="B1437" s="45"/>
      <c r="C1437" s="45"/>
      <c r="D1437" s="45"/>
      <c r="E1437" s="45"/>
      <c r="F1437" s="45"/>
      <c r="G1437" s="45"/>
      <c r="H1437" s="45"/>
      <c r="I1437" s="45"/>
      <c r="J1437" s="45"/>
    </row>
    <row r="1438" spans="2:10" x14ac:dyDescent="0.35">
      <c r="B1438" s="45"/>
      <c r="C1438" s="45"/>
      <c r="D1438" s="45"/>
      <c r="E1438" s="45"/>
      <c r="F1438" s="45"/>
      <c r="G1438" s="45"/>
      <c r="H1438" s="45"/>
      <c r="I1438" s="45"/>
      <c r="J1438" s="45"/>
    </row>
    <row r="1439" spans="2:10" x14ac:dyDescent="0.35">
      <c r="B1439" s="45"/>
      <c r="C1439" s="45"/>
      <c r="D1439" s="45"/>
      <c r="E1439" s="45"/>
      <c r="F1439" s="45"/>
      <c r="G1439" s="45"/>
      <c r="H1439" s="45"/>
      <c r="I1439" s="45"/>
      <c r="J1439" s="45"/>
    </row>
    <row r="1440" spans="2:10" x14ac:dyDescent="0.35">
      <c r="B1440" s="45"/>
      <c r="C1440" s="45"/>
      <c r="D1440" s="45"/>
      <c r="E1440" s="45"/>
      <c r="F1440" s="45"/>
      <c r="G1440" s="45"/>
      <c r="H1440" s="45"/>
      <c r="I1440" s="45"/>
      <c r="J1440" s="45"/>
    </row>
    <row r="1441" spans="2:10" x14ac:dyDescent="0.35">
      <c r="B1441" s="45"/>
      <c r="C1441" s="45"/>
      <c r="D1441" s="45"/>
      <c r="E1441" s="45"/>
      <c r="F1441" s="45"/>
      <c r="G1441" s="45"/>
      <c r="H1441" s="45"/>
      <c r="I1441" s="45"/>
      <c r="J1441" s="45"/>
    </row>
    <row r="1442" spans="2:10" x14ac:dyDescent="0.35">
      <c r="B1442" s="45"/>
      <c r="C1442" s="45"/>
      <c r="D1442" s="45"/>
      <c r="E1442" s="45"/>
      <c r="F1442" s="45"/>
      <c r="G1442" s="45"/>
      <c r="H1442" s="45"/>
      <c r="I1442" s="45"/>
      <c r="J1442" s="45"/>
    </row>
    <row r="1443" spans="2:10" x14ac:dyDescent="0.35">
      <c r="B1443" s="45"/>
      <c r="C1443" s="45"/>
      <c r="D1443" s="45"/>
      <c r="E1443" s="45"/>
      <c r="F1443" s="45"/>
      <c r="G1443" s="45"/>
      <c r="H1443" s="45"/>
      <c r="I1443" s="45"/>
      <c r="J1443" s="45"/>
    </row>
    <row r="1444" spans="2:10" x14ac:dyDescent="0.35">
      <c r="B1444" s="45"/>
      <c r="C1444" s="45"/>
      <c r="D1444" s="45"/>
      <c r="E1444" s="45"/>
      <c r="F1444" s="45"/>
      <c r="G1444" s="45"/>
      <c r="H1444" s="45"/>
      <c r="I1444" s="45"/>
      <c r="J1444" s="45"/>
    </row>
    <row r="1445" spans="2:10" x14ac:dyDescent="0.35">
      <c r="B1445" s="45"/>
      <c r="C1445" s="45"/>
      <c r="D1445" s="45"/>
      <c r="E1445" s="45"/>
      <c r="F1445" s="45"/>
      <c r="G1445" s="45"/>
      <c r="H1445" s="45"/>
      <c r="I1445" s="45"/>
      <c r="J1445" s="45"/>
    </row>
    <row r="1446" spans="2:10" x14ac:dyDescent="0.35">
      <c r="B1446" s="45"/>
      <c r="C1446" s="45"/>
      <c r="D1446" s="45"/>
      <c r="E1446" s="45"/>
      <c r="F1446" s="45"/>
      <c r="G1446" s="45"/>
      <c r="H1446" s="45"/>
      <c r="I1446" s="45"/>
      <c r="J1446" s="45"/>
    </row>
    <row r="1447" spans="2:10" x14ac:dyDescent="0.35">
      <c r="B1447" s="45"/>
      <c r="C1447" s="45"/>
      <c r="D1447" s="45"/>
      <c r="E1447" s="45"/>
      <c r="F1447" s="45"/>
      <c r="G1447" s="45"/>
      <c r="H1447" s="45"/>
      <c r="I1447" s="45"/>
      <c r="J1447" s="45"/>
    </row>
    <row r="1448" spans="2:10" x14ac:dyDescent="0.35">
      <c r="B1448" s="45"/>
      <c r="C1448" s="45"/>
      <c r="D1448" s="45"/>
      <c r="E1448" s="45"/>
      <c r="F1448" s="45"/>
      <c r="G1448" s="45"/>
      <c r="H1448" s="45"/>
      <c r="I1448" s="45"/>
      <c r="J1448" s="45"/>
    </row>
    <row r="1449" spans="2:10" x14ac:dyDescent="0.35">
      <c r="B1449" s="45"/>
      <c r="C1449" s="45"/>
      <c r="D1449" s="45"/>
      <c r="E1449" s="45"/>
      <c r="F1449" s="45"/>
      <c r="G1449" s="45"/>
      <c r="H1449" s="45"/>
      <c r="I1449" s="45"/>
      <c r="J1449" s="45"/>
    </row>
    <row r="1450" spans="2:10" x14ac:dyDescent="0.35">
      <c r="B1450" s="45"/>
      <c r="C1450" s="45"/>
      <c r="D1450" s="45"/>
      <c r="E1450" s="45"/>
      <c r="F1450" s="45"/>
      <c r="G1450" s="45"/>
      <c r="H1450" s="45"/>
      <c r="I1450" s="45"/>
      <c r="J1450" s="45"/>
    </row>
    <row r="1451" spans="2:10" x14ac:dyDescent="0.35">
      <c r="B1451" s="45"/>
      <c r="C1451" s="45"/>
      <c r="D1451" s="45"/>
      <c r="E1451" s="45"/>
      <c r="F1451" s="45"/>
      <c r="G1451" s="45"/>
      <c r="H1451" s="45"/>
      <c r="I1451" s="45"/>
      <c r="J1451" s="45"/>
    </row>
    <row r="1452" spans="2:10" x14ac:dyDescent="0.35">
      <c r="B1452" s="45"/>
      <c r="C1452" s="45"/>
      <c r="D1452" s="45"/>
      <c r="E1452" s="45"/>
      <c r="F1452" s="45"/>
      <c r="G1452" s="45"/>
      <c r="H1452" s="45"/>
      <c r="I1452" s="45"/>
      <c r="J1452" s="45"/>
    </row>
    <row r="1453" spans="2:10" x14ac:dyDescent="0.35">
      <c r="B1453" s="45"/>
      <c r="C1453" s="45"/>
      <c r="D1453" s="45"/>
      <c r="E1453" s="45"/>
      <c r="F1453" s="45"/>
      <c r="G1453" s="45"/>
      <c r="H1453" s="45"/>
      <c r="I1453" s="45"/>
      <c r="J1453" s="45"/>
    </row>
    <row r="1454" spans="2:10" x14ac:dyDescent="0.35">
      <c r="B1454" s="45"/>
      <c r="C1454" s="45"/>
      <c r="D1454" s="45"/>
      <c r="E1454" s="45"/>
      <c r="F1454" s="45"/>
      <c r="G1454" s="45"/>
      <c r="H1454" s="45"/>
      <c r="I1454" s="45"/>
      <c r="J1454" s="45"/>
    </row>
    <row r="1455" spans="2:10" x14ac:dyDescent="0.35">
      <c r="B1455" s="45"/>
      <c r="C1455" s="45"/>
      <c r="D1455" s="45"/>
      <c r="E1455" s="45"/>
      <c r="F1455" s="45"/>
      <c r="G1455" s="45"/>
      <c r="H1455" s="45"/>
      <c r="I1455" s="45"/>
      <c r="J1455" s="45"/>
    </row>
    <row r="1456" spans="2:10" x14ac:dyDescent="0.35">
      <c r="B1456" s="45"/>
      <c r="C1456" s="45"/>
      <c r="D1456" s="45"/>
      <c r="E1456" s="45"/>
      <c r="F1456" s="45"/>
      <c r="G1456" s="45"/>
      <c r="H1456" s="45"/>
      <c r="I1456" s="45"/>
      <c r="J1456" s="45"/>
    </row>
    <row r="1457" spans="2:10" x14ac:dyDescent="0.35">
      <c r="B1457" s="45"/>
      <c r="C1457" s="45"/>
      <c r="D1457" s="45"/>
      <c r="E1457" s="45"/>
      <c r="F1457" s="45"/>
      <c r="G1457" s="45"/>
      <c r="H1457" s="45"/>
      <c r="I1457" s="45"/>
      <c r="J1457" s="45"/>
    </row>
    <row r="1458" spans="2:10" x14ac:dyDescent="0.35">
      <c r="B1458" s="45"/>
      <c r="C1458" s="45"/>
      <c r="D1458" s="45"/>
      <c r="E1458" s="45"/>
      <c r="F1458" s="45"/>
      <c r="G1458" s="45"/>
      <c r="H1458" s="45"/>
      <c r="I1458" s="45"/>
      <c r="J1458" s="45"/>
    </row>
    <row r="1459" spans="2:10" x14ac:dyDescent="0.35">
      <c r="B1459" s="45"/>
      <c r="C1459" s="45"/>
      <c r="D1459" s="45"/>
      <c r="E1459" s="45"/>
      <c r="F1459" s="45"/>
      <c r="G1459" s="45"/>
      <c r="H1459" s="45"/>
      <c r="I1459" s="45"/>
      <c r="J1459" s="45"/>
    </row>
    <row r="1460" spans="2:10" x14ac:dyDescent="0.35">
      <c r="B1460" s="45"/>
      <c r="C1460" s="45"/>
      <c r="D1460" s="45"/>
      <c r="E1460" s="45"/>
      <c r="F1460" s="45"/>
      <c r="G1460" s="45"/>
      <c r="H1460" s="45"/>
      <c r="I1460" s="45"/>
      <c r="J1460" s="45"/>
    </row>
    <row r="1461" spans="2:10" x14ac:dyDescent="0.35">
      <c r="B1461" s="45"/>
      <c r="C1461" s="45"/>
      <c r="D1461" s="45"/>
      <c r="E1461" s="45"/>
      <c r="F1461" s="45"/>
      <c r="G1461" s="45"/>
      <c r="H1461" s="45"/>
      <c r="I1461" s="45"/>
      <c r="J1461" s="45"/>
    </row>
    <row r="1462" spans="2:10" x14ac:dyDescent="0.35">
      <c r="B1462" s="45"/>
      <c r="C1462" s="45"/>
      <c r="D1462" s="45"/>
      <c r="E1462" s="45"/>
      <c r="F1462" s="45"/>
      <c r="G1462" s="45"/>
      <c r="H1462" s="45"/>
      <c r="I1462" s="45"/>
      <c r="J1462" s="45"/>
    </row>
    <row r="1463" spans="2:10" x14ac:dyDescent="0.35">
      <c r="B1463" s="45"/>
      <c r="C1463" s="45"/>
      <c r="D1463" s="45"/>
      <c r="E1463" s="45"/>
      <c r="F1463" s="45"/>
      <c r="G1463" s="45"/>
      <c r="H1463" s="45"/>
      <c r="I1463" s="45"/>
      <c r="J1463" s="45"/>
    </row>
    <row r="1464" spans="2:10" x14ac:dyDescent="0.35">
      <c r="B1464" s="45"/>
      <c r="C1464" s="45"/>
      <c r="D1464" s="45"/>
      <c r="E1464" s="45"/>
      <c r="F1464" s="45"/>
      <c r="G1464" s="45"/>
      <c r="H1464" s="45"/>
      <c r="I1464" s="45"/>
      <c r="J1464" s="45"/>
    </row>
    <row r="1465" spans="2:10" x14ac:dyDescent="0.35">
      <c r="B1465" s="45"/>
      <c r="C1465" s="45"/>
      <c r="D1465" s="45"/>
      <c r="E1465" s="45"/>
      <c r="F1465" s="45"/>
      <c r="G1465" s="45"/>
      <c r="H1465" s="45"/>
      <c r="I1465" s="45"/>
      <c r="J1465" s="45"/>
    </row>
    <row r="1466" spans="2:10" x14ac:dyDescent="0.35">
      <c r="B1466" s="45"/>
      <c r="C1466" s="45"/>
      <c r="D1466" s="45"/>
      <c r="E1466" s="45"/>
      <c r="F1466" s="45"/>
      <c r="G1466" s="45"/>
      <c r="H1466" s="45"/>
      <c r="I1466" s="45"/>
      <c r="J1466" s="45"/>
    </row>
    <row r="1467" spans="2:10" x14ac:dyDescent="0.35">
      <c r="B1467" s="45"/>
      <c r="C1467" s="45"/>
      <c r="D1467" s="45"/>
      <c r="E1467" s="45"/>
      <c r="F1467" s="45"/>
      <c r="G1467" s="45"/>
      <c r="H1467" s="45"/>
      <c r="I1467" s="45"/>
      <c r="J1467" s="45"/>
    </row>
    <row r="1468" spans="2:10" x14ac:dyDescent="0.35">
      <c r="B1468" s="45"/>
      <c r="C1468" s="45"/>
      <c r="D1468" s="45"/>
      <c r="E1468" s="45"/>
      <c r="F1468" s="45"/>
      <c r="G1468" s="45"/>
      <c r="H1468" s="45"/>
      <c r="I1468" s="45"/>
      <c r="J1468" s="45"/>
    </row>
    <row r="1469" spans="2:10" x14ac:dyDescent="0.35">
      <c r="B1469" s="45"/>
      <c r="C1469" s="45"/>
      <c r="D1469" s="45"/>
      <c r="E1469" s="45"/>
      <c r="F1469" s="45"/>
      <c r="G1469" s="45"/>
      <c r="H1469" s="45"/>
      <c r="I1469" s="45"/>
      <c r="J1469" s="45"/>
    </row>
    <row r="1470" spans="2:10" x14ac:dyDescent="0.35">
      <c r="B1470" s="45"/>
      <c r="C1470" s="45"/>
      <c r="D1470" s="45"/>
      <c r="E1470" s="45"/>
      <c r="F1470" s="45"/>
      <c r="G1470" s="45"/>
      <c r="H1470" s="45"/>
      <c r="I1470" s="45"/>
      <c r="J1470" s="45"/>
    </row>
    <row r="1471" spans="2:10" x14ac:dyDescent="0.35">
      <c r="B1471" s="45"/>
      <c r="C1471" s="45"/>
      <c r="D1471" s="45"/>
      <c r="E1471" s="45"/>
      <c r="F1471" s="45"/>
      <c r="G1471" s="45"/>
      <c r="H1471" s="45"/>
      <c r="I1471" s="45"/>
      <c r="J1471" s="45"/>
    </row>
    <row r="1472" spans="2:10" x14ac:dyDescent="0.35">
      <c r="B1472" s="45"/>
      <c r="C1472" s="45"/>
      <c r="D1472" s="45"/>
      <c r="E1472" s="45"/>
      <c r="F1472" s="45"/>
      <c r="G1472" s="45"/>
      <c r="H1472" s="45"/>
      <c r="I1472" s="45"/>
      <c r="J1472" s="45"/>
    </row>
    <row r="1473" spans="2:10" x14ac:dyDescent="0.35">
      <c r="B1473" s="45"/>
      <c r="C1473" s="45"/>
      <c r="D1473" s="45"/>
      <c r="E1473" s="45"/>
      <c r="F1473" s="45"/>
      <c r="G1473" s="45"/>
      <c r="H1473" s="45"/>
      <c r="I1473" s="45"/>
      <c r="J1473" s="45"/>
    </row>
    <row r="1474" spans="2:10" x14ac:dyDescent="0.35">
      <c r="B1474" s="45"/>
      <c r="C1474" s="45"/>
      <c r="D1474" s="45"/>
      <c r="E1474" s="45"/>
      <c r="F1474" s="45"/>
      <c r="G1474" s="45"/>
      <c r="H1474" s="45"/>
      <c r="I1474" s="45"/>
      <c r="J1474" s="45"/>
    </row>
    <row r="1475" spans="2:10" x14ac:dyDescent="0.35">
      <c r="B1475" s="45"/>
      <c r="C1475" s="45"/>
      <c r="D1475" s="45"/>
      <c r="E1475" s="45"/>
      <c r="F1475" s="45"/>
      <c r="G1475" s="45"/>
      <c r="H1475" s="45"/>
      <c r="I1475" s="45"/>
      <c r="J1475" s="45"/>
    </row>
    <row r="1476" spans="2:10" x14ac:dyDescent="0.35">
      <c r="B1476" s="45"/>
      <c r="C1476" s="45"/>
      <c r="D1476" s="45"/>
      <c r="E1476" s="45"/>
      <c r="F1476" s="45"/>
      <c r="G1476" s="45"/>
      <c r="H1476" s="45"/>
      <c r="I1476" s="45"/>
      <c r="J1476" s="45"/>
    </row>
    <row r="1477" spans="2:10" x14ac:dyDescent="0.35">
      <c r="B1477" s="45"/>
      <c r="C1477" s="45"/>
      <c r="D1477" s="45"/>
      <c r="E1477" s="45"/>
      <c r="F1477" s="45"/>
      <c r="G1477" s="45"/>
      <c r="H1477" s="45"/>
      <c r="I1477" s="45"/>
      <c r="J1477" s="45"/>
    </row>
    <row r="1478" spans="2:10" x14ac:dyDescent="0.35">
      <c r="B1478" s="45"/>
      <c r="C1478" s="45"/>
      <c r="D1478" s="45"/>
      <c r="E1478" s="45"/>
      <c r="F1478" s="45"/>
      <c r="G1478" s="45"/>
      <c r="H1478" s="45"/>
      <c r="I1478" s="45"/>
      <c r="J1478" s="45"/>
    </row>
    <row r="1479" spans="2:10" x14ac:dyDescent="0.35">
      <c r="B1479" s="45"/>
      <c r="C1479" s="45"/>
      <c r="D1479" s="45"/>
      <c r="E1479" s="45"/>
      <c r="F1479" s="45"/>
      <c r="G1479" s="45"/>
      <c r="H1479" s="45"/>
      <c r="I1479" s="45"/>
      <c r="J1479" s="45"/>
    </row>
    <row r="1480" spans="2:10" x14ac:dyDescent="0.35">
      <c r="B1480" s="45"/>
      <c r="C1480" s="45"/>
      <c r="D1480" s="45"/>
      <c r="E1480" s="45"/>
      <c r="F1480" s="45"/>
      <c r="G1480" s="45"/>
      <c r="H1480" s="45"/>
      <c r="I1480" s="45"/>
      <c r="J1480" s="45"/>
    </row>
    <row r="1481" spans="2:10" x14ac:dyDescent="0.35">
      <c r="B1481" s="45"/>
      <c r="C1481" s="45"/>
      <c r="D1481" s="45"/>
      <c r="E1481" s="45"/>
      <c r="F1481" s="45"/>
      <c r="G1481" s="45"/>
      <c r="H1481" s="45"/>
      <c r="I1481" s="45"/>
      <c r="J1481" s="45"/>
    </row>
    <row r="1482" spans="2:10" x14ac:dyDescent="0.35">
      <c r="B1482" s="45"/>
      <c r="C1482" s="45"/>
      <c r="D1482" s="45"/>
      <c r="E1482" s="45"/>
      <c r="F1482" s="45"/>
      <c r="G1482" s="45"/>
      <c r="H1482" s="45"/>
      <c r="I1482" s="45"/>
      <c r="J1482" s="45"/>
    </row>
    <row r="1483" spans="2:10" x14ac:dyDescent="0.35">
      <c r="B1483" s="45"/>
      <c r="C1483" s="45"/>
      <c r="D1483" s="45"/>
      <c r="E1483" s="45"/>
      <c r="F1483" s="45"/>
      <c r="G1483" s="45"/>
      <c r="H1483" s="45"/>
      <c r="I1483" s="45"/>
      <c r="J1483" s="45"/>
    </row>
    <row r="1484" spans="2:10" x14ac:dyDescent="0.35">
      <c r="B1484" s="45"/>
      <c r="C1484" s="45"/>
      <c r="D1484" s="45"/>
      <c r="E1484" s="45"/>
      <c r="F1484" s="45"/>
      <c r="G1484" s="45"/>
      <c r="H1484" s="45"/>
      <c r="I1484" s="45"/>
      <c r="J1484" s="45"/>
    </row>
    <row r="1485" spans="2:10" x14ac:dyDescent="0.35">
      <c r="B1485" s="45"/>
      <c r="C1485" s="45"/>
      <c r="D1485" s="45"/>
      <c r="E1485" s="45"/>
      <c r="F1485" s="45"/>
      <c r="G1485" s="45"/>
      <c r="H1485" s="45"/>
      <c r="I1485" s="45"/>
      <c r="J1485" s="45"/>
    </row>
    <row r="1486" spans="2:10" x14ac:dyDescent="0.35">
      <c r="B1486" s="45"/>
      <c r="C1486" s="45"/>
      <c r="D1486" s="45"/>
      <c r="E1486" s="45"/>
      <c r="F1486" s="45"/>
      <c r="G1486" s="45"/>
      <c r="H1486" s="45"/>
      <c r="I1486" s="45"/>
      <c r="J1486" s="45"/>
    </row>
    <row r="1487" spans="2:10" x14ac:dyDescent="0.35">
      <c r="B1487" s="45"/>
      <c r="C1487" s="45"/>
      <c r="D1487" s="45"/>
      <c r="E1487" s="45"/>
      <c r="F1487" s="45"/>
      <c r="G1487" s="45"/>
      <c r="H1487" s="45"/>
      <c r="I1487" s="45"/>
      <c r="J1487" s="45"/>
    </row>
    <row r="1488" spans="2:10" x14ac:dyDescent="0.35">
      <c r="B1488" s="45"/>
      <c r="C1488" s="45"/>
      <c r="D1488" s="45"/>
      <c r="E1488" s="45"/>
      <c r="F1488" s="45"/>
      <c r="G1488" s="45"/>
      <c r="H1488" s="45"/>
      <c r="I1488" s="45"/>
      <c r="J1488" s="45"/>
    </row>
    <row r="1489" spans="2:10" x14ac:dyDescent="0.35">
      <c r="B1489" s="45"/>
      <c r="C1489" s="45"/>
      <c r="D1489" s="45"/>
      <c r="E1489" s="45"/>
      <c r="F1489" s="45"/>
      <c r="G1489" s="45"/>
      <c r="H1489" s="45"/>
      <c r="I1489" s="45"/>
      <c r="J1489" s="45"/>
    </row>
    <row r="1490" spans="2:10" x14ac:dyDescent="0.35">
      <c r="B1490" s="45"/>
      <c r="C1490" s="45"/>
      <c r="D1490" s="45"/>
      <c r="E1490" s="45"/>
      <c r="F1490" s="45"/>
      <c r="G1490" s="45"/>
      <c r="H1490" s="45"/>
      <c r="I1490" s="45"/>
      <c r="J1490" s="45"/>
    </row>
    <row r="1491" spans="2:10" x14ac:dyDescent="0.35">
      <c r="B1491" s="45"/>
      <c r="C1491" s="45"/>
      <c r="D1491" s="45"/>
      <c r="E1491" s="45"/>
      <c r="F1491" s="45"/>
      <c r="G1491" s="45"/>
      <c r="H1491" s="45"/>
      <c r="I1491" s="45"/>
      <c r="J1491" s="45"/>
    </row>
    <row r="1492" spans="2:10" x14ac:dyDescent="0.35">
      <c r="B1492" s="45"/>
      <c r="C1492" s="45"/>
      <c r="D1492" s="45"/>
      <c r="E1492" s="45"/>
      <c r="F1492" s="45"/>
      <c r="G1492" s="45"/>
      <c r="H1492" s="45"/>
      <c r="I1492" s="45"/>
      <c r="J1492" s="45"/>
    </row>
    <row r="1493" spans="2:10" x14ac:dyDescent="0.35">
      <c r="B1493" s="45"/>
      <c r="C1493" s="45"/>
      <c r="D1493" s="45"/>
      <c r="E1493" s="45"/>
      <c r="F1493" s="45"/>
      <c r="G1493" s="45"/>
      <c r="H1493" s="45"/>
      <c r="I1493" s="45"/>
      <c r="J1493" s="45"/>
    </row>
    <row r="1494" spans="2:10" x14ac:dyDescent="0.35">
      <c r="B1494" s="45"/>
      <c r="C1494" s="45"/>
      <c r="D1494" s="45"/>
      <c r="E1494" s="45"/>
      <c r="F1494" s="45"/>
      <c r="G1494" s="45"/>
      <c r="H1494" s="45"/>
      <c r="I1494" s="45"/>
      <c r="J1494" s="45"/>
    </row>
    <row r="1495" spans="2:10" x14ac:dyDescent="0.35">
      <c r="B1495" s="45"/>
      <c r="C1495" s="45"/>
      <c r="D1495" s="45"/>
      <c r="E1495" s="45"/>
      <c r="F1495" s="45"/>
      <c r="G1495" s="45"/>
      <c r="H1495" s="45"/>
      <c r="I1495" s="45"/>
      <c r="J1495" s="45"/>
    </row>
    <row r="1496" spans="2:10" x14ac:dyDescent="0.35">
      <c r="B1496" s="45"/>
      <c r="C1496" s="45"/>
      <c r="D1496" s="45"/>
      <c r="E1496" s="45"/>
      <c r="F1496" s="45"/>
      <c r="G1496" s="45"/>
      <c r="H1496" s="45"/>
      <c r="I1496" s="45"/>
      <c r="J1496" s="45"/>
    </row>
    <row r="1497" spans="2:10" x14ac:dyDescent="0.35">
      <c r="B1497" s="45"/>
      <c r="C1497" s="45"/>
      <c r="D1497" s="45"/>
      <c r="E1497" s="45"/>
      <c r="F1497" s="45"/>
      <c r="G1497" s="45"/>
      <c r="H1497" s="45"/>
      <c r="I1497" s="45"/>
      <c r="J1497" s="45"/>
    </row>
    <row r="1498" spans="2:10" x14ac:dyDescent="0.35">
      <c r="B1498" s="45"/>
      <c r="C1498" s="45"/>
      <c r="D1498" s="45"/>
      <c r="E1498" s="45"/>
      <c r="F1498" s="45"/>
      <c r="G1498" s="45"/>
      <c r="H1498" s="45"/>
      <c r="I1498" s="45"/>
      <c r="J1498" s="45"/>
    </row>
    <row r="1499" spans="2:10" x14ac:dyDescent="0.35">
      <c r="B1499" s="45"/>
      <c r="C1499" s="45"/>
      <c r="D1499" s="45"/>
      <c r="E1499" s="45"/>
      <c r="F1499" s="45"/>
      <c r="G1499" s="45"/>
      <c r="H1499" s="45"/>
      <c r="I1499" s="45"/>
      <c r="J1499" s="45"/>
    </row>
    <row r="1500" spans="2:10" x14ac:dyDescent="0.35">
      <c r="B1500" s="45"/>
      <c r="C1500" s="45"/>
      <c r="D1500" s="45"/>
      <c r="E1500" s="45"/>
      <c r="F1500" s="45"/>
      <c r="G1500" s="45"/>
      <c r="H1500" s="45"/>
      <c r="I1500" s="45"/>
      <c r="J1500" s="45"/>
    </row>
    <row r="1501" spans="2:10" x14ac:dyDescent="0.35">
      <c r="B1501" s="45"/>
      <c r="C1501" s="45"/>
      <c r="D1501" s="45"/>
      <c r="E1501" s="45"/>
      <c r="F1501" s="45"/>
      <c r="G1501" s="45"/>
      <c r="H1501" s="45"/>
      <c r="I1501" s="45"/>
      <c r="J1501" s="45"/>
    </row>
    <row r="1502" spans="2:10" x14ac:dyDescent="0.35">
      <c r="B1502" s="45"/>
      <c r="C1502" s="45"/>
      <c r="D1502" s="45"/>
      <c r="E1502" s="45"/>
      <c r="F1502" s="45"/>
      <c r="G1502" s="45"/>
      <c r="H1502" s="45"/>
      <c r="I1502" s="45"/>
      <c r="J1502" s="45"/>
    </row>
    <row r="1503" spans="2:10" x14ac:dyDescent="0.35">
      <c r="B1503" s="45"/>
      <c r="C1503" s="45"/>
      <c r="D1503" s="45"/>
      <c r="E1503" s="45"/>
      <c r="F1503" s="45"/>
      <c r="G1503" s="45"/>
      <c r="H1503" s="45"/>
      <c r="I1503" s="45"/>
      <c r="J1503" s="45"/>
    </row>
    <row r="1504" spans="2:10" x14ac:dyDescent="0.35">
      <c r="B1504" s="45"/>
      <c r="C1504" s="45"/>
      <c r="D1504" s="45"/>
      <c r="E1504" s="45"/>
      <c r="F1504" s="45"/>
      <c r="G1504" s="45"/>
      <c r="H1504" s="45"/>
      <c r="I1504" s="45"/>
      <c r="J1504" s="45"/>
    </row>
    <row r="1505" spans="2:10" x14ac:dyDescent="0.35">
      <c r="B1505" s="45"/>
      <c r="C1505" s="45"/>
      <c r="D1505" s="45"/>
      <c r="E1505" s="45"/>
      <c r="F1505" s="45"/>
      <c r="G1505" s="45"/>
      <c r="H1505" s="45"/>
      <c r="I1505" s="45"/>
      <c r="J1505" s="45"/>
    </row>
    <row r="1506" spans="2:10" x14ac:dyDescent="0.35">
      <c r="B1506" s="45"/>
      <c r="C1506" s="45"/>
      <c r="D1506" s="45"/>
      <c r="E1506" s="45"/>
      <c r="F1506" s="45"/>
      <c r="G1506" s="45"/>
      <c r="H1506" s="45"/>
      <c r="I1506" s="45"/>
      <c r="J1506" s="45"/>
    </row>
    <row r="1507" spans="2:10" x14ac:dyDescent="0.35">
      <c r="B1507" s="45"/>
      <c r="C1507" s="45"/>
      <c r="D1507" s="45"/>
      <c r="E1507" s="45"/>
      <c r="F1507" s="45"/>
      <c r="G1507" s="45"/>
      <c r="H1507" s="45"/>
      <c r="I1507" s="45"/>
      <c r="J1507" s="45"/>
    </row>
    <row r="1508" spans="2:10" x14ac:dyDescent="0.35">
      <c r="B1508" s="45"/>
      <c r="C1508" s="45"/>
      <c r="D1508" s="45"/>
      <c r="E1508" s="45"/>
      <c r="F1508" s="45"/>
      <c r="G1508" s="45"/>
      <c r="H1508" s="45"/>
      <c r="I1508" s="45"/>
      <c r="J1508" s="45"/>
    </row>
    <row r="1509" spans="2:10" x14ac:dyDescent="0.35">
      <c r="B1509" s="45"/>
      <c r="C1509" s="45"/>
      <c r="D1509" s="45"/>
      <c r="E1509" s="45"/>
      <c r="F1509" s="45"/>
      <c r="G1509" s="45"/>
      <c r="H1509" s="45"/>
      <c r="I1509" s="45"/>
      <c r="J1509" s="45"/>
    </row>
    <row r="1510" spans="2:10" x14ac:dyDescent="0.35">
      <c r="B1510" s="45"/>
      <c r="C1510" s="45"/>
      <c r="D1510" s="45"/>
      <c r="E1510" s="45"/>
      <c r="F1510" s="45"/>
      <c r="G1510" s="45"/>
      <c r="H1510" s="45"/>
      <c r="I1510" s="45"/>
      <c r="J1510" s="45"/>
    </row>
    <row r="1511" spans="2:10" x14ac:dyDescent="0.35">
      <c r="B1511" s="45"/>
      <c r="C1511" s="45"/>
      <c r="D1511" s="45"/>
      <c r="E1511" s="45"/>
      <c r="F1511" s="45"/>
      <c r="G1511" s="45"/>
      <c r="H1511" s="45"/>
      <c r="I1511" s="45"/>
      <c r="J1511" s="45"/>
    </row>
    <row r="1512" spans="2:10" x14ac:dyDescent="0.35">
      <c r="B1512" s="45"/>
      <c r="C1512" s="45"/>
      <c r="D1512" s="45"/>
      <c r="E1512" s="45"/>
      <c r="F1512" s="45"/>
      <c r="G1512" s="45"/>
      <c r="H1512" s="45"/>
      <c r="I1512" s="45"/>
      <c r="J1512" s="45"/>
    </row>
    <row r="1513" spans="2:10" x14ac:dyDescent="0.35">
      <c r="B1513" s="45"/>
      <c r="C1513" s="45"/>
      <c r="D1513" s="45"/>
      <c r="E1513" s="45"/>
      <c r="F1513" s="45"/>
      <c r="G1513" s="45"/>
      <c r="H1513" s="45"/>
      <c r="I1513" s="45"/>
      <c r="J1513" s="45"/>
    </row>
    <row r="1514" spans="2:10" x14ac:dyDescent="0.35">
      <c r="B1514" s="45"/>
      <c r="C1514" s="45"/>
      <c r="D1514" s="45"/>
      <c r="E1514" s="45"/>
      <c r="F1514" s="45"/>
      <c r="G1514" s="45"/>
      <c r="H1514" s="45"/>
      <c r="I1514" s="45"/>
      <c r="J1514" s="45"/>
    </row>
    <row r="1515" spans="2:10" x14ac:dyDescent="0.35">
      <c r="B1515" s="45"/>
      <c r="C1515" s="45"/>
      <c r="D1515" s="45"/>
      <c r="E1515" s="45"/>
      <c r="F1515" s="45"/>
      <c r="G1515" s="45"/>
      <c r="H1515" s="45"/>
      <c r="I1515" s="45"/>
      <c r="J1515" s="45"/>
    </row>
    <row r="1516" spans="2:10" x14ac:dyDescent="0.35">
      <c r="B1516" s="45"/>
      <c r="C1516" s="45"/>
      <c r="D1516" s="45"/>
      <c r="E1516" s="45"/>
      <c r="F1516" s="45"/>
      <c r="G1516" s="45"/>
      <c r="H1516" s="45"/>
      <c r="I1516" s="45"/>
      <c r="J1516" s="45"/>
    </row>
    <row r="1517" spans="2:10" x14ac:dyDescent="0.35">
      <c r="B1517" s="45"/>
      <c r="C1517" s="45"/>
      <c r="D1517" s="45"/>
      <c r="E1517" s="45"/>
      <c r="F1517" s="45"/>
      <c r="G1517" s="45"/>
      <c r="H1517" s="45"/>
      <c r="I1517" s="45"/>
      <c r="J1517" s="45"/>
    </row>
    <row r="1518" spans="2:10" x14ac:dyDescent="0.35">
      <c r="B1518" s="45"/>
      <c r="C1518" s="45"/>
      <c r="D1518" s="45"/>
      <c r="E1518" s="45"/>
      <c r="F1518" s="45"/>
      <c r="G1518" s="45"/>
      <c r="H1518" s="45"/>
      <c r="I1518" s="45"/>
      <c r="J1518" s="45"/>
    </row>
    <row r="1519" spans="2:10" x14ac:dyDescent="0.35">
      <c r="B1519" s="45"/>
      <c r="C1519" s="45"/>
      <c r="D1519" s="45"/>
      <c r="E1519" s="45"/>
      <c r="F1519" s="45"/>
      <c r="G1519" s="45"/>
      <c r="H1519" s="45"/>
      <c r="I1519" s="45"/>
      <c r="J1519" s="45"/>
    </row>
    <row r="1520" spans="2:10" x14ac:dyDescent="0.35">
      <c r="B1520" s="45"/>
      <c r="C1520" s="45"/>
      <c r="D1520" s="45"/>
      <c r="E1520" s="45"/>
      <c r="F1520" s="45"/>
      <c r="G1520" s="45"/>
      <c r="H1520" s="45"/>
      <c r="I1520" s="45"/>
      <c r="J1520" s="45"/>
    </row>
    <row r="1521" spans="2:10" x14ac:dyDescent="0.35">
      <c r="B1521" s="45"/>
      <c r="C1521" s="45"/>
      <c r="D1521" s="45"/>
      <c r="E1521" s="45"/>
      <c r="F1521" s="45"/>
      <c r="G1521" s="45"/>
      <c r="H1521" s="45"/>
      <c r="I1521" s="45"/>
      <c r="J1521" s="45"/>
    </row>
    <row r="1522" spans="2:10" x14ac:dyDescent="0.35">
      <c r="B1522" s="45"/>
      <c r="C1522" s="45"/>
      <c r="D1522" s="45"/>
      <c r="E1522" s="45"/>
      <c r="F1522" s="45"/>
      <c r="G1522" s="45"/>
      <c r="H1522" s="45"/>
      <c r="I1522" s="45"/>
      <c r="J1522" s="45"/>
    </row>
    <row r="1523" spans="2:10" x14ac:dyDescent="0.35">
      <c r="B1523" s="45"/>
      <c r="C1523" s="45"/>
      <c r="D1523" s="45"/>
      <c r="E1523" s="45"/>
      <c r="F1523" s="45"/>
      <c r="G1523" s="45"/>
      <c r="H1523" s="45"/>
      <c r="I1523" s="45"/>
      <c r="J1523" s="45"/>
    </row>
    <row r="1524" spans="2:10" x14ac:dyDescent="0.35">
      <c r="B1524" s="45"/>
      <c r="C1524" s="45"/>
      <c r="D1524" s="45"/>
      <c r="E1524" s="45"/>
      <c r="F1524" s="45"/>
      <c r="G1524" s="45"/>
      <c r="H1524" s="45"/>
      <c r="I1524" s="45"/>
      <c r="J1524" s="45"/>
    </row>
    <row r="1525" spans="2:10" x14ac:dyDescent="0.35">
      <c r="B1525" s="45"/>
      <c r="C1525" s="45"/>
      <c r="D1525" s="45"/>
      <c r="E1525" s="45"/>
      <c r="F1525" s="45"/>
      <c r="G1525" s="45"/>
      <c r="H1525" s="45"/>
      <c r="I1525" s="45"/>
      <c r="J1525" s="45"/>
    </row>
    <row r="1526" spans="2:10" x14ac:dyDescent="0.35">
      <c r="B1526" s="45"/>
      <c r="C1526" s="45"/>
      <c r="D1526" s="45"/>
      <c r="E1526" s="45"/>
      <c r="F1526" s="45"/>
      <c r="G1526" s="45"/>
      <c r="H1526" s="45"/>
      <c r="I1526" s="45"/>
      <c r="J1526" s="45"/>
    </row>
    <row r="1527" spans="2:10" x14ac:dyDescent="0.35">
      <c r="B1527" s="45"/>
      <c r="C1527" s="45"/>
      <c r="D1527" s="45"/>
      <c r="E1527" s="45"/>
      <c r="F1527" s="45"/>
      <c r="G1527" s="45"/>
      <c r="H1527" s="45"/>
      <c r="I1527" s="45"/>
      <c r="J1527" s="45"/>
    </row>
    <row r="1528" spans="2:10" x14ac:dyDescent="0.35">
      <c r="B1528" s="45"/>
      <c r="C1528" s="45"/>
      <c r="D1528" s="45"/>
      <c r="E1528" s="45"/>
      <c r="F1528" s="45"/>
      <c r="G1528" s="45"/>
      <c r="H1528" s="45"/>
      <c r="I1528" s="45"/>
      <c r="J1528" s="45"/>
    </row>
    <row r="1529" spans="2:10" x14ac:dyDescent="0.35">
      <c r="B1529" s="45"/>
      <c r="C1529" s="45"/>
      <c r="D1529" s="45"/>
      <c r="E1529" s="45"/>
      <c r="F1529" s="45"/>
      <c r="G1529" s="45"/>
      <c r="H1529" s="45"/>
      <c r="I1529" s="45"/>
      <c r="J1529" s="45"/>
    </row>
    <row r="1530" spans="2:10" x14ac:dyDescent="0.35">
      <c r="B1530" s="45"/>
      <c r="C1530" s="45"/>
      <c r="D1530" s="45"/>
      <c r="E1530" s="45"/>
      <c r="F1530" s="45"/>
      <c r="G1530" s="45"/>
      <c r="H1530" s="45"/>
      <c r="I1530" s="45"/>
      <c r="J1530" s="45"/>
    </row>
    <row r="1531" spans="2:10" x14ac:dyDescent="0.35">
      <c r="B1531" s="45"/>
      <c r="C1531" s="45"/>
      <c r="D1531" s="45"/>
      <c r="E1531" s="45"/>
      <c r="F1531" s="45"/>
      <c r="G1531" s="45"/>
      <c r="H1531" s="45"/>
      <c r="I1531" s="45"/>
      <c r="J1531" s="45"/>
    </row>
    <row r="1532" spans="2:10" x14ac:dyDescent="0.35">
      <c r="B1532" s="45"/>
      <c r="C1532" s="45"/>
      <c r="D1532" s="45"/>
      <c r="E1532" s="45"/>
      <c r="F1532" s="45"/>
      <c r="G1532" s="45"/>
      <c r="H1532" s="45"/>
      <c r="I1532" s="45"/>
      <c r="J1532" s="45"/>
    </row>
    <row r="1533" spans="2:10" x14ac:dyDescent="0.35">
      <c r="B1533" s="45"/>
      <c r="C1533" s="45"/>
      <c r="D1533" s="45"/>
      <c r="E1533" s="45"/>
      <c r="F1533" s="45"/>
      <c r="G1533" s="45"/>
      <c r="H1533" s="45"/>
      <c r="I1533" s="45"/>
      <c r="J1533" s="45"/>
    </row>
    <row r="1534" spans="2:10" x14ac:dyDescent="0.35">
      <c r="B1534" s="45"/>
      <c r="C1534" s="45"/>
      <c r="D1534" s="45"/>
      <c r="E1534" s="45"/>
      <c r="F1534" s="45"/>
      <c r="G1534" s="45"/>
      <c r="H1534" s="45"/>
      <c r="I1534" s="45"/>
      <c r="J1534" s="45"/>
    </row>
    <row r="1535" spans="2:10" x14ac:dyDescent="0.35">
      <c r="B1535" s="45"/>
      <c r="C1535" s="45"/>
      <c r="D1535" s="45"/>
      <c r="E1535" s="45"/>
      <c r="F1535" s="45"/>
      <c r="G1535" s="45"/>
      <c r="H1535" s="45"/>
      <c r="I1535" s="45"/>
      <c r="J1535" s="45"/>
    </row>
    <row r="1536" spans="2:10" x14ac:dyDescent="0.35">
      <c r="B1536" s="45"/>
      <c r="C1536" s="45"/>
      <c r="D1536" s="45"/>
      <c r="E1536" s="45"/>
      <c r="F1536" s="45"/>
      <c r="G1536" s="45"/>
      <c r="H1536" s="45"/>
      <c r="I1536" s="45"/>
      <c r="J1536" s="45"/>
    </row>
    <row r="1537" spans="2:10" x14ac:dyDescent="0.35">
      <c r="B1537" s="45"/>
      <c r="C1537" s="45"/>
      <c r="D1537" s="45"/>
      <c r="E1537" s="45"/>
      <c r="F1537" s="45"/>
      <c r="G1537" s="45"/>
      <c r="H1537" s="45"/>
      <c r="I1537" s="45"/>
      <c r="J1537" s="45"/>
    </row>
    <row r="1538" spans="2:10" x14ac:dyDescent="0.35">
      <c r="B1538" s="45"/>
      <c r="C1538" s="45"/>
      <c r="D1538" s="45"/>
      <c r="E1538" s="45"/>
      <c r="F1538" s="45"/>
      <c r="G1538" s="45"/>
      <c r="H1538" s="45"/>
      <c r="I1538" s="45"/>
      <c r="J1538" s="45"/>
    </row>
    <row r="1539" spans="2:10" x14ac:dyDescent="0.35">
      <c r="B1539" s="45"/>
      <c r="C1539" s="45"/>
      <c r="D1539" s="45"/>
      <c r="E1539" s="45"/>
      <c r="F1539" s="45"/>
      <c r="G1539" s="45"/>
      <c r="H1539" s="45"/>
      <c r="I1539" s="45"/>
      <c r="J1539" s="45"/>
    </row>
    <row r="1540" spans="2:10" x14ac:dyDescent="0.35">
      <c r="B1540" s="45"/>
      <c r="C1540" s="45"/>
      <c r="D1540" s="45"/>
      <c r="E1540" s="45"/>
      <c r="F1540" s="45"/>
      <c r="G1540" s="45"/>
      <c r="H1540" s="45"/>
      <c r="I1540" s="45"/>
      <c r="J1540" s="45"/>
    </row>
    <row r="1541" spans="2:10" x14ac:dyDescent="0.35">
      <c r="B1541" s="45"/>
      <c r="C1541" s="45"/>
      <c r="D1541" s="45"/>
      <c r="E1541" s="45"/>
      <c r="F1541" s="45"/>
      <c r="G1541" s="45"/>
      <c r="H1541" s="45"/>
      <c r="I1541" s="45"/>
      <c r="J1541" s="45"/>
    </row>
    <row r="1542" spans="2:10" x14ac:dyDescent="0.35">
      <c r="B1542" s="45"/>
      <c r="C1542" s="45"/>
      <c r="D1542" s="45"/>
      <c r="E1542" s="45"/>
      <c r="F1542" s="45"/>
      <c r="G1542" s="45"/>
      <c r="H1542" s="45"/>
      <c r="I1542" s="45"/>
      <c r="J1542" s="45"/>
    </row>
    <row r="1543" spans="2:10" x14ac:dyDescent="0.35">
      <c r="B1543" s="45"/>
      <c r="C1543" s="45"/>
      <c r="D1543" s="45"/>
      <c r="E1543" s="45"/>
      <c r="F1543" s="45"/>
      <c r="G1543" s="45"/>
      <c r="H1543" s="45"/>
      <c r="I1543" s="45"/>
      <c r="J1543" s="45"/>
    </row>
    <row r="1544" spans="2:10" x14ac:dyDescent="0.35">
      <c r="B1544" s="45"/>
      <c r="C1544" s="45"/>
      <c r="D1544" s="45"/>
      <c r="E1544" s="45"/>
      <c r="F1544" s="45"/>
      <c r="G1544" s="45"/>
      <c r="H1544" s="45"/>
      <c r="I1544" s="45"/>
      <c r="J1544" s="45"/>
    </row>
    <row r="1545" spans="2:10" x14ac:dyDescent="0.35">
      <c r="B1545" s="45"/>
      <c r="C1545" s="45"/>
      <c r="D1545" s="45"/>
      <c r="E1545" s="45"/>
      <c r="F1545" s="45"/>
      <c r="G1545" s="45"/>
      <c r="H1545" s="45"/>
      <c r="I1545" s="45"/>
      <c r="J1545" s="45"/>
    </row>
    <row r="1546" spans="2:10" x14ac:dyDescent="0.35">
      <c r="B1546" s="45"/>
      <c r="C1546" s="45"/>
      <c r="D1546" s="45"/>
      <c r="E1546" s="45"/>
      <c r="F1546" s="45"/>
      <c r="G1546" s="45"/>
      <c r="H1546" s="45"/>
      <c r="I1546" s="45"/>
      <c r="J1546" s="45"/>
    </row>
    <row r="1547" spans="2:10" x14ac:dyDescent="0.35">
      <c r="B1547" s="45"/>
      <c r="C1547" s="45"/>
      <c r="D1547" s="45"/>
      <c r="E1547" s="45"/>
      <c r="F1547" s="45"/>
      <c r="G1547" s="45"/>
      <c r="H1547" s="45"/>
      <c r="I1547" s="45"/>
      <c r="J1547" s="45"/>
    </row>
    <row r="1548" spans="2:10" x14ac:dyDescent="0.35">
      <c r="B1548" s="45"/>
      <c r="C1548" s="45"/>
      <c r="D1548" s="45"/>
      <c r="E1548" s="45"/>
      <c r="F1548" s="45"/>
      <c r="G1548" s="45"/>
      <c r="H1548" s="45"/>
      <c r="I1548" s="45"/>
      <c r="J1548" s="45"/>
    </row>
    <row r="1549" spans="2:10" x14ac:dyDescent="0.35">
      <c r="B1549" s="45"/>
      <c r="C1549" s="45"/>
      <c r="D1549" s="45"/>
      <c r="E1549" s="45"/>
      <c r="F1549" s="45"/>
      <c r="G1549" s="45"/>
      <c r="H1549" s="45"/>
      <c r="I1549" s="45"/>
      <c r="J1549" s="45"/>
    </row>
    <row r="1550" spans="2:10" x14ac:dyDescent="0.35">
      <c r="B1550" s="45"/>
      <c r="C1550" s="45"/>
      <c r="D1550" s="45"/>
      <c r="E1550" s="45"/>
      <c r="F1550" s="45"/>
      <c r="G1550" s="45"/>
      <c r="H1550" s="45"/>
      <c r="I1550" s="45"/>
      <c r="J1550" s="45"/>
    </row>
    <row r="1551" spans="2:10" x14ac:dyDescent="0.35">
      <c r="B1551" s="45"/>
      <c r="C1551" s="45"/>
      <c r="D1551" s="45"/>
      <c r="E1551" s="45"/>
      <c r="F1551" s="45"/>
      <c r="G1551" s="45"/>
      <c r="H1551" s="45"/>
      <c r="I1551" s="45"/>
      <c r="J1551" s="45"/>
    </row>
    <row r="1552" spans="2:10" x14ac:dyDescent="0.35">
      <c r="B1552" s="45"/>
      <c r="C1552" s="45"/>
      <c r="D1552" s="45"/>
      <c r="E1552" s="45"/>
      <c r="F1552" s="45"/>
      <c r="G1552" s="45"/>
      <c r="H1552" s="45"/>
      <c r="I1552" s="45"/>
      <c r="J1552" s="45"/>
    </row>
    <row r="1553" spans="2:10" x14ac:dyDescent="0.35">
      <c r="B1553" s="45"/>
      <c r="C1553" s="45"/>
      <c r="D1553" s="45"/>
      <c r="E1553" s="45"/>
      <c r="F1553" s="45"/>
      <c r="G1553" s="45"/>
      <c r="H1553" s="45"/>
      <c r="I1553" s="45"/>
      <c r="J1553" s="45"/>
    </row>
    <row r="1554" spans="2:10" x14ac:dyDescent="0.35">
      <c r="B1554" s="45"/>
      <c r="C1554" s="45"/>
      <c r="D1554" s="45"/>
      <c r="E1554" s="45"/>
      <c r="F1554" s="45"/>
      <c r="G1554" s="45"/>
      <c r="H1554" s="45"/>
      <c r="I1554" s="45"/>
      <c r="J1554" s="45"/>
    </row>
    <row r="1555" spans="2:10" x14ac:dyDescent="0.35">
      <c r="B1555" s="45"/>
      <c r="C1555" s="45"/>
      <c r="D1555" s="45"/>
      <c r="E1555" s="45"/>
      <c r="F1555" s="45"/>
      <c r="G1555" s="45"/>
      <c r="H1555" s="45"/>
      <c r="I1555" s="45"/>
      <c r="J1555" s="45"/>
    </row>
    <row r="1556" spans="2:10" x14ac:dyDescent="0.35">
      <c r="B1556" s="45"/>
      <c r="C1556" s="45"/>
      <c r="D1556" s="45"/>
      <c r="E1556" s="45"/>
      <c r="F1556" s="45"/>
      <c r="G1556" s="45"/>
      <c r="H1556" s="45"/>
      <c r="I1556" s="45"/>
      <c r="J1556" s="45"/>
    </row>
    <row r="1557" spans="2:10" x14ac:dyDescent="0.35">
      <c r="B1557" s="45"/>
      <c r="C1557" s="45"/>
      <c r="D1557" s="45"/>
      <c r="E1557" s="45"/>
      <c r="F1557" s="45"/>
      <c r="G1557" s="45"/>
      <c r="H1557" s="45"/>
      <c r="I1557" s="45"/>
      <c r="J1557" s="45"/>
    </row>
    <row r="1558" spans="2:10" x14ac:dyDescent="0.35">
      <c r="B1558" s="45"/>
      <c r="C1558" s="45"/>
      <c r="D1558" s="45"/>
      <c r="E1558" s="45"/>
      <c r="F1558" s="45"/>
      <c r="G1558" s="45"/>
      <c r="H1558" s="45"/>
      <c r="I1558" s="45"/>
      <c r="J1558" s="45"/>
    </row>
    <row r="1559" spans="2:10" x14ac:dyDescent="0.35">
      <c r="B1559" s="45"/>
      <c r="C1559" s="45"/>
      <c r="D1559" s="45"/>
      <c r="E1559" s="45"/>
      <c r="F1559" s="45"/>
      <c r="G1559" s="45"/>
      <c r="H1559" s="45"/>
      <c r="I1559" s="45"/>
      <c r="J1559" s="45"/>
    </row>
    <row r="1560" spans="2:10" x14ac:dyDescent="0.35">
      <c r="B1560" s="45"/>
      <c r="C1560" s="45"/>
      <c r="D1560" s="45"/>
      <c r="E1560" s="45"/>
      <c r="F1560" s="45"/>
      <c r="G1560" s="45"/>
      <c r="H1560" s="45"/>
      <c r="I1560" s="45"/>
      <c r="J1560" s="45"/>
    </row>
    <row r="1561" spans="2:10" x14ac:dyDescent="0.35">
      <c r="B1561" s="45"/>
      <c r="C1561" s="45"/>
      <c r="D1561" s="45"/>
      <c r="E1561" s="45"/>
      <c r="F1561" s="45"/>
      <c r="G1561" s="45"/>
      <c r="H1561" s="45"/>
      <c r="I1561" s="45"/>
      <c r="J1561" s="45"/>
    </row>
    <row r="1562" spans="2:10" x14ac:dyDescent="0.35">
      <c r="B1562" s="45"/>
      <c r="C1562" s="45"/>
      <c r="D1562" s="45"/>
      <c r="E1562" s="45"/>
      <c r="F1562" s="45"/>
      <c r="G1562" s="45"/>
      <c r="H1562" s="45"/>
      <c r="I1562" s="45"/>
      <c r="J1562" s="45"/>
    </row>
    <row r="1563" spans="2:10" x14ac:dyDescent="0.35">
      <c r="B1563" s="45"/>
      <c r="C1563" s="45"/>
      <c r="D1563" s="45"/>
      <c r="E1563" s="45"/>
      <c r="F1563" s="45"/>
      <c r="G1563" s="45"/>
      <c r="H1563" s="45"/>
      <c r="I1563" s="45"/>
      <c r="J1563" s="45"/>
    </row>
    <row r="1564" spans="2:10" x14ac:dyDescent="0.35">
      <c r="B1564" s="45"/>
      <c r="C1564" s="45"/>
      <c r="D1564" s="45"/>
      <c r="E1564" s="45"/>
      <c r="F1564" s="45"/>
      <c r="G1564" s="45"/>
      <c r="H1564" s="45"/>
      <c r="I1564" s="45"/>
      <c r="J1564" s="45"/>
    </row>
    <row r="1565" spans="2:10" x14ac:dyDescent="0.35">
      <c r="B1565" s="45"/>
      <c r="C1565" s="45"/>
      <c r="D1565" s="45"/>
      <c r="E1565" s="45"/>
      <c r="F1565" s="45"/>
      <c r="G1565" s="45"/>
      <c r="H1565" s="45"/>
      <c r="I1565" s="45"/>
      <c r="J1565" s="45"/>
    </row>
    <row r="1566" spans="2:10" x14ac:dyDescent="0.35">
      <c r="B1566" s="45"/>
      <c r="C1566" s="45"/>
      <c r="D1566" s="45"/>
      <c r="E1566" s="45"/>
      <c r="F1566" s="45"/>
      <c r="G1566" s="45"/>
      <c r="H1566" s="45"/>
      <c r="I1566" s="45"/>
      <c r="J1566" s="45"/>
    </row>
    <row r="1567" spans="2:10" x14ac:dyDescent="0.35">
      <c r="B1567" s="45"/>
      <c r="C1567" s="45"/>
      <c r="D1567" s="45"/>
      <c r="E1567" s="45"/>
      <c r="F1567" s="45"/>
      <c r="G1567" s="45"/>
      <c r="H1567" s="45"/>
      <c r="I1567" s="45"/>
      <c r="J1567" s="45"/>
    </row>
    <row r="1568" spans="2:10" x14ac:dyDescent="0.35">
      <c r="B1568" s="45"/>
      <c r="C1568" s="45"/>
      <c r="D1568" s="45"/>
      <c r="E1568" s="45"/>
      <c r="F1568" s="45"/>
      <c r="G1568" s="45"/>
      <c r="H1568" s="45"/>
      <c r="I1568" s="45"/>
      <c r="J1568" s="45"/>
    </row>
    <row r="1569" spans="2:10" x14ac:dyDescent="0.35">
      <c r="B1569" s="45"/>
      <c r="C1569" s="45"/>
      <c r="D1569" s="45"/>
      <c r="E1569" s="45"/>
      <c r="F1569" s="45"/>
      <c r="G1569" s="45"/>
      <c r="H1569" s="45"/>
      <c r="I1569" s="45"/>
      <c r="J1569" s="45"/>
    </row>
    <row r="1570" spans="2:10" x14ac:dyDescent="0.35">
      <c r="B1570" s="45"/>
      <c r="C1570" s="45"/>
      <c r="D1570" s="45"/>
      <c r="E1570" s="45"/>
      <c r="F1570" s="45"/>
      <c r="G1570" s="45"/>
      <c r="H1570" s="45"/>
      <c r="I1570" s="45"/>
      <c r="J1570" s="45"/>
    </row>
    <row r="1571" spans="2:10" x14ac:dyDescent="0.35">
      <c r="B1571" s="45"/>
      <c r="C1571" s="45"/>
      <c r="D1571" s="45"/>
      <c r="E1571" s="45"/>
      <c r="F1571" s="45"/>
      <c r="G1571" s="45"/>
      <c r="H1571" s="45"/>
      <c r="I1571" s="45"/>
      <c r="J1571" s="45"/>
    </row>
    <row r="1572" spans="2:10" x14ac:dyDescent="0.35">
      <c r="B1572" s="45"/>
      <c r="C1572" s="45"/>
      <c r="D1572" s="45"/>
      <c r="E1572" s="45"/>
      <c r="F1572" s="45"/>
      <c r="G1572" s="45"/>
      <c r="H1572" s="45"/>
      <c r="I1572" s="45"/>
      <c r="J1572" s="45"/>
    </row>
    <row r="1573" spans="2:10" x14ac:dyDescent="0.35">
      <c r="B1573" s="45"/>
      <c r="C1573" s="45"/>
      <c r="D1573" s="45"/>
      <c r="E1573" s="45"/>
      <c r="F1573" s="45"/>
      <c r="G1573" s="45"/>
      <c r="H1573" s="45"/>
      <c r="I1573" s="45"/>
      <c r="J1573" s="45"/>
    </row>
    <row r="1574" spans="2:10" x14ac:dyDescent="0.35">
      <c r="B1574" s="45"/>
      <c r="C1574" s="45"/>
      <c r="D1574" s="45"/>
      <c r="E1574" s="45"/>
      <c r="F1574" s="45"/>
      <c r="G1574" s="45"/>
      <c r="H1574" s="45"/>
      <c r="I1574" s="45"/>
      <c r="J1574" s="45"/>
    </row>
    <row r="1575" spans="2:10" x14ac:dyDescent="0.35">
      <c r="B1575" s="45"/>
      <c r="C1575" s="45"/>
      <c r="D1575" s="45"/>
      <c r="E1575" s="45"/>
      <c r="F1575" s="45"/>
      <c r="G1575" s="45"/>
      <c r="H1575" s="45"/>
      <c r="I1575" s="45"/>
      <c r="J1575" s="45"/>
    </row>
    <row r="1576" spans="2:10" x14ac:dyDescent="0.35">
      <c r="B1576" s="45"/>
      <c r="C1576" s="45"/>
      <c r="D1576" s="45"/>
      <c r="E1576" s="45"/>
      <c r="F1576" s="45"/>
      <c r="G1576" s="45"/>
      <c r="H1576" s="45"/>
      <c r="I1576" s="45"/>
      <c r="J1576" s="45"/>
    </row>
    <row r="1577" spans="2:10" x14ac:dyDescent="0.35">
      <c r="B1577" s="45"/>
      <c r="C1577" s="45"/>
      <c r="D1577" s="45"/>
      <c r="E1577" s="45"/>
      <c r="F1577" s="45"/>
      <c r="G1577" s="45"/>
      <c r="H1577" s="45"/>
      <c r="I1577" s="45"/>
      <c r="J1577" s="45"/>
    </row>
    <row r="1578" spans="2:10" x14ac:dyDescent="0.35">
      <c r="B1578" s="45"/>
      <c r="C1578" s="45"/>
      <c r="D1578" s="45"/>
      <c r="E1578" s="45"/>
      <c r="F1578" s="45"/>
      <c r="G1578" s="45"/>
      <c r="H1578" s="45"/>
      <c r="I1578" s="45"/>
      <c r="J1578" s="45"/>
    </row>
    <row r="1579" spans="2:10" x14ac:dyDescent="0.35">
      <c r="B1579" s="45"/>
      <c r="C1579" s="45"/>
      <c r="D1579" s="45"/>
      <c r="E1579" s="45"/>
      <c r="F1579" s="45"/>
      <c r="G1579" s="45"/>
      <c r="H1579" s="45"/>
      <c r="I1579" s="45"/>
      <c r="J1579" s="45"/>
    </row>
    <row r="1580" spans="2:10" x14ac:dyDescent="0.35">
      <c r="B1580" s="45"/>
      <c r="C1580" s="45"/>
      <c r="D1580" s="45"/>
      <c r="E1580" s="45"/>
      <c r="F1580" s="45"/>
      <c r="G1580" s="45"/>
      <c r="H1580" s="45"/>
      <c r="I1580" s="45"/>
      <c r="J1580" s="45"/>
    </row>
    <row r="1581" spans="2:10" x14ac:dyDescent="0.35">
      <c r="B1581" s="45"/>
      <c r="C1581" s="45"/>
      <c r="D1581" s="45"/>
      <c r="E1581" s="45"/>
      <c r="F1581" s="45"/>
      <c r="G1581" s="45"/>
      <c r="H1581" s="45"/>
      <c r="I1581" s="45"/>
      <c r="J1581" s="45"/>
    </row>
    <row r="1582" spans="2:10" x14ac:dyDescent="0.35">
      <c r="B1582" s="45"/>
      <c r="C1582" s="45"/>
      <c r="D1582" s="45"/>
      <c r="E1582" s="45"/>
      <c r="F1582" s="45"/>
      <c r="G1582" s="45"/>
      <c r="H1582" s="45"/>
      <c r="I1582" s="45"/>
      <c r="J1582" s="45"/>
    </row>
    <row r="1583" spans="2:10" x14ac:dyDescent="0.35">
      <c r="B1583" s="45"/>
      <c r="C1583" s="45"/>
      <c r="D1583" s="45"/>
      <c r="E1583" s="45"/>
      <c r="F1583" s="45"/>
      <c r="G1583" s="45"/>
      <c r="H1583" s="45"/>
      <c r="I1583" s="45"/>
      <c r="J1583" s="45"/>
    </row>
    <row r="1584" spans="2:10" x14ac:dyDescent="0.35">
      <c r="B1584" s="45"/>
      <c r="C1584" s="45"/>
      <c r="D1584" s="45"/>
      <c r="E1584" s="45"/>
      <c r="F1584" s="45"/>
      <c r="G1584" s="45"/>
      <c r="H1584" s="45"/>
      <c r="I1584" s="45"/>
      <c r="J1584" s="45"/>
    </row>
    <row r="1585" spans="2:10" x14ac:dyDescent="0.35">
      <c r="B1585" s="45"/>
      <c r="C1585" s="45"/>
      <c r="D1585" s="45"/>
      <c r="E1585" s="45"/>
      <c r="F1585" s="45"/>
      <c r="G1585" s="45"/>
      <c r="H1585" s="45"/>
      <c r="I1585" s="45"/>
      <c r="J1585" s="45"/>
    </row>
    <row r="1586" spans="2:10" x14ac:dyDescent="0.35">
      <c r="B1586" s="45"/>
      <c r="C1586" s="45"/>
      <c r="D1586" s="45"/>
      <c r="E1586" s="45"/>
      <c r="F1586" s="45"/>
      <c r="G1586" s="45"/>
      <c r="H1586" s="45"/>
      <c r="I1586" s="45"/>
      <c r="J1586" s="45"/>
    </row>
    <row r="1587" spans="2:10" x14ac:dyDescent="0.35">
      <c r="B1587" s="45"/>
      <c r="C1587" s="45"/>
      <c r="D1587" s="45"/>
      <c r="E1587" s="45"/>
      <c r="F1587" s="45"/>
      <c r="G1587" s="45"/>
      <c r="H1587" s="45"/>
      <c r="I1587" s="45"/>
      <c r="J1587" s="45"/>
    </row>
    <row r="1588" spans="2:10" x14ac:dyDescent="0.35">
      <c r="B1588" s="45"/>
      <c r="C1588" s="45"/>
      <c r="D1588" s="45"/>
      <c r="E1588" s="45"/>
      <c r="F1588" s="45"/>
      <c r="G1588" s="45"/>
      <c r="H1588" s="45"/>
      <c r="I1588" s="45"/>
      <c r="J1588" s="45"/>
    </row>
    <row r="1589" spans="2:10" x14ac:dyDescent="0.35">
      <c r="B1589" s="45"/>
      <c r="C1589" s="45"/>
      <c r="D1589" s="45"/>
      <c r="E1589" s="45"/>
      <c r="F1589" s="45"/>
      <c r="G1589" s="45"/>
      <c r="H1589" s="45"/>
      <c r="I1589" s="45"/>
      <c r="J1589" s="45"/>
    </row>
    <row r="1590" spans="2:10" x14ac:dyDescent="0.35">
      <c r="B1590" s="45"/>
      <c r="C1590" s="45"/>
      <c r="D1590" s="45"/>
      <c r="E1590" s="45"/>
      <c r="F1590" s="45"/>
      <c r="G1590" s="45"/>
      <c r="H1590" s="45"/>
      <c r="I1590" s="45"/>
      <c r="J1590" s="45"/>
    </row>
    <row r="1591" spans="2:10" x14ac:dyDescent="0.35">
      <c r="B1591" s="45"/>
      <c r="C1591" s="45"/>
      <c r="D1591" s="45"/>
      <c r="E1591" s="45"/>
      <c r="F1591" s="45"/>
      <c r="G1591" s="45"/>
      <c r="H1591" s="45"/>
      <c r="I1591" s="45"/>
      <c r="J1591" s="45"/>
    </row>
    <row r="1592" spans="2:10" x14ac:dyDescent="0.35">
      <c r="B1592" s="45"/>
      <c r="C1592" s="45"/>
      <c r="D1592" s="45"/>
      <c r="E1592" s="45"/>
      <c r="F1592" s="45"/>
      <c r="G1592" s="45"/>
      <c r="H1592" s="45"/>
      <c r="I1592" s="45"/>
      <c r="J1592" s="45"/>
    </row>
    <row r="1593" spans="2:10" x14ac:dyDescent="0.35">
      <c r="B1593" s="45"/>
      <c r="C1593" s="45"/>
      <c r="D1593" s="45"/>
      <c r="E1593" s="45"/>
      <c r="F1593" s="45"/>
      <c r="G1593" s="45"/>
      <c r="H1593" s="45"/>
      <c r="I1593" s="45"/>
      <c r="J1593" s="45"/>
    </row>
    <row r="1594" spans="2:10" x14ac:dyDescent="0.35">
      <c r="B1594" s="45"/>
      <c r="C1594" s="45"/>
      <c r="D1594" s="45"/>
      <c r="E1594" s="45"/>
      <c r="F1594" s="45"/>
      <c r="G1594" s="45"/>
      <c r="H1594" s="45"/>
      <c r="I1594" s="45"/>
      <c r="J1594" s="45"/>
    </row>
    <row r="1595" spans="2:10" x14ac:dyDescent="0.35">
      <c r="B1595" s="45"/>
      <c r="C1595" s="45"/>
      <c r="D1595" s="45"/>
      <c r="E1595" s="45"/>
      <c r="F1595" s="45"/>
      <c r="G1595" s="45"/>
      <c r="H1595" s="45"/>
      <c r="I1595" s="45"/>
      <c r="J1595" s="45"/>
    </row>
    <row r="1596" spans="2:10" x14ac:dyDescent="0.35">
      <c r="B1596" s="45"/>
      <c r="C1596" s="45"/>
      <c r="D1596" s="45"/>
      <c r="E1596" s="45"/>
      <c r="F1596" s="45"/>
      <c r="G1596" s="45"/>
      <c r="H1596" s="45"/>
      <c r="I1596" s="45"/>
      <c r="J1596" s="45"/>
    </row>
    <row r="1597" spans="2:10" x14ac:dyDescent="0.35">
      <c r="B1597" s="45"/>
      <c r="C1597" s="45"/>
      <c r="D1597" s="45"/>
      <c r="E1597" s="45"/>
      <c r="F1597" s="45"/>
      <c r="G1597" s="45"/>
      <c r="H1597" s="45"/>
      <c r="I1597" s="45"/>
      <c r="J1597" s="45"/>
    </row>
    <row r="1598" spans="2:10" x14ac:dyDescent="0.35">
      <c r="B1598" s="45"/>
      <c r="C1598" s="45"/>
      <c r="D1598" s="45"/>
      <c r="E1598" s="45"/>
      <c r="F1598" s="45"/>
      <c r="G1598" s="45"/>
      <c r="H1598" s="45"/>
      <c r="I1598" s="45"/>
      <c r="J1598" s="45"/>
    </row>
    <row r="1599" spans="2:10" x14ac:dyDescent="0.35">
      <c r="B1599" s="45"/>
      <c r="C1599" s="45"/>
      <c r="D1599" s="45"/>
      <c r="E1599" s="45"/>
      <c r="F1599" s="45"/>
      <c r="G1599" s="45"/>
      <c r="H1599" s="45"/>
      <c r="I1599" s="45"/>
      <c r="J1599" s="45"/>
    </row>
    <row r="1600" spans="2:10" x14ac:dyDescent="0.35">
      <c r="B1600" s="45"/>
      <c r="C1600" s="45"/>
      <c r="D1600" s="45"/>
      <c r="E1600" s="45"/>
      <c r="F1600" s="45"/>
      <c r="G1600" s="45"/>
      <c r="H1600" s="45"/>
      <c r="I1600" s="45"/>
      <c r="J1600" s="45"/>
    </row>
    <row r="1601" spans="2:10" x14ac:dyDescent="0.35">
      <c r="B1601" s="45"/>
      <c r="C1601" s="45"/>
      <c r="D1601" s="45"/>
      <c r="E1601" s="45"/>
      <c r="F1601" s="45"/>
      <c r="G1601" s="45"/>
      <c r="H1601" s="45"/>
      <c r="I1601" s="45"/>
      <c r="J1601" s="45"/>
    </row>
    <row r="1602" spans="2:10" x14ac:dyDescent="0.35">
      <c r="B1602" s="45"/>
      <c r="C1602" s="45"/>
      <c r="D1602" s="45"/>
      <c r="E1602" s="45"/>
      <c r="F1602" s="45"/>
      <c r="G1602" s="45"/>
      <c r="H1602" s="45"/>
      <c r="I1602" s="45"/>
      <c r="J1602" s="45"/>
    </row>
    <row r="1603" spans="2:10" x14ac:dyDescent="0.35">
      <c r="B1603" s="45"/>
      <c r="C1603" s="45"/>
      <c r="D1603" s="45"/>
      <c r="E1603" s="45"/>
      <c r="F1603" s="45"/>
      <c r="G1603" s="45"/>
      <c r="H1603" s="45"/>
      <c r="I1603" s="45"/>
      <c r="J1603" s="45"/>
    </row>
    <row r="1604" spans="2:10" x14ac:dyDescent="0.35">
      <c r="B1604" s="45"/>
      <c r="C1604" s="45"/>
      <c r="D1604" s="45"/>
      <c r="E1604" s="45"/>
      <c r="F1604" s="45"/>
      <c r="G1604" s="45"/>
      <c r="H1604" s="45"/>
      <c r="I1604" s="45"/>
      <c r="J1604" s="45"/>
    </row>
    <row r="1605" spans="2:10" x14ac:dyDescent="0.35">
      <c r="B1605" s="45"/>
      <c r="C1605" s="45"/>
      <c r="D1605" s="45"/>
      <c r="E1605" s="45"/>
      <c r="F1605" s="45"/>
      <c r="G1605" s="45"/>
      <c r="H1605" s="45"/>
      <c r="I1605" s="45"/>
      <c r="J1605" s="45"/>
    </row>
    <row r="1606" spans="2:10" x14ac:dyDescent="0.35">
      <c r="B1606" s="45"/>
      <c r="C1606" s="45"/>
      <c r="D1606" s="45"/>
      <c r="E1606" s="45"/>
      <c r="F1606" s="45"/>
      <c r="G1606" s="45"/>
      <c r="H1606" s="45"/>
      <c r="I1606" s="45"/>
      <c r="J1606" s="45"/>
    </row>
    <row r="1607" spans="2:10" x14ac:dyDescent="0.35">
      <c r="B1607" s="45"/>
      <c r="C1607" s="45"/>
      <c r="D1607" s="45"/>
      <c r="E1607" s="45"/>
      <c r="F1607" s="45"/>
      <c r="G1607" s="45"/>
      <c r="H1607" s="45"/>
      <c r="I1607" s="45"/>
      <c r="J1607" s="45"/>
    </row>
    <row r="1608" spans="2:10" x14ac:dyDescent="0.35">
      <c r="B1608" s="45"/>
      <c r="C1608" s="45"/>
      <c r="D1608" s="45"/>
      <c r="E1608" s="45"/>
      <c r="F1608" s="45"/>
      <c r="G1608" s="45"/>
      <c r="H1608" s="45"/>
      <c r="I1608" s="45"/>
      <c r="J1608" s="45"/>
    </row>
    <row r="1609" spans="2:10" x14ac:dyDescent="0.35">
      <c r="B1609" s="45"/>
      <c r="C1609" s="45"/>
      <c r="D1609" s="45"/>
      <c r="E1609" s="45"/>
      <c r="F1609" s="45"/>
      <c r="G1609" s="45"/>
      <c r="H1609" s="45"/>
      <c r="I1609" s="45"/>
      <c r="J1609" s="45"/>
    </row>
    <row r="1610" spans="2:10" x14ac:dyDescent="0.35">
      <c r="B1610" s="45"/>
      <c r="C1610" s="45"/>
      <c r="D1610" s="45"/>
      <c r="E1610" s="45"/>
      <c r="F1610" s="45"/>
      <c r="G1610" s="45"/>
      <c r="H1610" s="45"/>
      <c r="I1610" s="45"/>
      <c r="J1610" s="45"/>
    </row>
    <row r="1611" spans="2:10" x14ac:dyDescent="0.35">
      <c r="B1611" s="45"/>
      <c r="C1611" s="45"/>
      <c r="D1611" s="45"/>
      <c r="E1611" s="45"/>
      <c r="F1611" s="45"/>
      <c r="G1611" s="45"/>
      <c r="H1611" s="45"/>
      <c r="I1611" s="45"/>
      <c r="J1611" s="45"/>
    </row>
    <row r="1612" spans="2:10" x14ac:dyDescent="0.35">
      <c r="B1612" s="45"/>
      <c r="C1612" s="45"/>
      <c r="D1612" s="45"/>
      <c r="E1612" s="45"/>
      <c r="F1612" s="45"/>
      <c r="G1612" s="45"/>
      <c r="H1612" s="45"/>
      <c r="I1612" s="45"/>
      <c r="J1612" s="45"/>
    </row>
    <row r="1613" spans="2:10" x14ac:dyDescent="0.35">
      <c r="B1613" s="45"/>
      <c r="C1613" s="45"/>
      <c r="D1613" s="45"/>
      <c r="E1613" s="45"/>
      <c r="F1613" s="45"/>
      <c r="G1613" s="45"/>
      <c r="H1613" s="45"/>
      <c r="I1613" s="45"/>
      <c r="J1613" s="45"/>
    </row>
    <row r="1614" spans="2:10" x14ac:dyDescent="0.35">
      <c r="B1614" s="45"/>
      <c r="C1614" s="45"/>
      <c r="D1614" s="45"/>
      <c r="E1614" s="45"/>
      <c r="F1614" s="45"/>
      <c r="G1614" s="45"/>
      <c r="H1614" s="45"/>
      <c r="I1614" s="45"/>
      <c r="J1614" s="45"/>
    </row>
    <row r="1615" spans="2:10" x14ac:dyDescent="0.35">
      <c r="B1615" s="45"/>
      <c r="C1615" s="45"/>
      <c r="D1615" s="45"/>
      <c r="E1615" s="45"/>
      <c r="F1615" s="45"/>
      <c r="G1615" s="45"/>
      <c r="H1615" s="45"/>
      <c r="I1615" s="45"/>
      <c r="J1615" s="45"/>
    </row>
    <row r="1616" spans="2:10" x14ac:dyDescent="0.35">
      <c r="B1616" s="45"/>
      <c r="C1616" s="45"/>
      <c r="D1616" s="45"/>
      <c r="E1616" s="45"/>
      <c r="F1616" s="45"/>
      <c r="G1616" s="45"/>
      <c r="H1616" s="45"/>
      <c r="I1616" s="45"/>
      <c r="J1616" s="45"/>
    </row>
    <row r="1617" spans="2:10" x14ac:dyDescent="0.35">
      <c r="B1617" s="45"/>
      <c r="C1617" s="45"/>
      <c r="D1617" s="45"/>
      <c r="E1617" s="45"/>
      <c r="F1617" s="45"/>
      <c r="G1617" s="45"/>
      <c r="H1617" s="45"/>
      <c r="I1617" s="45"/>
      <c r="J1617" s="45"/>
    </row>
    <row r="1618" spans="2:10" x14ac:dyDescent="0.35">
      <c r="B1618" s="45"/>
      <c r="C1618" s="45"/>
      <c r="D1618" s="45"/>
      <c r="E1618" s="45"/>
      <c r="F1618" s="45"/>
      <c r="G1618" s="45"/>
      <c r="H1618" s="45"/>
      <c r="I1618" s="45"/>
      <c r="J1618" s="45"/>
    </row>
    <row r="1619" spans="2:10" x14ac:dyDescent="0.35">
      <c r="B1619" s="45"/>
      <c r="C1619" s="45"/>
      <c r="D1619" s="45"/>
      <c r="E1619" s="45"/>
      <c r="F1619" s="45"/>
      <c r="G1619" s="45"/>
      <c r="H1619" s="45"/>
      <c r="I1619" s="45"/>
      <c r="J1619" s="45"/>
    </row>
    <row r="1620" spans="2:10" x14ac:dyDescent="0.35">
      <c r="B1620" s="45"/>
      <c r="C1620" s="45"/>
      <c r="D1620" s="45"/>
      <c r="E1620" s="45"/>
      <c r="F1620" s="45"/>
      <c r="G1620" s="45"/>
      <c r="H1620" s="45"/>
      <c r="I1620" s="45"/>
      <c r="J1620" s="45"/>
    </row>
    <row r="1621" spans="2:10" x14ac:dyDescent="0.35">
      <c r="B1621" s="45"/>
      <c r="C1621" s="45"/>
      <c r="D1621" s="45"/>
      <c r="E1621" s="45"/>
      <c r="F1621" s="45"/>
      <c r="G1621" s="45"/>
      <c r="H1621" s="45"/>
      <c r="I1621" s="45"/>
      <c r="J1621" s="45"/>
    </row>
    <row r="1622" spans="2:10" x14ac:dyDescent="0.35">
      <c r="B1622" s="45"/>
      <c r="C1622" s="45"/>
      <c r="D1622" s="45"/>
      <c r="E1622" s="45"/>
      <c r="F1622" s="45"/>
      <c r="G1622" s="45"/>
      <c r="H1622" s="45"/>
      <c r="I1622" s="45"/>
      <c r="J1622" s="45"/>
    </row>
    <row r="1623" spans="2:10" x14ac:dyDescent="0.35">
      <c r="B1623" s="45"/>
      <c r="C1623" s="45"/>
      <c r="D1623" s="45"/>
      <c r="E1623" s="45"/>
      <c r="F1623" s="45"/>
      <c r="G1623" s="45"/>
      <c r="H1623" s="45"/>
      <c r="I1623" s="45"/>
      <c r="J1623" s="45"/>
    </row>
    <row r="1624" spans="2:10" x14ac:dyDescent="0.35">
      <c r="B1624" s="45"/>
      <c r="C1624" s="45"/>
      <c r="D1624" s="45"/>
      <c r="E1624" s="45"/>
      <c r="F1624" s="45"/>
      <c r="G1624" s="45"/>
      <c r="H1624" s="45"/>
      <c r="I1624" s="45"/>
      <c r="J1624" s="45"/>
    </row>
    <row r="1625" spans="2:10" x14ac:dyDescent="0.35">
      <c r="B1625" s="45"/>
      <c r="C1625" s="45"/>
      <c r="D1625" s="45"/>
      <c r="E1625" s="45"/>
      <c r="F1625" s="45"/>
      <c r="G1625" s="45"/>
      <c r="H1625" s="45"/>
      <c r="I1625" s="45"/>
      <c r="J1625" s="45"/>
    </row>
    <row r="1626" spans="2:10" x14ac:dyDescent="0.35">
      <c r="B1626" s="45"/>
      <c r="C1626" s="45"/>
      <c r="D1626" s="45"/>
      <c r="E1626" s="45"/>
      <c r="F1626" s="45"/>
      <c r="G1626" s="45"/>
      <c r="H1626" s="45"/>
      <c r="I1626" s="45"/>
      <c r="J1626" s="45"/>
    </row>
    <row r="1627" spans="2:10" x14ac:dyDescent="0.35">
      <c r="B1627" s="45"/>
      <c r="C1627" s="45"/>
      <c r="D1627" s="45"/>
      <c r="E1627" s="45"/>
      <c r="F1627" s="45"/>
      <c r="G1627" s="45"/>
      <c r="H1627" s="45"/>
      <c r="I1627" s="45"/>
      <c r="J1627" s="45"/>
    </row>
    <row r="1628" spans="2:10" x14ac:dyDescent="0.35">
      <c r="B1628" s="45"/>
      <c r="C1628" s="45"/>
      <c r="D1628" s="45"/>
      <c r="E1628" s="45"/>
      <c r="F1628" s="45"/>
      <c r="G1628" s="45"/>
      <c r="H1628" s="45"/>
      <c r="I1628" s="45"/>
      <c r="J1628" s="45"/>
    </row>
    <row r="1629" spans="2:10" x14ac:dyDescent="0.35">
      <c r="B1629" s="45"/>
      <c r="C1629" s="45"/>
      <c r="D1629" s="45"/>
      <c r="E1629" s="45"/>
      <c r="F1629" s="45"/>
      <c r="G1629" s="45"/>
      <c r="H1629" s="45"/>
      <c r="I1629" s="45"/>
      <c r="J1629" s="45"/>
    </row>
    <row r="1630" spans="2:10" x14ac:dyDescent="0.35">
      <c r="B1630" s="45"/>
      <c r="C1630" s="45"/>
      <c r="D1630" s="45"/>
      <c r="E1630" s="45"/>
      <c r="F1630" s="45"/>
      <c r="G1630" s="45"/>
      <c r="H1630" s="45"/>
      <c r="I1630" s="45"/>
      <c r="J1630" s="45"/>
    </row>
    <row r="1631" spans="2:10" x14ac:dyDescent="0.35">
      <c r="B1631" s="45"/>
      <c r="C1631" s="45"/>
      <c r="D1631" s="45"/>
      <c r="E1631" s="45"/>
      <c r="F1631" s="45"/>
      <c r="G1631" s="45"/>
      <c r="H1631" s="45"/>
      <c r="I1631" s="45"/>
      <c r="J1631" s="45"/>
    </row>
    <row r="1632" spans="2:10" x14ac:dyDescent="0.35">
      <c r="B1632" s="45"/>
      <c r="C1632" s="45"/>
      <c r="D1632" s="45"/>
      <c r="E1632" s="45"/>
      <c r="F1632" s="45"/>
      <c r="G1632" s="45"/>
      <c r="H1632" s="45"/>
      <c r="I1632" s="45"/>
      <c r="J1632" s="45"/>
    </row>
    <row r="1633" spans="2:10" x14ac:dyDescent="0.35">
      <c r="B1633" s="45"/>
      <c r="C1633" s="45"/>
      <c r="D1633" s="45"/>
      <c r="E1633" s="45"/>
      <c r="F1633" s="45"/>
      <c r="G1633" s="45"/>
      <c r="H1633" s="45"/>
      <c r="I1633" s="45"/>
      <c r="J1633" s="45"/>
    </row>
    <row r="1634" spans="2:10" x14ac:dyDescent="0.35">
      <c r="B1634" s="45"/>
      <c r="C1634" s="45"/>
      <c r="D1634" s="45"/>
      <c r="E1634" s="45"/>
      <c r="F1634" s="45"/>
      <c r="G1634" s="45"/>
      <c r="H1634" s="45"/>
      <c r="I1634" s="45"/>
      <c r="J1634" s="45"/>
    </row>
    <row r="1635" spans="2:10" x14ac:dyDescent="0.35">
      <c r="B1635" s="45"/>
      <c r="C1635" s="45"/>
      <c r="D1635" s="45"/>
      <c r="E1635" s="45"/>
      <c r="F1635" s="45"/>
      <c r="G1635" s="45"/>
      <c r="H1635" s="45"/>
      <c r="I1635" s="45"/>
      <c r="J1635" s="45"/>
    </row>
    <row r="1636" spans="2:10" x14ac:dyDescent="0.35">
      <c r="B1636" s="45"/>
      <c r="C1636" s="45"/>
      <c r="D1636" s="45"/>
      <c r="E1636" s="45"/>
      <c r="F1636" s="45"/>
      <c r="G1636" s="45"/>
      <c r="H1636" s="45"/>
      <c r="I1636" s="45"/>
      <c r="J1636" s="45"/>
    </row>
    <row r="1637" spans="2:10" x14ac:dyDescent="0.35">
      <c r="B1637" s="45"/>
      <c r="C1637" s="45"/>
      <c r="D1637" s="45"/>
      <c r="E1637" s="45"/>
      <c r="F1637" s="45"/>
      <c r="G1637" s="45"/>
      <c r="H1637" s="45"/>
      <c r="I1637" s="45"/>
      <c r="J1637" s="45"/>
    </row>
    <row r="1638" spans="2:10" x14ac:dyDescent="0.35">
      <c r="B1638" s="45"/>
      <c r="C1638" s="45"/>
      <c r="D1638" s="45"/>
      <c r="E1638" s="45"/>
      <c r="F1638" s="45"/>
      <c r="G1638" s="45"/>
      <c r="H1638" s="45"/>
      <c r="I1638" s="45"/>
      <c r="J1638" s="45"/>
    </row>
    <row r="1639" spans="2:10" x14ac:dyDescent="0.35">
      <c r="B1639" s="45"/>
      <c r="C1639" s="45"/>
      <c r="D1639" s="45"/>
      <c r="E1639" s="45"/>
      <c r="F1639" s="45"/>
      <c r="G1639" s="45"/>
      <c r="H1639" s="45"/>
      <c r="I1639" s="45"/>
      <c r="J1639" s="45"/>
    </row>
    <row r="1640" spans="2:10" x14ac:dyDescent="0.35">
      <c r="B1640" s="45"/>
      <c r="C1640" s="45"/>
      <c r="D1640" s="45"/>
      <c r="E1640" s="45"/>
      <c r="F1640" s="45"/>
      <c r="G1640" s="45"/>
      <c r="H1640" s="45"/>
      <c r="I1640" s="45"/>
      <c r="J1640" s="45"/>
    </row>
    <row r="1641" spans="2:10" x14ac:dyDescent="0.35">
      <c r="B1641" s="45"/>
      <c r="C1641" s="45"/>
      <c r="D1641" s="45"/>
      <c r="E1641" s="45"/>
      <c r="F1641" s="45"/>
      <c r="G1641" s="45"/>
      <c r="H1641" s="45"/>
      <c r="I1641" s="45"/>
      <c r="J1641" s="45"/>
    </row>
    <row r="1642" spans="2:10" x14ac:dyDescent="0.35">
      <c r="B1642" s="45"/>
      <c r="C1642" s="45"/>
      <c r="D1642" s="45"/>
      <c r="E1642" s="45"/>
      <c r="F1642" s="45"/>
      <c r="G1642" s="45"/>
      <c r="H1642" s="45"/>
      <c r="I1642" s="45"/>
      <c r="J1642" s="45"/>
    </row>
    <row r="1643" spans="2:10" x14ac:dyDescent="0.35">
      <c r="B1643" s="45"/>
      <c r="C1643" s="45"/>
      <c r="D1643" s="45"/>
      <c r="E1643" s="45"/>
      <c r="F1643" s="45"/>
      <c r="G1643" s="45"/>
      <c r="H1643" s="45"/>
      <c r="I1643" s="45"/>
      <c r="J1643" s="45"/>
    </row>
    <row r="1644" spans="2:10" x14ac:dyDescent="0.35">
      <c r="B1644" s="45"/>
      <c r="C1644" s="45"/>
      <c r="D1644" s="45"/>
      <c r="E1644" s="45"/>
      <c r="F1644" s="45"/>
      <c r="G1644" s="45"/>
      <c r="H1644" s="45"/>
      <c r="I1644" s="45"/>
      <c r="J1644" s="45"/>
    </row>
    <row r="1645" spans="2:10" x14ac:dyDescent="0.35">
      <c r="B1645" s="45"/>
      <c r="C1645" s="45"/>
      <c r="D1645" s="45"/>
      <c r="E1645" s="45"/>
      <c r="F1645" s="45"/>
      <c r="G1645" s="45"/>
      <c r="H1645" s="45"/>
      <c r="I1645" s="45"/>
      <c r="J1645" s="45"/>
    </row>
    <row r="1646" spans="2:10" x14ac:dyDescent="0.35">
      <c r="B1646" s="45"/>
      <c r="C1646" s="45"/>
      <c r="D1646" s="45"/>
      <c r="E1646" s="45"/>
      <c r="F1646" s="45"/>
      <c r="G1646" s="45"/>
      <c r="H1646" s="45"/>
      <c r="I1646" s="45"/>
      <c r="J1646" s="45"/>
    </row>
    <row r="1647" spans="2:10" x14ac:dyDescent="0.35">
      <c r="B1647" s="45"/>
      <c r="C1647" s="45"/>
      <c r="D1647" s="45"/>
      <c r="E1647" s="45"/>
      <c r="F1647" s="45"/>
      <c r="G1647" s="45"/>
      <c r="H1647" s="45"/>
      <c r="I1647" s="45"/>
      <c r="J1647" s="45"/>
    </row>
    <row r="1648" spans="2:10" x14ac:dyDescent="0.35">
      <c r="B1648" s="45"/>
      <c r="C1648" s="45"/>
      <c r="D1648" s="45"/>
      <c r="E1648" s="45"/>
      <c r="F1648" s="45"/>
      <c r="G1648" s="45"/>
      <c r="H1648" s="45"/>
      <c r="I1648" s="45"/>
      <c r="J1648" s="45"/>
    </row>
    <row r="1649" spans="2:10" x14ac:dyDescent="0.35">
      <c r="B1649" s="45"/>
      <c r="C1649" s="45"/>
      <c r="D1649" s="45"/>
      <c r="E1649" s="45"/>
      <c r="F1649" s="45"/>
      <c r="G1649" s="45"/>
      <c r="H1649" s="45"/>
      <c r="I1649" s="45"/>
      <c r="J1649" s="45"/>
    </row>
    <row r="1650" spans="2:10" x14ac:dyDescent="0.35">
      <c r="B1650" s="45"/>
      <c r="C1650" s="45"/>
      <c r="D1650" s="45"/>
      <c r="E1650" s="45"/>
      <c r="F1650" s="45"/>
      <c r="G1650" s="45"/>
      <c r="H1650" s="45"/>
      <c r="I1650" s="45"/>
      <c r="J1650" s="45"/>
    </row>
    <row r="1651" spans="2:10" x14ac:dyDescent="0.35">
      <c r="B1651" s="45"/>
      <c r="C1651" s="45"/>
      <c r="D1651" s="45"/>
      <c r="E1651" s="45"/>
      <c r="F1651" s="45"/>
      <c r="G1651" s="45"/>
      <c r="H1651" s="45"/>
      <c r="I1651" s="45"/>
      <c r="J1651" s="45"/>
    </row>
    <row r="1652" spans="2:10" x14ac:dyDescent="0.35">
      <c r="B1652" s="45"/>
      <c r="C1652" s="45"/>
      <c r="D1652" s="45"/>
      <c r="E1652" s="45"/>
      <c r="F1652" s="45"/>
      <c r="G1652" s="45"/>
      <c r="H1652" s="45"/>
      <c r="I1652" s="45"/>
      <c r="J1652" s="45"/>
    </row>
    <row r="1653" spans="2:10" x14ac:dyDescent="0.35">
      <c r="B1653" s="45"/>
      <c r="C1653" s="45"/>
      <c r="D1653" s="45"/>
      <c r="E1653" s="45"/>
      <c r="F1653" s="45"/>
      <c r="G1653" s="45"/>
      <c r="H1653" s="45"/>
      <c r="I1653" s="45"/>
      <c r="J1653" s="45"/>
    </row>
    <row r="1654" spans="2:10" x14ac:dyDescent="0.35">
      <c r="B1654" s="45"/>
      <c r="C1654" s="45"/>
      <c r="D1654" s="45"/>
      <c r="E1654" s="45"/>
      <c r="F1654" s="45"/>
      <c r="G1654" s="45"/>
      <c r="H1654" s="45"/>
      <c r="I1654" s="45"/>
      <c r="J1654" s="45"/>
    </row>
    <row r="1655" spans="2:10" x14ac:dyDescent="0.35">
      <c r="B1655" s="45"/>
      <c r="C1655" s="45"/>
      <c r="D1655" s="45"/>
      <c r="E1655" s="45"/>
      <c r="F1655" s="45"/>
      <c r="G1655" s="45"/>
      <c r="H1655" s="45"/>
      <c r="I1655" s="45"/>
      <c r="J1655" s="45"/>
    </row>
    <row r="1656" spans="2:10" x14ac:dyDescent="0.35">
      <c r="B1656" s="45"/>
      <c r="C1656" s="45"/>
      <c r="D1656" s="45"/>
      <c r="E1656" s="45"/>
      <c r="F1656" s="45"/>
      <c r="G1656" s="45"/>
      <c r="H1656" s="45"/>
      <c r="I1656" s="45"/>
      <c r="J1656" s="45"/>
    </row>
    <row r="1657" spans="2:10" x14ac:dyDescent="0.35">
      <c r="B1657" s="45"/>
      <c r="C1657" s="45"/>
      <c r="D1657" s="45"/>
      <c r="E1657" s="45"/>
      <c r="F1657" s="45"/>
      <c r="G1657" s="45"/>
      <c r="H1657" s="45"/>
      <c r="I1657" s="45"/>
      <c r="J1657" s="45"/>
    </row>
    <row r="1658" spans="2:10" x14ac:dyDescent="0.35">
      <c r="B1658" s="45"/>
      <c r="C1658" s="45"/>
      <c r="D1658" s="45"/>
      <c r="E1658" s="45"/>
      <c r="F1658" s="45"/>
      <c r="G1658" s="45"/>
      <c r="H1658" s="45"/>
      <c r="I1658" s="45"/>
      <c r="J1658" s="45"/>
    </row>
    <row r="1659" spans="2:10" x14ac:dyDescent="0.35">
      <c r="B1659" s="45"/>
      <c r="C1659" s="45"/>
      <c r="D1659" s="45"/>
      <c r="E1659" s="45"/>
      <c r="F1659" s="45"/>
      <c r="G1659" s="45"/>
      <c r="H1659" s="45"/>
      <c r="I1659" s="45"/>
      <c r="J1659" s="45"/>
    </row>
    <row r="1660" spans="2:10" x14ac:dyDescent="0.35">
      <c r="B1660" s="45"/>
      <c r="C1660" s="45"/>
      <c r="D1660" s="45"/>
      <c r="E1660" s="45"/>
      <c r="F1660" s="45"/>
      <c r="G1660" s="45"/>
      <c r="H1660" s="45"/>
      <c r="I1660" s="45"/>
      <c r="J1660" s="45"/>
    </row>
    <row r="1661" spans="2:10" x14ac:dyDescent="0.35">
      <c r="B1661" s="45"/>
      <c r="C1661" s="45"/>
      <c r="D1661" s="45"/>
      <c r="E1661" s="45"/>
      <c r="F1661" s="45"/>
      <c r="G1661" s="45"/>
      <c r="H1661" s="45"/>
      <c r="I1661" s="45"/>
      <c r="J1661" s="45"/>
    </row>
    <row r="1662" spans="2:10" x14ac:dyDescent="0.35">
      <c r="B1662" s="45"/>
      <c r="C1662" s="45"/>
      <c r="D1662" s="45"/>
      <c r="E1662" s="45"/>
      <c r="F1662" s="45"/>
      <c r="G1662" s="45"/>
      <c r="H1662" s="45"/>
      <c r="I1662" s="45"/>
      <c r="J1662" s="45"/>
    </row>
    <row r="1663" spans="2:10" x14ac:dyDescent="0.35">
      <c r="B1663" s="45"/>
      <c r="C1663" s="45"/>
      <c r="D1663" s="45"/>
      <c r="E1663" s="45"/>
      <c r="F1663" s="45"/>
      <c r="G1663" s="45"/>
      <c r="H1663" s="45"/>
      <c r="I1663" s="45"/>
      <c r="J1663" s="45"/>
    </row>
    <row r="1664" spans="2:10" x14ac:dyDescent="0.35">
      <c r="B1664" s="45"/>
      <c r="C1664" s="45"/>
      <c r="D1664" s="45"/>
      <c r="E1664" s="45"/>
      <c r="F1664" s="45"/>
      <c r="G1664" s="45"/>
      <c r="H1664" s="45"/>
      <c r="I1664" s="45"/>
      <c r="J1664" s="45"/>
    </row>
    <row r="1665" spans="2:10" x14ac:dyDescent="0.35">
      <c r="B1665" s="45"/>
      <c r="C1665" s="45"/>
      <c r="D1665" s="45"/>
      <c r="E1665" s="45"/>
      <c r="F1665" s="45"/>
      <c r="G1665" s="45"/>
      <c r="H1665" s="45"/>
      <c r="I1665" s="45"/>
      <c r="J1665" s="45"/>
    </row>
    <row r="1666" spans="2:10" x14ac:dyDescent="0.35">
      <c r="B1666" s="45"/>
      <c r="C1666" s="45"/>
      <c r="D1666" s="45"/>
      <c r="E1666" s="45"/>
      <c r="F1666" s="45"/>
      <c r="G1666" s="45"/>
      <c r="H1666" s="45"/>
      <c r="I1666" s="45"/>
      <c r="J1666" s="45"/>
    </row>
    <row r="1667" spans="2:10" x14ac:dyDescent="0.35">
      <c r="B1667" s="45"/>
      <c r="C1667" s="45"/>
      <c r="D1667" s="45"/>
      <c r="E1667" s="45"/>
      <c r="F1667" s="45"/>
      <c r="G1667" s="45"/>
      <c r="H1667" s="45"/>
      <c r="I1667" s="45"/>
      <c r="J1667" s="45"/>
    </row>
    <row r="1668" spans="2:10" x14ac:dyDescent="0.35">
      <c r="B1668" s="45"/>
      <c r="C1668" s="45"/>
      <c r="D1668" s="45"/>
      <c r="E1668" s="45"/>
      <c r="F1668" s="45"/>
      <c r="G1668" s="45"/>
      <c r="H1668" s="45"/>
      <c r="I1668" s="45"/>
      <c r="J1668" s="45"/>
    </row>
    <row r="1669" spans="2:10" x14ac:dyDescent="0.35">
      <c r="B1669" s="45"/>
      <c r="C1669" s="45"/>
      <c r="D1669" s="45"/>
      <c r="E1669" s="45"/>
      <c r="F1669" s="45"/>
      <c r="G1669" s="45"/>
      <c r="H1669" s="45"/>
      <c r="I1669" s="45"/>
      <c r="J1669" s="45"/>
    </row>
    <row r="1670" spans="2:10" x14ac:dyDescent="0.35">
      <c r="B1670" s="45"/>
      <c r="C1670" s="45"/>
      <c r="D1670" s="45"/>
      <c r="E1670" s="45"/>
      <c r="F1670" s="45"/>
      <c r="G1670" s="45"/>
      <c r="H1670" s="45"/>
      <c r="I1670" s="45"/>
      <c r="J1670" s="45"/>
    </row>
    <row r="1671" spans="2:10" x14ac:dyDescent="0.35">
      <c r="B1671" s="45"/>
      <c r="C1671" s="45"/>
      <c r="D1671" s="45"/>
      <c r="E1671" s="45"/>
      <c r="F1671" s="45"/>
      <c r="G1671" s="45"/>
      <c r="H1671" s="45"/>
      <c r="I1671" s="45"/>
      <c r="J1671" s="45"/>
    </row>
    <row r="1672" spans="2:10" x14ac:dyDescent="0.35">
      <c r="B1672" s="45"/>
      <c r="C1672" s="45"/>
      <c r="D1672" s="45"/>
      <c r="E1672" s="45"/>
      <c r="F1672" s="45"/>
      <c r="G1672" s="45"/>
      <c r="H1672" s="45"/>
      <c r="I1672" s="45"/>
      <c r="J1672" s="45"/>
    </row>
    <row r="1673" spans="2:10" x14ac:dyDescent="0.35">
      <c r="B1673" s="45"/>
      <c r="C1673" s="45"/>
      <c r="D1673" s="45"/>
      <c r="E1673" s="45"/>
      <c r="F1673" s="45"/>
      <c r="G1673" s="45"/>
      <c r="H1673" s="45"/>
      <c r="I1673" s="45"/>
      <c r="J1673" s="45"/>
    </row>
    <row r="1674" spans="2:10" x14ac:dyDescent="0.35">
      <c r="B1674" s="45"/>
      <c r="C1674" s="45"/>
      <c r="D1674" s="45"/>
      <c r="E1674" s="45"/>
      <c r="F1674" s="45"/>
      <c r="G1674" s="45"/>
      <c r="H1674" s="45"/>
      <c r="I1674" s="45"/>
      <c r="J1674" s="45"/>
    </row>
    <row r="1675" spans="2:10" x14ac:dyDescent="0.35">
      <c r="B1675" s="45"/>
      <c r="C1675" s="45"/>
      <c r="D1675" s="45"/>
      <c r="E1675" s="45"/>
      <c r="F1675" s="45"/>
      <c r="G1675" s="45"/>
      <c r="H1675" s="45"/>
      <c r="I1675" s="45"/>
      <c r="J1675" s="45"/>
    </row>
    <row r="1676" spans="2:10" x14ac:dyDescent="0.35">
      <c r="B1676" s="45"/>
      <c r="C1676" s="45"/>
      <c r="D1676" s="45"/>
      <c r="E1676" s="45"/>
      <c r="F1676" s="45"/>
      <c r="G1676" s="45"/>
      <c r="H1676" s="45"/>
      <c r="I1676" s="45"/>
      <c r="J1676" s="45"/>
    </row>
    <row r="1677" spans="2:10" x14ac:dyDescent="0.35">
      <c r="B1677" s="45"/>
      <c r="C1677" s="45"/>
      <c r="D1677" s="45"/>
      <c r="E1677" s="45"/>
      <c r="F1677" s="45"/>
      <c r="G1677" s="45"/>
      <c r="H1677" s="45"/>
      <c r="I1677" s="45"/>
      <c r="J1677" s="45"/>
    </row>
    <row r="1678" spans="2:10" x14ac:dyDescent="0.35">
      <c r="B1678" s="45"/>
      <c r="C1678" s="45"/>
      <c r="D1678" s="45"/>
      <c r="E1678" s="45"/>
      <c r="F1678" s="45"/>
      <c r="G1678" s="45"/>
      <c r="H1678" s="45"/>
      <c r="I1678" s="45"/>
      <c r="J1678" s="45"/>
    </row>
    <row r="1679" spans="2:10" x14ac:dyDescent="0.35">
      <c r="B1679" s="45"/>
      <c r="C1679" s="45"/>
      <c r="D1679" s="45"/>
      <c r="E1679" s="45"/>
      <c r="F1679" s="45"/>
      <c r="G1679" s="45"/>
      <c r="H1679" s="45"/>
      <c r="I1679" s="45"/>
      <c r="J1679" s="45"/>
    </row>
    <row r="1680" spans="2:10" x14ac:dyDescent="0.35">
      <c r="B1680" s="45"/>
      <c r="C1680" s="45"/>
      <c r="D1680" s="45"/>
      <c r="E1680" s="45"/>
      <c r="F1680" s="45"/>
      <c r="G1680" s="45"/>
      <c r="H1680" s="45"/>
      <c r="I1680" s="45"/>
      <c r="J1680" s="45"/>
    </row>
    <row r="1681" spans="2:10" x14ac:dyDescent="0.35">
      <c r="B1681" s="45"/>
      <c r="C1681" s="45"/>
      <c r="D1681" s="45"/>
      <c r="E1681" s="45"/>
      <c r="F1681" s="45"/>
      <c r="G1681" s="45"/>
      <c r="H1681" s="45"/>
      <c r="I1681" s="45"/>
      <c r="J1681" s="45"/>
    </row>
    <row r="1682" spans="2:10" x14ac:dyDescent="0.35">
      <c r="B1682" s="45"/>
      <c r="C1682" s="45"/>
      <c r="D1682" s="45"/>
      <c r="E1682" s="45"/>
      <c r="F1682" s="45"/>
      <c r="G1682" s="45"/>
      <c r="H1682" s="45"/>
      <c r="I1682" s="45"/>
      <c r="J1682" s="45"/>
    </row>
    <row r="1683" spans="2:10" x14ac:dyDescent="0.35">
      <c r="B1683" s="45"/>
      <c r="C1683" s="45"/>
      <c r="D1683" s="45"/>
      <c r="E1683" s="45"/>
      <c r="F1683" s="45"/>
      <c r="G1683" s="45"/>
      <c r="H1683" s="45"/>
      <c r="I1683" s="45"/>
      <c r="J1683" s="45"/>
    </row>
    <row r="1684" spans="2:10" x14ac:dyDescent="0.35">
      <c r="B1684" s="45"/>
      <c r="C1684" s="45"/>
      <c r="D1684" s="45"/>
      <c r="E1684" s="45"/>
      <c r="F1684" s="45"/>
      <c r="G1684" s="45"/>
      <c r="H1684" s="45"/>
      <c r="I1684" s="45"/>
      <c r="J1684" s="45"/>
    </row>
    <row r="1685" spans="2:10" x14ac:dyDescent="0.35">
      <c r="B1685" s="45"/>
      <c r="C1685" s="45"/>
      <c r="D1685" s="45"/>
      <c r="E1685" s="45"/>
      <c r="F1685" s="45"/>
      <c r="G1685" s="45"/>
      <c r="H1685" s="45"/>
      <c r="I1685" s="45"/>
      <c r="J1685" s="45"/>
    </row>
    <row r="1686" spans="2:10" x14ac:dyDescent="0.35">
      <c r="B1686" s="45"/>
      <c r="C1686" s="45"/>
      <c r="D1686" s="45"/>
      <c r="E1686" s="45"/>
      <c r="F1686" s="45"/>
      <c r="G1686" s="45"/>
      <c r="H1686" s="45"/>
      <c r="I1686" s="45"/>
      <c r="J1686" s="45"/>
    </row>
    <row r="1687" spans="2:10" x14ac:dyDescent="0.35">
      <c r="B1687" s="45"/>
      <c r="C1687" s="45"/>
      <c r="D1687" s="45"/>
      <c r="E1687" s="45"/>
      <c r="F1687" s="45"/>
      <c r="G1687" s="45"/>
      <c r="H1687" s="45"/>
      <c r="I1687" s="45"/>
      <c r="J1687" s="45"/>
    </row>
    <row r="1688" spans="2:10" x14ac:dyDescent="0.35">
      <c r="B1688" s="45"/>
      <c r="C1688" s="45"/>
      <c r="D1688" s="45"/>
      <c r="E1688" s="45"/>
      <c r="F1688" s="45"/>
      <c r="G1688" s="45"/>
      <c r="H1688" s="45"/>
      <c r="I1688" s="45"/>
      <c r="J1688" s="45"/>
    </row>
    <row r="1689" spans="2:10" x14ac:dyDescent="0.35">
      <c r="B1689" s="45"/>
      <c r="C1689" s="45"/>
      <c r="D1689" s="45"/>
      <c r="E1689" s="45"/>
      <c r="F1689" s="45"/>
      <c r="G1689" s="45"/>
      <c r="H1689" s="45"/>
      <c r="I1689" s="45"/>
      <c r="J1689" s="45"/>
    </row>
    <row r="1690" spans="2:10" x14ac:dyDescent="0.35">
      <c r="B1690" s="45"/>
      <c r="C1690" s="45"/>
      <c r="D1690" s="45"/>
      <c r="E1690" s="45"/>
      <c r="F1690" s="45"/>
      <c r="G1690" s="45"/>
      <c r="H1690" s="45"/>
      <c r="I1690" s="45"/>
      <c r="J1690" s="45"/>
    </row>
    <row r="1691" spans="2:10" x14ac:dyDescent="0.35">
      <c r="B1691" s="45"/>
      <c r="C1691" s="45"/>
      <c r="D1691" s="45"/>
      <c r="E1691" s="45"/>
      <c r="F1691" s="45"/>
      <c r="G1691" s="45"/>
      <c r="H1691" s="45"/>
      <c r="I1691" s="45"/>
      <c r="J1691" s="45"/>
    </row>
    <row r="1692" spans="2:10" x14ac:dyDescent="0.35">
      <c r="B1692" s="45"/>
      <c r="C1692" s="45"/>
      <c r="D1692" s="45"/>
      <c r="E1692" s="45"/>
      <c r="F1692" s="45"/>
      <c r="G1692" s="45"/>
      <c r="H1692" s="45"/>
      <c r="I1692" s="45"/>
      <c r="J1692" s="45"/>
    </row>
    <row r="1693" spans="2:10" x14ac:dyDescent="0.35">
      <c r="B1693" s="45"/>
      <c r="C1693" s="45"/>
      <c r="D1693" s="45"/>
      <c r="E1693" s="45"/>
      <c r="F1693" s="45"/>
      <c r="G1693" s="45"/>
      <c r="H1693" s="45"/>
      <c r="I1693" s="45"/>
      <c r="J1693" s="45"/>
    </row>
    <row r="1694" spans="2:10" x14ac:dyDescent="0.35">
      <c r="B1694" s="45"/>
      <c r="C1694" s="45"/>
      <c r="D1694" s="45"/>
      <c r="E1694" s="45"/>
      <c r="F1694" s="45"/>
      <c r="G1694" s="45"/>
      <c r="H1694" s="45"/>
      <c r="I1694" s="45"/>
      <c r="J1694" s="45"/>
    </row>
    <row r="1695" spans="2:10" x14ac:dyDescent="0.35">
      <c r="B1695" s="45"/>
      <c r="C1695" s="45"/>
      <c r="D1695" s="45"/>
      <c r="E1695" s="45"/>
      <c r="F1695" s="45"/>
      <c r="G1695" s="45"/>
      <c r="H1695" s="45"/>
      <c r="I1695" s="45"/>
      <c r="J1695" s="45"/>
    </row>
    <row r="1696" spans="2:10" x14ac:dyDescent="0.35">
      <c r="B1696" s="45"/>
      <c r="C1696" s="45"/>
      <c r="D1696" s="45"/>
      <c r="E1696" s="45"/>
      <c r="F1696" s="45"/>
      <c r="G1696" s="45"/>
      <c r="H1696" s="45"/>
      <c r="I1696" s="45"/>
      <c r="J1696" s="45"/>
    </row>
    <row r="1697" spans="2:10" x14ac:dyDescent="0.35">
      <c r="B1697" s="45"/>
      <c r="C1697" s="45"/>
      <c r="D1697" s="45"/>
      <c r="E1697" s="45"/>
      <c r="F1697" s="45"/>
      <c r="G1697" s="45"/>
      <c r="H1697" s="45"/>
      <c r="I1697" s="45"/>
      <c r="J1697" s="45"/>
    </row>
    <row r="1698" spans="2:10" x14ac:dyDescent="0.35">
      <c r="B1698" s="45"/>
      <c r="C1698" s="45"/>
      <c r="D1698" s="45"/>
      <c r="E1698" s="45"/>
      <c r="F1698" s="45"/>
      <c r="G1698" s="45"/>
      <c r="H1698" s="45"/>
      <c r="I1698" s="45"/>
      <c r="J1698" s="45"/>
    </row>
    <row r="1699" spans="2:10" x14ac:dyDescent="0.35">
      <c r="B1699" s="45"/>
      <c r="C1699" s="45"/>
      <c r="D1699" s="45"/>
      <c r="E1699" s="45"/>
      <c r="F1699" s="45"/>
      <c r="G1699" s="45"/>
      <c r="H1699" s="45"/>
      <c r="I1699" s="45"/>
      <c r="J1699" s="45"/>
    </row>
    <row r="1700" spans="2:10" x14ac:dyDescent="0.35">
      <c r="B1700" s="45"/>
      <c r="C1700" s="45"/>
      <c r="D1700" s="45"/>
      <c r="E1700" s="45"/>
      <c r="F1700" s="45"/>
      <c r="G1700" s="45"/>
      <c r="H1700" s="45"/>
      <c r="I1700" s="45"/>
      <c r="J1700" s="45"/>
    </row>
    <row r="1701" spans="2:10" x14ac:dyDescent="0.35">
      <c r="B1701" s="45"/>
      <c r="C1701" s="45"/>
      <c r="D1701" s="45"/>
      <c r="E1701" s="45"/>
      <c r="F1701" s="45"/>
      <c r="G1701" s="45"/>
      <c r="H1701" s="45"/>
      <c r="I1701" s="45"/>
      <c r="J1701" s="45"/>
    </row>
    <row r="1702" spans="2:10" x14ac:dyDescent="0.35">
      <c r="B1702" s="45"/>
      <c r="C1702" s="45"/>
      <c r="D1702" s="45"/>
      <c r="E1702" s="45"/>
      <c r="F1702" s="45"/>
      <c r="G1702" s="45"/>
      <c r="H1702" s="45"/>
      <c r="I1702" s="45"/>
      <c r="J1702" s="45"/>
    </row>
    <row r="1703" spans="2:10" x14ac:dyDescent="0.35">
      <c r="B1703" s="45"/>
      <c r="C1703" s="45"/>
      <c r="D1703" s="45"/>
      <c r="E1703" s="45"/>
      <c r="F1703" s="45"/>
      <c r="G1703" s="45"/>
      <c r="H1703" s="45"/>
      <c r="I1703" s="45"/>
      <c r="J1703" s="45"/>
    </row>
    <row r="1704" spans="2:10" x14ac:dyDescent="0.35">
      <c r="B1704" s="45"/>
      <c r="C1704" s="45"/>
      <c r="D1704" s="45"/>
      <c r="E1704" s="45"/>
      <c r="F1704" s="45"/>
      <c r="G1704" s="45"/>
      <c r="H1704" s="45"/>
      <c r="I1704" s="45"/>
      <c r="J1704" s="45"/>
    </row>
    <row r="1705" spans="2:10" x14ac:dyDescent="0.35">
      <c r="B1705" s="45"/>
      <c r="C1705" s="45"/>
      <c r="D1705" s="45"/>
      <c r="E1705" s="45"/>
      <c r="F1705" s="45"/>
      <c r="G1705" s="45"/>
      <c r="H1705" s="45"/>
      <c r="I1705" s="45"/>
      <c r="J1705" s="45"/>
    </row>
    <row r="1706" spans="2:10" x14ac:dyDescent="0.35">
      <c r="B1706" s="45"/>
      <c r="C1706" s="45"/>
      <c r="D1706" s="45"/>
      <c r="E1706" s="45"/>
      <c r="F1706" s="45"/>
      <c r="G1706" s="45"/>
      <c r="H1706" s="45"/>
      <c r="I1706" s="45"/>
      <c r="J1706" s="45"/>
    </row>
    <row r="1707" spans="2:10" x14ac:dyDescent="0.35">
      <c r="B1707" s="45"/>
      <c r="C1707" s="45"/>
      <c r="D1707" s="45"/>
      <c r="E1707" s="45"/>
      <c r="F1707" s="45"/>
      <c r="G1707" s="45"/>
      <c r="H1707" s="45"/>
      <c r="I1707" s="45"/>
      <c r="J1707" s="45"/>
    </row>
    <row r="1708" spans="2:10" x14ac:dyDescent="0.35">
      <c r="B1708" s="45"/>
      <c r="C1708" s="45"/>
      <c r="D1708" s="45"/>
      <c r="E1708" s="45"/>
      <c r="F1708" s="45"/>
      <c r="G1708" s="45"/>
      <c r="H1708" s="45"/>
      <c r="I1708" s="45"/>
      <c r="J1708" s="45"/>
    </row>
    <row r="1709" spans="2:10" x14ac:dyDescent="0.35">
      <c r="B1709" s="45"/>
      <c r="C1709" s="45"/>
      <c r="D1709" s="45"/>
      <c r="E1709" s="45"/>
      <c r="F1709" s="45"/>
      <c r="G1709" s="45"/>
      <c r="H1709" s="45"/>
      <c r="I1709" s="45"/>
      <c r="J1709" s="45"/>
    </row>
    <row r="1710" spans="2:10" x14ac:dyDescent="0.35">
      <c r="B1710" s="45"/>
      <c r="C1710" s="45"/>
      <c r="D1710" s="45"/>
      <c r="E1710" s="45"/>
      <c r="F1710" s="45"/>
      <c r="G1710" s="45"/>
      <c r="H1710" s="45"/>
      <c r="I1710" s="45"/>
      <c r="J1710" s="45"/>
    </row>
    <row r="1711" spans="2:10" x14ac:dyDescent="0.35">
      <c r="B1711" s="45"/>
      <c r="C1711" s="45"/>
      <c r="D1711" s="45"/>
      <c r="E1711" s="45"/>
      <c r="F1711" s="45"/>
      <c r="G1711" s="45"/>
      <c r="H1711" s="45"/>
      <c r="I1711" s="45"/>
      <c r="J1711" s="45"/>
    </row>
    <row r="1712" spans="2:10" x14ac:dyDescent="0.35">
      <c r="B1712" s="45"/>
      <c r="C1712" s="45"/>
      <c r="D1712" s="45"/>
      <c r="E1712" s="45"/>
      <c r="F1712" s="45"/>
      <c r="G1712" s="45"/>
      <c r="H1712" s="45"/>
      <c r="I1712" s="45"/>
      <c r="J1712" s="45"/>
    </row>
    <row r="1713" spans="2:10" x14ac:dyDescent="0.35">
      <c r="B1713" s="45"/>
      <c r="C1713" s="45"/>
      <c r="D1713" s="45"/>
      <c r="E1713" s="45"/>
      <c r="F1713" s="45"/>
      <c r="G1713" s="45"/>
      <c r="H1713" s="45"/>
      <c r="I1713" s="45"/>
      <c r="J1713" s="45"/>
    </row>
    <row r="1714" spans="2:10" x14ac:dyDescent="0.35">
      <c r="B1714" s="45"/>
      <c r="C1714" s="45"/>
      <c r="D1714" s="45"/>
      <c r="E1714" s="45"/>
      <c r="F1714" s="45"/>
      <c r="G1714" s="45"/>
      <c r="H1714" s="45"/>
      <c r="I1714" s="45"/>
      <c r="J1714" s="45"/>
    </row>
    <row r="1715" spans="2:10" x14ac:dyDescent="0.35">
      <c r="B1715" s="45"/>
      <c r="C1715" s="45"/>
      <c r="D1715" s="45"/>
      <c r="E1715" s="45"/>
      <c r="F1715" s="45"/>
      <c r="G1715" s="45"/>
      <c r="H1715" s="45"/>
      <c r="I1715" s="45"/>
      <c r="J1715" s="45"/>
    </row>
    <row r="1716" spans="2:10" x14ac:dyDescent="0.35">
      <c r="B1716" s="45"/>
      <c r="C1716" s="45"/>
      <c r="D1716" s="45"/>
      <c r="E1716" s="45"/>
      <c r="F1716" s="45"/>
      <c r="G1716" s="45"/>
      <c r="H1716" s="45"/>
      <c r="I1716" s="45"/>
      <c r="J1716" s="45"/>
    </row>
    <row r="1717" spans="2:10" x14ac:dyDescent="0.35">
      <c r="B1717" s="45"/>
      <c r="C1717" s="45"/>
      <c r="D1717" s="45"/>
      <c r="E1717" s="45"/>
      <c r="F1717" s="45"/>
      <c r="G1717" s="45"/>
      <c r="H1717" s="45"/>
      <c r="I1717" s="45"/>
      <c r="J1717" s="45"/>
    </row>
    <row r="1718" spans="2:10" x14ac:dyDescent="0.35">
      <c r="B1718" s="45"/>
      <c r="C1718" s="45"/>
      <c r="D1718" s="45"/>
      <c r="E1718" s="45"/>
      <c r="F1718" s="45"/>
      <c r="G1718" s="45"/>
      <c r="H1718" s="45"/>
      <c r="I1718" s="45"/>
      <c r="J1718" s="45"/>
    </row>
    <row r="1719" spans="2:10" x14ac:dyDescent="0.35">
      <c r="B1719" s="45"/>
      <c r="C1719" s="45"/>
      <c r="D1719" s="45"/>
      <c r="E1719" s="45"/>
      <c r="F1719" s="45"/>
      <c r="G1719" s="45"/>
      <c r="H1719" s="45"/>
      <c r="I1719" s="45"/>
      <c r="J1719" s="45"/>
    </row>
    <row r="1720" spans="2:10" x14ac:dyDescent="0.35">
      <c r="B1720" s="45"/>
      <c r="C1720" s="45"/>
      <c r="D1720" s="45"/>
      <c r="E1720" s="45"/>
      <c r="F1720" s="45"/>
      <c r="G1720" s="45"/>
      <c r="H1720" s="45"/>
      <c r="I1720" s="45"/>
      <c r="J1720" s="45"/>
    </row>
    <row r="1721" spans="2:10" x14ac:dyDescent="0.35">
      <c r="B1721" s="45"/>
      <c r="C1721" s="45"/>
      <c r="D1721" s="45"/>
      <c r="E1721" s="45"/>
      <c r="F1721" s="45"/>
      <c r="G1721" s="45"/>
      <c r="H1721" s="45"/>
      <c r="I1721" s="45"/>
      <c r="J1721" s="45"/>
    </row>
    <row r="1722" spans="2:10" x14ac:dyDescent="0.35">
      <c r="B1722" s="45"/>
      <c r="C1722" s="45"/>
      <c r="D1722" s="45"/>
      <c r="E1722" s="45"/>
      <c r="F1722" s="45"/>
      <c r="G1722" s="45"/>
      <c r="H1722" s="45"/>
      <c r="I1722" s="45"/>
      <c r="J1722" s="45"/>
    </row>
    <row r="1723" spans="2:10" x14ac:dyDescent="0.35">
      <c r="B1723" s="45"/>
      <c r="C1723" s="45"/>
      <c r="D1723" s="45"/>
      <c r="E1723" s="45"/>
      <c r="F1723" s="45"/>
      <c r="G1723" s="45"/>
      <c r="H1723" s="45"/>
      <c r="I1723" s="45"/>
      <c r="J1723" s="45"/>
    </row>
    <row r="1724" spans="2:10" x14ac:dyDescent="0.35">
      <c r="B1724" s="45"/>
      <c r="C1724" s="45"/>
      <c r="D1724" s="45"/>
      <c r="E1724" s="45"/>
      <c r="F1724" s="45"/>
      <c r="G1724" s="45"/>
      <c r="H1724" s="45"/>
      <c r="I1724" s="45"/>
      <c r="J1724" s="45"/>
    </row>
    <row r="1725" spans="2:10" x14ac:dyDescent="0.35">
      <c r="B1725" s="45"/>
      <c r="C1725" s="45"/>
      <c r="D1725" s="45"/>
      <c r="E1725" s="45"/>
      <c r="F1725" s="45"/>
      <c r="G1725" s="45"/>
      <c r="H1725" s="45"/>
      <c r="I1725" s="45"/>
      <c r="J1725" s="45"/>
    </row>
    <row r="1726" spans="2:10" x14ac:dyDescent="0.35">
      <c r="B1726" s="45"/>
      <c r="C1726" s="45"/>
      <c r="D1726" s="45"/>
      <c r="E1726" s="45"/>
      <c r="F1726" s="45"/>
      <c r="G1726" s="45"/>
      <c r="H1726" s="45"/>
      <c r="I1726" s="45"/>
      <c r="J1726" s="45"/>
    </row>
    <row r="1727" spans="2:10" x14ac:dyDescent="0.35">
      <c r="B1727" s="45"/>
      <c r="C1727" s="45"/>
      <c r="D1727" s="45"/>
      <c r="E1727" s="45"/>
      <c r="F1727" s="45"/>
      <c r="G1727" s="45"/>
      <c r="H1727" s="45"/>
      <c r="I1727" s="45"/>
      <c r="J1727" s="45"/>
    </row>
    <row r="1728" spans="2:10" x14ac:dyDescent="0.35">
      <c r="B1728" s="45"/>
      <c r="C1728" s="45"/>
      <c r="D1728" s="45"/>
      <c r="E1728" s="45"/>
      <c r="F1728" s="45"/>
      <c r="G1728" s="45"/>
      <c r="H1728" s="45"/>
      <c r="I1728" s="45"/>
      <c r="J1728" s="45"/>
    </row>
    <row r="1729" spans="2:10" x14ac:dyDescent="0.35">
      <c r="B1729" s="45"/>
      <c r="C1729" s="45"/>
      <c r="D1729" s="45"/>
      <c r="E1729" s="45"/>
      <c r="F1729" s="45"/>
      <c r="G1729" s="45"/>
      <c r="H1729" s="45"/>
      <c r="I1729" s="45"/>
      <c r="J1729" s="45"/>
    </row>
    <row r="1730" spans="2:10" x14ac:dyDescent="0.35">
      <c r="B1730" s="45"/>
      <c r="C1730" s="45"/>
      <c r="D1730" s="45"/>
      <c r="E1730" s="45"/>
      <c r="F1730" s="45"/>
      <c r="G1730" s="45"/>
      <c r="H1730" s="45"/>
      <c r="I1730" s="45"/>
      <c r="J1730" s="45"/>
    </row>
    <row r="1731" spans="2:10" x14ac:dyDescent="0.35">
      <c r="B1731" s="45"/>
      <c r="C1731" s="45"/>
      <c r="D1731" s="45"/>
      <c r="E1731" s="45"/>
      <c r="F1731" s="45"/>
      <c r="G1731" s="45"/>
      <c r="H1731" s="45"/>
      <c r="I1731" s="45"/>
      <c r="J1731" s="45"/>
    </row>
    <row r="1732" spans="2:10" x14ac:dyDescent="0.35">
      <c r="B1732" s="45"/>
      <c r="C1732" s="45"/>
      <c r="D1732" s="45"/>
      <c r="E1732" s="45"/>
      <c r="F1732" s="45"/>
      <c r="G1732" s="45"/>
      <c r="H1732" s="45"/>
      <c r="I1732" s="45"/>
      <c r="J1732" s="45"/>
    </row>
    <row r="1733" spans="2:10" x14ac:dyDescent="0.35">
      <c r="B1733" s="45"/>
      <c r="C1733" s="45"/>
      <c r="D1733" s="45"/>
      <c r="E1733" s="45"/>
      <c r="F1733" s="45"/>
      <c r="G1733" s="45"/>
      <c r="H1733" s="45"/>
      <c r="I1733" s="45"/>
      <c r="J1733" s="45"/>
    </row>
    <row r="1734" spans="2:10" x14ac:dyDescent="0.35">
      <c r="B1734" s="45"/>
      <c r="C1734" s="45"/>
      <c r="D1734" s="45"/>
      <c r="E1734" s="45"/>
      <c r="F1734" s="45"/>
      <c r="G1734" s="45"/>
      <c r="H1734" s="45"/>
      <c r="I1734" s="45"/>
      <c r="J1734" s="45"/>
    </row>
    <row r="1735" spans="2:10" x14ac:dyDescent="0.35">
      <c r="B1735" s="45"/>
      <c r="C1735" s="45"/>
      <c r="D1735" s="45"/>
      <c r="E1735" s="45"/>
      <c r="F1735" s="45"/>
      <c r="G1735" s="45"/>
      <c r="H1735" s="45"/>
      <c r="I1735" s="45"/>
      <c r="J1735" s="45"/>
    </row>
    <row r="1736" spans="2:10" x14ac:dyDescent="0.35">
      <c r="B1736" s="45"/>
      <c r="C1736" s="45"/>
      <c r="D1736" s="45"/>
      <c r="E1736" s="45"/>
      <c r="F1736" s="45"/>
      <c r="G1736" s="45"/>
      <c r="H1736" s="45"/>
      <c r="I1736" s="45"/>
      <c r="J1736" s="45"/>
    </row>
    <row r="1737" spans="2:10" x14ac:dyDescent="0.35">
      <c r="B1737" s="45"/>
      <c r="C1737" s="45"/>
      <c r="D1737" s="45"/>
      <c r="E1737" s="45"/>
      <c r="F1737" s="45"/>
      <c r="G1737" s="45"/>
      <c r="H1737" s="45"/>
      <c r="I1737" s="45"/>
      <c r="J1737" s="45"/>
    </row>
    <row r="1738" spans="2:10" x14ac:dyDescent="0.35">
      <c r="B1738" s="45"/>
      <c r="C1738" s="45"/>
      <c r="D1738" s="45"/>
      <c r="E1738" s="45"/>
      <c r="F1738" s="45"/>
      <c r="G1738" s="45"/>
      <c r="H1738" s="45"/>
      <c r="I1738" s="45"/>
      <c r="J1738" s="45"/>
    </row>
    <row r="1739" spans="2:10" x14ac:dyDescent="0.35">
      <c r="B1739" s="45"/>
      <c r="C1739" s="45"/>
      <c r="D1739" s="45"/>
      <c r="E1739" s="45"/>
      <c r="F1739" s="45"/>
      <c r="G1739" s="45"/>
      <c r="H1739" s="45"/>
      <c r="I1739" s="45"/>
      <c r="J1739" s="45"/>
    </row>
    <row r="1740" spans="2:10" x14ac:dyDescent="0.35">
      <c r="B1740" s="45"/>
      <c r="C1740" s="45"/>
      <c r="D1740" s="45"/>
      <c r="E1740" s="45"/>
      <c r="F1740" s="45"/>
      <c r="G1740" s="45"/>
      <c r="H1740" s="45"/>
      <c r="I1740" s="45"/>
      <c r="J1740" s="45"/>
    </row>
    <row r="1741" spans="2:10" x14ac:dyDescent="0.35">
      <c r="B1741" s="45"/>
      <c r="C1741" s="45"/>
      <c r="D1741" s="45"/>
      <c r="E1741" s="45"/>
      <c r="F1741" s="45"/>
      <c r="G1741" s="45"/>
      <c r="H1741" s="45"/>
      <c r="I1741" s="45"/>
      <c r="J1741" s="45"/>
    </row>
    <row r="1742" spans="2:10" x14ac:dyDescent="0.35">
      <c r="B1742" s="45"/>
      <c r="C1742" s="45"/>
      <c r="D1742" s="45"/>
      <c r="E1742" s="45"/>
      <c r="F1742" s="45"/>
      <c r="G1742" s="45"/>
      <c r="H1742" s="45"/>
      <c r="I1742" s="45"/>
      <c r="J1742" s="45"/>
    </row>
    <row r="1743" spans="2:10" x14ac:dyDescent="0.35">
      <c r="B1743" s="45"/>
      <c r="C1743" s="45"/>
      <c r="D1743" s="45"/>
      <c r="E1743" s="45"/>
      <c r="F1743" s="45"/>
      <c r="G1743" s="45"/>
      <c r="H1743" s="45"/>
      <c r="I1743" s="45"/>
      <c r="J1743" s="45"/>
    </row>
    <row r="1744" spans="2:10" x14ac:dyDescent="0.35">
      <c r="B1744" s="45"/>
      <c r="C1744" s="45"/>
      <c r="D1744" s="45"/>
      <c r="E1744" s="45"/>
      <c r="F1744" s="45"/>
      <c r="G1744" s="45"/>
      <c r="H1744" s="45"/>
      <c r="I1744" s="45"/>
      <c r="J1744" s="45"/>
    </row>
    <row r="1745" spans="2:10" x14ac:dyDescent="0.35">
      <c r="B1745" s="45"/>
      <c r="C1745" s="45"/>
      <c r="D1745" s="45"/>
      <c r="E1745" s="45"/>
      <c r="F1745" s="45"/>
      <c r="G1745" s="45"/>
      <c r="H1745" s="45"/>
      <c r="I1745" s="45"/>
      <c r="J1745" s="45"/>
    </row>
    <row r="1746" spans="2:10" x14ac:dyDescent="0.35">
      <c r="B1746" s="45"/>
      <c r="C1746" s="45"/>
      <c r="D1746" s="45"/>
      <c r="E1746" s="45"/>
      <c r="F1746" s="45"/>
      <c r="G1746" s="45"/>
      <c r="H1746" s="45"/>
      <c r="I1746" s="45"/>
      <c r="J1746" s="45"/>
    </row>
    <row r="1747" spans="2:10" x14ac:dyDescent="0.35">
      <c r="B1747" s="45"/>
      <c r="C1747" s="45"/>
      <c r="D1747" s="45"/>
      <c r="E1747" s="45"/>
      <c r="F1747" s="45"/>
      <c r="G1747" s="45"/>
      <c r="H1747" s="45"/>
      <c r="I1747" s="45"/>
      <c r="J1747" s="45"/>
    </row>
    <row r="1748" spans="2:10" x14ac:dyDescent="0.35">
      <c r="B1748" s="45"/>
      <c r="C1748" s="45"/>
      <c r="D1748" s="45"/>
      <c r="E1748" s="45"/>
      <c r="F1748" s="45"/>
      <c r="G1748" s="45"/>
      <c r="H1748" s="45"/>
      <c r="I1748" s="45"/>
      <c r="J1748" s="45"/>
    </row>
    <row r="1749" spans="2:10" x14ac:dyDescent="0.35">
      <c r="B1749" s="45"/>
      <c r="C1749" s="45"/>
      <c r="D1749" s="45"/>
      <c r="E1749" s="45"/>
      <c r="F1749" s="45"/>
      <c r="G1749" s="45"/>
      <c r="H1749" s="45"/>
      <c r="I1749" s="45"/>
      <c r="J1749" s="45"/>
    </row>
    <row r="1750" spans="2:10" x14ac:dyDescent="0.35">
      <c r="B1750" s="45"/>
      <c r="C1750" s="45"/>
      <c r="D1750" s="45"/>
      <c r="E1750" s="45"/>
      <c r="F1750" s="45"/>
      <c r="G1750" s="45"/>
      <c r="H1750" s="45"/>
      <c r="I1750" s="45"/>
      <c r="J1750" s="45"/>
    </row>
    <row r="1751" spans="2:10" x14ac:dyDescent="0.35">
      <c r="B1751" s="45"/>
      <c r="C1751" s="45"/>
      <c r="D1751" s="45"/>
      <c r="E1751" s="45"/>
      <c r="F1751" s="45"/>
      <c r="G1751" s="45"/>
      <c r="H1751" s="45"/>
      <c r="I1751" s="45"/>
      <c r="J1751" s="45"/>
    </row>
    <row r="1752" spans="2:10" x14ac:dyDescent="0.35">
      <c r="B1752" s="45"/>
      <c r="C1752" s="45"/>
      <c r="D1752" s="45"/>
      <c r="E1752" s="45"/>
      <c r="F1752" s="45"/>
      <c r="G1752" s="45"/>
      <c r="H1752" s="45"/>
      <c r="I1752" s="45"/>
      <c r="J1752" s="45"/>
    </row>
    <row r="1753" spans="2:10" x14ac:dyDescent="0.35">
      <c r="B1753" s="45"/>
      <c r="C1753" s="45"/>
      <c r="D1753" s="45"/>
      <c r="E1753" s="45"/>
      <c r="F1753" s="45"/>
      <c r="G1753" s="45"/>
      <c r="H1753" s="45"/>
      <c r="I1753" s="45"/>
      <c r="J1753" s="45"/>
    </row>
    <row r="1754" spans="2:10" x14ac:dyDescent="0.35">
      <c r="B1754" s="45"/>
      <c r="C1754" s="45"/>
      <c r="D1754" s="45"/>
      <c r="E1754" s="45"/>
      <c r="F1754" s="45"/>
      <c r="G1754" s="45"/>
      <c r="H1754" s="45"/>
      <c r="I1754" s="45"/>
      <c r="J1754" s="45"/>
    </row>
    <row r="1755" spans="2:10" x14ac:dyDescent="0.35">
      <c r="B1755" s="45"/>
      <c r="C1755" s="45"/>
      <c r="D1755" s="45"/>
      <c r="E1755" s="45"/>
      <c r="F1755" s="45"/>
      <c r="G1755" s="45"/>
      <c r="H1755" s="45"/>
      <c r="I1755" s="45"/>
      <c r="J1755" s="45"/>
    </row>
    <row r="1756" spans="2:10" x14ac:dyDescent="0.35">
      <c r="B1756" s="45"/>
      <c r="C1756" s="45"/>
      <c r="D1756" s="45"/>
      <c r="E1756" s="45"/>
      <c r="F1756" s="45"/>
      <c r="G1756" s="45"/>
      <c r="H1756" s="45"/>
      <c r="I1756" s="45"/>
      <c r="J1756" s="45"/>
    </row>
    <row r="1757" spans="2:10" x14ac:dyDescent="0.35">
      <c r="B1757" s="45"/>
      <c r="C1757" s="45"/>
      <c r="D1757" s="45"/>
      <c r="E1757" s="45"/>
      <c r="F1757" s="45"/>
      <c r="G1757" s="45"/>
      <c r="H1757" s="45"/>
      <c r="I1757" s="45"/>
      <c r="J1757" s="45"/>
    </row>
    <row r="1758" spans="2:10" x14ac:dyDescent="0.35">
      <c r="B1758" s="45"/>
      <c r="C1758" s="45"/>
      <c r="D1758" s="45"/>
      <c r="E1758" s="45"/>
      <c r="F1758" s="45"/>
      <c r="G1758" s="45"/>
      <c r="H1758" s="45"/>
      <c r="I1758" s="45"/>
      <c r="J1758" s="45"/>
    </row>
    <row r="1759" spans="2:10" x14ac:dyDescent="0.35">
      <c r="B1759" s="45"/>
      <c r="C1759" s="45"/>
      <c r="D1759" s="45"/>
      <c r="E1759" s="45"/>
      <c r="F1759" s="45"/>
      <c r="G1759" s="45"/>
      <c r="H1759" s="45"/>
      <c r="I1759" s="45"/>
      <c r="J1759" s="45"/>
    </row>
    <row r="1760" spans="2:10" x14ac:dyDescent="0.35">
      <c r="B1760" s="45"/>
      <c r="C1760" s="45"/>
      <c r="D1760" s="45"/>
      <c r="E1760" s="45"/>
      <c r="F1760" s="45"/>
      <c r="G1760" s="45"/>
      <c r="H1760" s="45"/>
      <c r="I1760" s="45"/>
      <c r="J1760" s="45"/>
    </row>
    <row r="1761" spans="2:10" x14ac:dyDescent="0.35">
      <c r="B1761" s="45"/>
      <c r="C1761" s="45"/>
      <c r="D1761" s="45"/>
      <c r="E1761" s="45"/>
      <c r="F1761" s="45"/>
      <c r="G1761" s="45"/>
      <c r="H1761" s="45"/>
      <c r="I1761" s="45"/>
      <c r="J1761" s="45"/>
    </row>
    <row r="1762" spans="2:10" x14ac:dyDescent="0.35">
      <c r="B1762" s="45"/>
      <c r="C1762" s="45"/>
      <c r="D1762" s="45"/>
      <c r="E1762" s="45"/>
      <c r="F1762" s="45"/>
      <c r="G1762" s="45"/>
      <c r="H1762" s="45"/>
      <c r="I1762" s="45"/>
      <c r="J1762" s="45"/>
    </row>
    <row r="1763" spans="2:10" x14ac:dyDescent="0.35">
      <c r="B1763" s="45"/>
      <c r="C1763" s="45"/>
      <c r="D1763" s="45"/>
      <c r="E1763" s="45"/>
      <c r="F1763" s="45"/>
      <c r="G1763" s="45"/>
      <c r="H1763" s="45"/>
      <c r="I1763" s="45"/>
      <c r="J1763" s="45"/>
    </row>
    <row r="1764" spans="2:10" x14ac:dyDescent="0.35">
      <c r="B1764" s="45"/>
      <c r="C1764" s="45"/>
      <c r="D1764" s="45"/>
      <c r="E1764" s="45"/>
      <c r="F1764" s="45"/>
      <c r="G1764" s="45"/>
      <c r="H1764" s="45"/>
      <c r="I1764" s="45"/>
      <c r="J1764" s="45"/>
    </row>
    <row r="1765" spans="2:10" x14ac:dyDescent="0.35">
      <c r="B1765" s="45"/>
      <c r="C1765" s="45"/>
      <c r="D1765" s="45"/>
      <c r="E1765" s="45"/>
      <c r="F1765" s="45"/>
      <c r="G1765" s="45"/>
      <c r="H1765" s="45"/>
      <c r="I1765" s="45"/>
      <c r="J1765" s="45"/>
    </row>
    <row r="1766" spans="2:10" x14ac:dyDescent="0.35">
      <c r="B1766" s="45"/>
      <c r="C1766" s="45"/>
      <c r="D1766" s="45"/>
      <c r="E1766" s="45"/>
      <c r="F1766" s="45"/>
      <c r="G1766" s="45"/>
      <c r="H1766" s="45"/>
      <c r="I1766" s="45"/>
      <c r="J1766" s="45"/>
    </row>
    <row r="1767" spans="2:10" x14ac:dyDescent="0.35">
      <c r="B1767" s="45"/>
      <c r="C1767" s="45"/>
      <c r="D1767" s="45"/>
      <c r="E1767" s="45"/>
      <c r="F1767" s="45"/>
      <c r="G1767" s="45"/>
      <c r="H1767" s="45"/>
      <c r="I1767" s="45"/>
      <c r="J1767" s="45"/>
    </row>
    <row r="1768" spans="2:10" x14ac:dyDescent="0.35">
      <c r="B1768" s="45"/>
      <c r="C1768" s="45"/>
      <c r="D1768" s="45"/>
      <c r="E1768" s="45"/>
      <c r="F1768" s="45"/>
      <c r="G1768" s="45"/>
      <c r="H1768" s="45"/>
      <c r="I1768" s="45"/>
      <c r="J1768" s="45"/>
    </row>
    <row r="1769" spans="2:10" x14ac:dyDescent="0.35">
      <c r="B1769" s="45"/>
      <c r="C1769" s="45"/>
      <c r="D1769" s="45"/>
      <c r="E1769" s="45"/>
      <c r="F1769" s="45"/>
      <c r="G1769" s="45"/>
      <c r="H1769" s="45"/>
      <c r="I1769" s="45"/>
      <c r="J1769" s="45"/>
    </row>
    <row r="1770" spans="2:10" x14ac:dyDescent="0.35">
      <c r="B1770" s="45"/>
      <c r="C1770" s="45"/>
      <c r="D1770" s="45"/>
      <c r="E1770" s="45"/>
      <c r="F1770" s="45"/>
      <c r="G1770" s="45"/>
      <c r="H1770" s="45"/>
      <c r="I1770" s="45"/>
      <c r="J1770" s="45"/>
    </row>
    <row r="1771" spans="2:10" x14ac:dyDescent="0.35">
      <c r="B1771" s="45"/>
      <c r="C1771" s="45"/>
      <c r="D1771" s="45"/>
      <c r="E1771" s="45"/>
      <c r="F1771" s="45"/>
      <c r="G1771" s="45"/>
      <c r="H1771" s="45"/>
      <c r="I1771" s="45"/>
      <c r="J1771" s="45"/>
    </row>
    <row r="1772" spans="2:10" x14ac:dyDescent="0.35">
      <c r="B1772" s="45"/>
      <c r="C1772" s="45"/>
      <c r="D1772" s="45"/>
      <c r="E1772" s="45"/>
      <c r="F1772" s="45"/>
      <c r="G1772" s="45"/>
      <c r="H1772" s="45"/>
      <c r="I1772" s="45"/>
      <c r="J1772" s="45"/>
    </row>
    <row r="1773" spans="2:10" x14ac:dyDescent="0.35">
      <c r="B1773" s="45"/>
      <c r="C1773" s="45"/>
      <c r="D1773" s="45"/>
      <c r="E1773" s="45"/>
      <c r="F1773" s="45"/>
      <c r="G1773" s="45"/>
      <c r="H1773" s="45"/>
      <c r="I1773" s="45"/>
      <c r="J1773" s="45"/>
    </row>
    <row r="1774" spans="2:10" x14ac:dyDescent="0.35">
      <c r="B1774" s="45"/>
      <c r="C1774" s="45"/>
      <c r="D1774" s="45"/>
      <c r="E1774" s="45"/>
      <c r="F1774" s="45"/>
      <c r="G1774" s="45"/>
      <c r="H1774" s="45"/>
      <c r="I1774" s="45"/>
      <c r="J1774" s="45"/>
    </row>
    <row r="1775" spans="2:10" x14ac:dyDescent="0.35">
      <c r="B1775" s="45"/>
      <c r="C1775" s="45"/>
      <c r="D1775" s="45"/>
      <c r="E1775" s="45"/>
      <c r="F1775" s="45"/>
      <c r="G1775" s="45"/>
      <c r="H1775" s="45"/>
      <c r="I1775" s="45"/>
      <c r="J1775" s="45"/>
    </row>
    <row r="1776" spans="2:10" x14ac:dyDescent="0.35">
      <c r="B1776" s="45"/>
      <c r="C1776" s="45"/>
      <c r="D1776" s="45"/>
      <c r="E1776" s="45"/>
      <c r="F1776" s="45"/>
      <c r="G1776" s="45"/>
      <c r="H1776" s="45"/>
      <c r="I1776" s="45"/>
      <c r="J1776" s="45"/>
    </row>
    <row r="1777" spans="2:10" x14ac:dyDescent="0.35">
      <c r="B1777" s="45"/>
      <c r="C1777" s="45"/>
      <c r="D1777" s="45"/>
      <c r="E1777" s="45"/>
      <c r="F1777" s="45"/>
      <c r="G1777" s="45"/>
      <c r="H1777" s="45"/>
      <c r="I1777" s="45"/>
      <c r="J1777" s="45"/>
    </row>
    <row r="1778" spans="2:10" x14ac:dyDescent="0.35">
      <c r="B1778" s="45"/>
      <c r="C1778" s="45"/>
      <c r="D1778" s="45"/>
      <c r="E1778" s="45"/>
      <c r="F1778" s="45"/>
      <c r="G1778" s="45"/>
      <c r="H1778" s="45"/>
      <c r="I1778" s="45"/>
      <c r="J1778" s="45"/>
    </row>
    <row r="1779" spans="2:10" x14ac:dyDescent="0.35">
      <c r="B1779" s="45"/>
      <c r="C1779" s="45"/>
      <c r="D1779" s="45"/>
      <c r="E1779" s="45"/>
      <c r="F1779" s="45"/>
      <c r="G1779" s="45"/>
      <c r="H1779" s="45"/>
      <c r="I1779" s="45"/>
      <c r="J1779" s="45"/>
    </row>
    <row r="1780" spans="2:10" x14ac:dyDescent="0.35">
      <c r="B1780" s="45"/>
      <c r="C1780" s="45"/>
      <c r="D1780" s="45"/>
      <c r="E1780" s="45"/>
      <c r="F1780" s="45"/>
      <c r="G1780" s="45"/>
      <c r="H1780" s="45"/>
      <c r="I1780" s="45"/>
      <c r="J1780" s="45"/>
    </row>
    <row r="1781" spans="2:10" x14ac:dyDescent="0.35">
      <c r="B1781" s="45"/>
      <c r="C1781" s="45"/>
      <c r="D1781" s="45"/>
      <c r="E1781" s="45"/>
      <c r="F1781" s="45"/>
      <c r="G1781" s="45"/>
      <c r="H1781" s="45"/>
      <c r="I1781" s="45"/>
      <c r="J1781" s="45"/>
    </row>
    <row r="1782" spans="2:10" x14ac:dyDescent="0.35">
      <c r="B1782" s="45"/>
      <c r="C1782" s="45"/>
      <c r="D1782" s="45"/>
      <c r="E1782" s="45"/>
      <c r="F1782" s="45"/>
      <c r="G1782" s="45"/>
      <c r="H1782" s="45"/>
      <c r="I1782" s="45"/>
      <c r="J1782" s="45"/>
    </row>
    <row r="1783" spans="2:10" x14ac:dyDescent="0.35">
      <c r="B1783" s="45"/>
      <c r="C1783" s="45"/>
      <c r="D1783" s="45"/>
      <c r="E1783" s="45"/>
      <c r="F1783" s="45"/>
      <c r="G1783" s="45"/>
      <c r="H1783" s="45"/>
      <c r="I1783" s="45"/>
      <c r="J1783" s="45"/>
    </row>
    <row r="1784" spans="2:10" x14ac:dyDescent="0.35">
      <c r="B1784" s="45"/>
      <c r="C1784" s="45"/>
      <c r="D1784" s="45"/>
      <c r="E1784" s="45"/>
      <c r="F1784" s="45"/>
      <c r="G1784" s="45"/>
      <c r="H1784" s="45"/>
      <c r="I1784" s="45"/>
      <c r="J1784" s="45"/>
    </row>
    <row r="1785" spans="2:10" x14ac:dyDescent="0.35">
      <c r="B1785" s="45"/>
      <c r="C1785" s="45"/>
      <c r="D1785" s="45"/>
      <c r="E1785" s="45"/>
      <c r="F1785" s="45"/>
      <c r="G1785" s="45"/>
      <c r="H1785" s="45"/>
      <c r="I1785" s="45"/>
      <c r="J1785" s="45"/>
    </row>
    <row r="1786" spans="2:10" x14ac:dyDescent="0.35">
      <c r="B1786" s="45"/>
      <c r="C1786" s="45"/>
      <c r="D1786" s="45"/>
      <c r="E1786" s="45"/>
      <c r="F1786" s="45"/>
      <c r="G1786" s="45"/>
      <c r="H1786" s="45"/>
      <c r="I1786" s="45"/>
      <c r="J1786" s="45"/>
    </row>
    <row r="1787" spans="2:10" x14ac:dyDescent="0.35">
      <c r="B1787" s="45"/>
      <c r="C1787" s="45"/>
      <c r="D1787" s="45"/>
      <c r="E1787" s="45"/>
      <c r="F1787" s="45"/>
      <c r="G1787" s="45"/>
      <c r="H1787" s="45"/>
      <c r="I1787" s="45"/>
      <c r="J1787" s="45"/>
    </row>
    <row r="1788" spans="2:10" x14ac:dyDescent="0.35">
      <c r="B1788" s="45"/>
      <c r="C1788" s="45"/>
      <c r="D1788" s="45"/>
      <c r="E1788" s="45"/>
      <c r="F1788" s="45"/>
      <c r="G1788" s="45"/>
      <c r="H1788" s="45"/>
      <c r="I1788" s="45"/>
      <c r="J1788" s="45"/>
    </row>
    <row r="1789" spans="2:10" x14ac:dyDescent="0.35">
      <c r="B1789" s="45"/>
      <c r="C1789" s="45"/>
      <c r="D1789" s="45"/>
      <c r="E1789" s="45"/>
      <c r="F1789" s="45"/>
      <c r="G1789" s="45"/>
      <c r="H1789" s="45"/>
      <c r="I1789" s="45"/>
      <c r="J1789" s="45"/>
    </row>
    <row r="1790" spans="2:10" x14ac:dyDescent="0.35">
      <c r="B1790" s="45"/>
      <c r="C1790" s="45"/>
      <c r="D1790" s="45"/>
      <c r="E1790" s="45"/>
      <c r="F1790" s="45"/>
      <c r="G1790" s="45"/>
      <c r="H1790" s="45"/>
      <c r="I1790" s="45"/>
      <c r="J1790" s="45"/>
    </row>
    <row r="1791" spans="2:10" x14ac:dyDescent="0.35">
      <c r="B1791" s="45"/>
      <c r="C1791" s="45"/>
      <c r="D1791" s="45"/>
      <c r="E1791" s="45"/>
      <c r="F1791" s="45"/>
      <c r="G1791" s="45"/>
      <c r="H1791" s="45"/>
      <c r="I1791" s="45"/>
      <c r="J1791" s="45"/>
    </row>
    <row r="1792" spans="2:10" x14ac:dyDescent="0.35">
      <c r="B1792" s="45"/>
      <c r="C1792" s="45"/>
      <c r="D1792" s="45"/>
      <c r="E1792" s="45"/>
      <c r="F1792" s="45"/>
      <c r="G1792" s="45"/>
      <c r="H1792" s="45"/>
      <c r="I1792" s="45"/>
      <c r="J1792" s="45"/>
    </row>
    <row r="1793" spans="2:10" x14ac:dyDescent="0.35">
      <c r="B1793" s="45"/>
      <c r="C1793" s="45"/>
      <c r="D1793" s="45"/>
      <c r="E1793" s="45"/>
      <c r="F1793" s="45"/>
      <c r="G1793" s="45"/>
      <c r="H1793" s="45"/>
      <c r="I1793" s="45"/>
      <c r="J1793" s="45"/>
    </row>
    <row r="1794" spans="2:10" x14ac:dyDescent="0.35">
      <c r="B1794" s="45"/>
      <c r="C1794" s="45"/>
      <c r="D1794" s="45"/>
      <c r="E1794" s="45"/>
      <c r="F1794" s="45"/>
      <c r="G1794" s="45"/>
      <c r="H1794" s="45"/>
      <c r="I1794" s="45"/>
      <c r="J1794" s="45"/>
    </row>
    <row r="1795" spans="2:10" x14ac:dyDescent="0.35">
      <c r="B1795" s="45"/>
      <c r="C1795" s="45"/>
      <c r="D1795" s="45"/>
      <c r="E1795" s="45"/>
      <c r="F1795" s="45"/>
      <c r="G1795" s="45"/>
      <c r="H1795" s="45"/>
      <c r="I1795" s="45"/>
      <c r="J1795" s="45"/>
    </row>
    <row r="1796" spans="2:10" x14ac:dyDescent="0.35">
      <c r="B1796" s="45"/>
      <c r="C1796" s="45"/>
      <c r="D1796" s="45"/>
      <c r="E1796" s="45"/>
      <c r="F1796" s="45"/>
      <c r="G1796" s="45"/>
      <c r="H1796" s="45"/>
      <c r="I1796" s="45"/>
      <c r="J1796" s="45"/>
    </row>
    <row r="1797" spans="2:10" x14ac:dyDescent="0.35">
      <c r="B1797" s="45"/>
      <c r="C1797" s="45"/>
      <c r="D1797" s="45"/>
      <c r="E1797" s="45"/>
      <c r="F1797" s="45"/>
      <c r="G1797" s="45"/>
      <c r="H1797" s="45"/>
      <c r="I1797" s="45"/>
      <c r="J1797" s="45"/>
    </row>
    <row r="1798" spans="2:10" x14ac:dyDescent="0.35">
      <c r="B1798" s="45"/>
      <c r="C1798" s="45"/>
      <c r="D1798" s="45"/>
      <c r="E1798" s="45"/>
      <c r="F1798" s="45"/>
      <c r="G1798" s="45"/>
      <c r="H1798" s="45"/>
      <c r="I1798" s="45"/>
      <c r="J1798" s="45"/>
    </row>
    <row r="1799" spans="2:10" x14ac:dyDescent="0.35">
      <c r="B1799" s="45"/>
      <c r="C1799" s="45"/>
      <c r="D1799" s="45"/>
      <c r="E1799" s="45"/>
      <c r="F1799" s="45"/>
      <c r="G1799" s="45"/>
      <c r="H1799" s="45"/>
      <c r="I1799" s="45"/>
      <c r="J1799" s="45"/>
    </row>
    <row r="1800" spans="2:10" x14ac:dyDescent="0.35">
      <c r="B1800" s="45"/>
      <c r="C1800" s="45"/>
      <c r="D1800" s="45"/>
      <c r="E1800" s="45"/>
      <c r="F1800" s="45"/>
      <c r="G1800" s="45"/>
      <c r="H1800" s="45"/>
      <c r="I1800" s="45"/>
      <c r="J1800" s="45"/>
    </row>
    <row r="1801" spans="2:10" x14ac:dyDescent="0.35">
      <c r="B1801" s="45"/>
      <c r="C1801" s="45"/>
      <c r="D1801" s="45"/>
      <c r="E1801" s="45"/>
      <c r="F1801" s="45"/>
      <c r="G1801" s="45"/>
      <c r="H1801" s="45"/>
      <c r="I1801" s="45"/>
      <c r="J1801" s="45"/>
    </row>
    <row r="1802" spans="2:10" x14ac:dyDescent="0.35">
      <c r="B1802" s="45"/>
      <c r="C1802" s="45"/>
      <c r="D1802" s="45"/>
      <c r="E1802" s="45"/>
      <c r="F1802" s="45"/>
      <c r="G1802" s="45"/>
      <c r="H1802" s="45"/>
      <c r="I1802" s="45"/>
      <c r="J1802" s="45"/>
    </row>
    <row r="1803" spans="2:10" x14ac:dyDescent="0.35">
      <c r="B1803" s="45"/>
      <c r="C1803" s="45"/>
      <c r="D1803" s="45"/>
      <c r="E1803" s="45"/>
      <c r="F1803" s="45"/>
      <c r="G1803" s="45"/>
      <c r="H1803" s="45"/>
      <c r="I1803" s="45"/>
      <c r="J1803" s="45"/>
    </row>
    <row r="1804" spans="2:10" x14ac:dyDescent="0.35">
      <c r="B1804" s="45"/>
      <c r="C1804" s="45"/>
      <c r="D1804" s="45"/>
      <c r="E1804" s="45"/>
      <c r="F1804" s="45"/>
      <c r="G1804" s="45"/>
      <c r="H1804" s="45"/>
      <c r="I1804" s="45"/>
      <c r="J1804" s="45"/>
    </row>
    <row r="1805" spans="2:10" x14ac:dyDescent="0.35">
      <c r="B1805" s="45"/>
      <c r="C1805" s="45"/>
      <c r="D1805" s="45"/>
      <c r="E1805" s="45"/>
      <c r="F1805" s="45"/>
      <c r="G1805" s="45"/>
      <c r="H1805" s="45"/>
      <c r="I1805" s="45"/>
      <c r="J1805" s="45"/>
    </row>
    <row r="1806" spans="2:10" x14ac:dyDescent="0.35">
      <c r="B1806" s="45"/>
      <c r="C1806" s="45"/>
      <c r="D1806" s="45"/>
      <c r="E1806" s="45"/>
      <c r="F1806" s="45"/>
      <c r="G1806" s="45"/>
      <c r="H1806" s="45"/>
      <c r="I1806" s="45"/>
      <c r="J1806" s="45"/>
    </row>
    <row r="1807" spans="2:10" x14ac:dyDescent="0.35">
      <c r="B1807" s="45"/>
      <c r="C1807" s="45"/>
      <c r="D1807" s="45"/>
      <c r="E1807" s="45"/>
      <c r="F1807" s="45"/>
      <c r="G1807" s="45"/>
      <c r="H1807" s="45"/>
      <c r="I1807" s="45"/>
      <c r="J1807" s="45"/>
    </row>
    <row r="1808" spans="2:10" x14ac:dyDescent="0.35">
      <c r="B1808" s="45"/>
      <c r="C1808" s="45"/>
      <c r="D1808" s="45"/>
      <c r="E1808" s="45"/>
      <c r="F1808" s="45"/>
      <c r="G1808" s="45"/>
      <c r="H1808" s="45"/>
      <c r="I1808" s="45"/>
      <c r="J1808" s="45"/>
    </row>
    <row r="1809" spans="2:10" x14ac:dyDescent="0.35">
      <c r="B1809" s="45"/>
      <c r="C1809" s="45"/>
      <c r="D1809" s="45"/>
      <c r="E1809" s="45"/>
      <c r="F1809" s="45"/>
      <c r="G1809" s="45"/>
      <c r="H1809" s="45"/>
      <c r="I1809" s="45"/>
      <c r="J1809" s="45"/>
    </row>
    <row r="1810" spans="2:10" x14ac:dyDescent="0.35">
      <c r="B1810" s="45"/>
      <c r="C1810" s="45"/>
      <c r="D1810" s="45"/>
      <c r="E1810" s="45"/>
      <c r="F1810" s="45"/>
      <c r="G1810" s="45"/>
      <c r="H1810" s="45"/>
      <c r="I1810" s="45"/>
      <c r="J1810" s="45"/>
    </row>
    <row r="1811" spans="2:10" x14ac:dyDescent="0.35">
      <c r="B1811" s="45"/>
      <c r="C1811" s="45"/>
      <c r="D1811" s="45"/>
      <c r="E1811" s="45"/>
      <c r="F1811" s="45"/>
      <c r="G1811" s="45"/>
      <c r="H1811" s="45"/>
      <c r="I1811" s="45"/>
      <c r="J1811" s="45"/>
    </row>
    <row r="1812" spans="2:10" x14ac:dyDescent="0.35">
      <c r="B1812" s="45"/>
      <c r="C1812" s="45"/>
      <c r="D1812" s="45"/>
      <c r="E1812" s="45"/>
      <c r="F1812" s="45"/>
      <c r="G1812" s="45"/>
      <c r="H1812" s="45"/>
      <c r="I1812" s="45"/>
      <c r="J1812" s="45"/>
    </row>
    <row r="1813" spans="2:10" x14ac:dyDescent="0.35">
      <c r="B1813" s="45"/>
      <c r="C1813" s="45"/>
      <c r="D1813" s="45"/>
      <c r="E1813" s="45"/>
      <c r="F1813" s="45"/>
      <c r="G1813" s="45"/>
      <c r="H1813" s="45"/>
      <c r="I1813" s="45"/>
      <c r="J1813" s="45"/>
    </row>
    <row r="1814" spans="2:10" x14ac:dyDescent="0.35">
      <c r="B1814" s="45"/>
      <c r="C1814" s="45"/>
      <c r="D1814" s="45"/>
      <c r="E1814" s="45"/>
      <c r="F1814" s="45"/>
      <c r="G1814" s="45"/>
      <c r="H1814" s="45"/>
      <c r="I1814" s="45"/>
      <c r="J1814" s="45"/>
    </row>
    <row r="1815" spans="2:10" x14ac:dyDescent="0.35">
      <c r="B1815" s="45"/>
      <c r="C1815" s="45"/>
      <c r="D1815" s="45"/>
      <c r="E1815" s="45"/>
      <c r="F1815" s="45"/>
      <c r="G1815" s="45"/>
      <c r="H1815" s="45"/>
      <c r="I1815" s="45"/>
      <c r="J1815" s="45"/>
    </row>
    <row r="1816" spans="2:10" x14ac:dyDescent="0.35">
      <c r="B1816" s="45"/>
      <c r="C1816" s="45"/>
      <c r="D1816" s="45"/>
      <c r="E1816" s="45"/>
      <c r="F1816" s="45"/>
      <c r="G1816" s="45"/>
      <c r="H1816" s="45"/>
      <c r="I1816" s="45"/>
      <c r="J1816" s="45"/>
    </row>
    <row r="1817" spans="2:10" x14ac:dyDescent="0.35">
      <c r="B1817" s="45"/>
      <c r="C1817" s="45"/>
      <c r="D1817" s="45"/>
      <c r="E1817" s="45"/>
      <c r="F1817" s="45"/>
      <c r="G1817" s="45"/>
      <c r="H1817" s="45"/>
      <c r="I1817" s="45"/>
      <c r="J1817" s="45"/>
    </row>
    <row r="1818" spans="2:10" x14ac:dyDescent="0.35">
      <c r="B1818" s="45"/>
      <c r="C1818" s="45"/>
      <c r="D1818" s="45"/>
      <c r="E1818" s="45"/>
      <c r="F1818" s="45"/>
      <c r="G1818" s="45"/>
      <c r="H1818" s="45"/>
      <c r="I1818" s="45"/>
      <c r="J1818" s="45"/>
    </row>
    <row r="1819" spans="2:10" x14ac:dyDescent="0.35">
      <c r="B1819" s="45"/>
      <c r="C1819" s="45"/>
      <c r="D1819" s="45"/>
      <c r="E1819" s="45"/>
      <c r="F1819" s="45"/>
      <c r="G1819" s="45"/>
      <c r="H1819" s="45"/>
      <c r="I1819" s="45"/>
      <c r="J1819" s="45"/>
    </row>
    <row r="1820" spans="2:10" x14ac:dyDescent="0.35">
      <c r="B1820" s="45"/>
      <c r="C1820" s="45"/>
      <c r="D1820" s="45"/>
      <c r="E1820" s="45"/>
      <c r="F1820" s="45"/>
      <c r="G1820" s="45"/>
      <c r="H1820" s="45"/>
      <c r="I1820" s="45"/>
      <c r="J1820" s="45"/>
    </row>
    <row r="1821" spans="2:10" x14ac:dyDescent="0.35">
      <c r="B1821" s="45"/>
      <c r="C1821" s="45"/>
      <c r="D1821" s="45"/>
      <c r="E1821" s="45"/>
      <c r="F1821" s="45"/>
      <c r="G1821" s="45"/>
      <c r="H1821" s="45"/>
      <c r="I1821" s="45"/>
      <c r="J1821" s="45"/>
    </row>
    <row r="1822" spans="2:10" x14ac:dyDescent="0.35">
      <c r="B1822" s="45"/>
      <c r="C1822" s="45"/>
      <c r="D1822" s="45"/>
      <c r="E1822" s="45"/>
      <c r="F1822" s="45"/>
      <c r="G1822" s="45"/>
      <c r="H1822" s="45"/>
      <c r="I1822" s="45"/>
      <c r="J1822" s="45"/>
    </row>
    <row r="1823" spans="2:10" x14ac:dyDescent="0.35">
      <c r="B1823" s="45"/>
      <c r="C1823" s="45"/>
      <c r="D1823" s="45"/>
      <c r="E1823" s="45"/>
      <c r="F1823" s="45"/>
      <c r="G1823" s="45"/>
      <c r="H1823" s="45"/>
      <c r="I1823" s="45"/>
      <c r="J1823" s="45"/>
    </row>
    <row r="1824" spans="2:10" x14ac:dyDescent="0.35">
      <c r="B1824" s="45"/>
      <c r="C1824" s="45"/>
      <c r="D1824" s="45"/>
      <c r="E1824" s="45"/>
      <c r="F1824" s="45"/>
      <c r="G1824" s="45"/>
      <c r="H1824" s="45"/>
      <c r="I1824" s="45"/>
      <c r="J1824" s="45"/>
    </row>
    <row r="1825" spans="2:10" x14ac:dyDescent="0.35">
      <c r="B1825" s="45"/>
      <c r="C1825" s="45"/>
      <c r="D1825" s="45"/>
      <c r="E1825" s="45"/>
      <c r="F1825" s="45"/>
      <c r="G1825" s="45"/>
      <c r="H1825" s="45"/>
      <c r="I1825" s="45"/>
      <c r="J1825" s="45"/>
    </row>
    <row r="1826" spans="2:10" x14ac:dyDescent="0.35">
      <c r="B1826" s="45"/>
      <c r="C1826" s="45"/>
      <c r="D1826" s="45"/>
      <c r="E1826" s="45"/>
      <c r="F1826" s="45"/>
      <c r="G1826" s="45"/>
      <c r="H1826" s="45"/>
      <c r="I1826" s="45"/>
      <c r="J1826" s="45"/>
    </row>
    <row r="1827" spans="2:10" x14ac:dyDescent="0.35">
      <c r="B1827" s="45"/>
      <c r="C1827" s="45"/>
      <c r="D1827" s="45"/>
      <c r="E1827" s="45"/>
      <c r="F1827" s="45"/>
      <c r="G1827" s="45"/>
      <c r="H1827" s="45"/>
      <c r="I1827" s="45"/>
      <c r="J1827" s="45"/>
    </row>
    <row r="1828" spans="2:10" x14ac:dyDescent="0.35">
      <c r="B1828" s="45"/>
      <c r="C1828" s="45"/>
      <c r="D1828" s="45"/>
      <c r="E1828" s="45"/>
      <c r="F1828" s="45"/>
      <c r="G1828" s="45"/>
      <c r="H1828" s="45"/>
      <c r="I1828" s="45"/>
      <c r="J1828" s="45"/>
    </row>
    <row r="1829" spans="2:10" x14ac:dyDescent="0.35">
      <c r="B1829" s="45"/>
      <c r="C1829" s="45"/>
      <c r="D1829" s="45"/>
      <c r="E1829" s="45"/>
      <c r="F1829" s="45"/>
      <c r="G1829" s="45"/>
      <c r="H1829" s="45"/>
      <c r="I1829" s="45"/>
      <c r="J1829" s="45"/>
    </row>
    <row r="1830" spans="2:10" x14ac:dyDescent="0.35">
      <c r="B1830" s="45"/>
      <c r="C1830" s="45"/>
      <c r="D1830" s="45"/>
      <c r="E1830" s="45"/>
      <c r="F1830" s="45"/>
      <c r="G1830" s="45"/>
      <c r="H1830" s="45"/>
      <c r="I1830" s="45"/>
      <c r="J1830" s="45"/>
    </row>
    <row r="1831" spans="2:10" x14ac:dyDescent="0.35">
      <c r="B1831" s="45"/>
      <c r="C1831" s="45"/>
      <c r="D1831" s="45"/>
      <c r="E1831" s="45"/>
      <c r="F1831" s="45"/>
      <c r="G1831" s="45"/>
      <c r="H1831" s="45"/>
      <c r="I1831" s="45"/>
      <c r="J1831" s="45"/>
    </row>
    <row r="1832" spans="2:10" x14ac:dyDescent="0.35">
      <c r="B1832" s="45"/>
      <c r="C1832" s="45"/>
      <c r="D1832" s="45"/>
      <c r="E1832" s="45"/>
      <c r="F1832" s="45"/>
      <c r="G1832" s="45"/>
      <c r="H1832" s="45"/>
      <c r="I1832" s="45"/>
      <c r="J1832" s="45"/>
    </row>
    <row r="1833" spans="2:10" x14ac:dyDescent="0.35">
      <c r="B1833" s="45"/>
      <c r="C1833" s="45"/>
      <c r="D1833" s="45"/>
      <c r="E1833" s="45"/>
      <c r="F1833" s="45"/>
      <c r="G1833" s="45"/>
      <c r="H1833" s="45"/>
      <c r="I1833" s="45"/>
      <c r="J1833" s="45"/>
    </row>
    <row r="1834" spans="2:10" x14ac:dyDescent="0.35">
      <c r="B1834" s="45"/>
      <c r="C1834" s="45"/>
      <c r="D1834" s="45"/>
      <c r="E1834" s="45"/>
      <c r="F1834" s="45"/>
      <c r="G1834" s="45"/>
      <c r="H1834" s="45"/>
      <c r="I1834" s="45"/>
      <c r="J1834" s="45"/>
    </row>
    <row r="1835" spans="2:10" x14ac:dyDescent="0.35">
      <c r="B1835" s="45"/>
      <c r="C1835" s="45"/>
      <c r="D1835" s="45"/>
      <c r="E1835" s="45"/>
      <c r="F1835" s="45"/>
      <c r="G1835" s="45"/>
      <c r="H1835" s="45"/>
      <c r="I1835" s="45"/>
      <c r="J1835" s="45"/>
    </row>
    <row r="1836" spans="2:10" x14ac:dyDescent="0.35">
      <c r="B1836" s="45"/>
      <c r="C1836" s="45"/>
      <c r="D1836" s="45"/>
      <c r="E1836" s="45"/>
      <c r="F1836" s="45"/>
      <c r="G1836" s="45"/>
      <c r="H1836" s="45"/>
      <c r="I1836" s="45"/>
      <c r="J1836" s="45"/>
    </row>
    <row r="1837" spans="2:10" x14ac:dyDescent="0.35">
      <c r="B1837" s="45"/>
      <c r="C1837" s="45"/>
      <c r="D1837" s="45"/>
      <c r="E1837" s="45"/>
      <c r="F1837" s="45"/>
      <c r="G1837" s="45"/>
      <c r="H1837" s="45"/>
      <c r="I1837" s="45"/>
      <c r="J1837" s="45"/>
    </row>
    <row r="1838" spans="2:10" x14ac:dyDescent="0.35">
      <c r="B1838" s="45"/>
      <c r="C1838" s="45"/>
      <c r="D1838" s="45"/>
      <c r="E1838" s="45"/>
      <c r="F1838" s="45"/>
      <c r="G1838" s="45"/>
      <c r="H1838" s="45"/>
      <c r="I1838" s="45"/>
      <c r="J1838" s="45"/>
    </row>
    <row r="1839" spans="2:10" x14ac:dyDescent="0.35">
      <c r="B1839" s="45"/>
      <c r="C1839" s="45"/>
      <c r="D1839" s="45"/>
      <c r="E1839" s="45"/>
      <c r="F1839" s="45"/>
      <c r="G1839" s="45"/>
      <c r="H1839" s="45"/>
      <c r="I1839" s="45"/>
      <c r="J1839" s="45"/>
    </row>
    <row r="1840" spans="2:10" x14ac:dyDescent="0.35">
      <c r="B1840" s="45"/>
      <c r="C1840" s="45"/>
      <c r="D1840" s="45"/>
      <c r="E1840" s="45"/>
      <c r="F1840" s="45"/>
      <c r="G1840" s="45"/>
      <c r="H1840" s="45"/>
      <c r="I1840" s="45"/>
      <c r="J1840" s="45"/>
    </row>
    <row r="1841" spans="2:10" x14ac:dyDescent="0.35">
      <c r="B1841" s="45"/>
      <c r="C1841" s="45"/>
      <c r="D1841" s="45"/>
      <c r="E1841" s="45"/>
      <c r="F1841" s="45"/>
      <c r="G1841" s="45"/>
      <c r="H1841" s="45"/>
      <c r="I1841" s="45"/>
      <c r="J1841" s="45"/>
    </row>
    <row r="1842" spans="2:10" x14ac:dyDescent="0.35">
      <c r="B1842" s="45"/>
      <c r="C1842" s="45"/>
      <c r="D1842" s="45"/>
      <c r="E1842" s="45"/>
      <c r="F1842" s="45"/>
      <c r="G1842" s="45"/>
      <c r="H1842" s="45"/>
      <c r="I1842" s="45"/>
      <c r="J1842" s="45"/>
    </row>
    <row r="1843" spans="2:10" x14ac:dyDescent="0.35">
      <c r="B1843" s="45"/>
      <c r="C1843" s="45"/>
      <c r="D1843" s="45"/>
      <c r="E1843" s="45"/>
      <c r="F1843" s="45"/>
      <c r="G1843" s="45"/>
      <c r="H1843" s="45"/>
      <c r="I1843" s="45"/>
      <c r="J1843" s="45"/>
    </row>
    <row r="1844" spans="2:10" x14ac:dyDescent="0.35">
      <c r="B1844" s="45"/>
      <c r="C1844" s="45"/>
      <c r="D1844" s="45"/>
      <c r="E1844" s="45"/>
      <c r="F1844" s="45"/>
      <c r="G1844" s="45"/>
      <c r="H1844" s="45"/>
      <c r="I1844" s="45"/>
      <c r="J1844" s="45"/>
    </row>
    <row r="1845" spans="2:10" x14ac:dyDescent="0.35">
      <c r="B1845" s="45"/>
      <c r="C1845" s="45"/>
      <c r="D1845" s="45"/>
      <c r="E1845" s="45"/>
      <c r="F1845" s="45"/>
      <c r="G1845" s="45"/>
      <c r="H1845" s="45"/>
      <c r="I1845" s="45"/>
      <c r="J1845" s="45"/>
    </row>
    <row r="1846" spans="2:10" x14ac:dyDescent="0.35">
      <c r="B1846" s="45"/>
      <c r="C1846" s="45"/>
      <c r="D1846" s="45"/>
      <c r="E1846" s="45"/>
      <c r="F1846" s="45"/>
      <c r="G1846" s="45"/>
      <c r="H1846" s="45"/>
      <c r="I1846" s="45"/>
      <c r="J1846" s="45"/>
    </row>
    <row r="1847" spans="2:10" x14ac:dyDescent="0.35">
      <c r="B1847" s="45"/>
      <c r="C1847" s="45"/>
      <c r="D1847" s="45"/>
      <c r="E1847" s="45"/>
      <c r="F1847" s="45"/>
      <c r="G1847" s="45"/>
      <c r="H1847" s="45"/>
      <c r="I1847" s="45"/>
      <c r="J1847" s="45"/>
    </row>
    <row r="1848" spans="2:10" x14ac:dyDescent="0.35">
      <c r="B1848" s="45"/>
      <c r="C1848" s="45"/>
      <c r="D1848" s="45"/>
      <c r="E1848" s="45"/>
      <c r="F1848" s="45"/>
      <c r="G1848" s="45"/>
      <c r="H1848" s="45"/>
      <c r="I1848" s="45"/>
      <c r="J1848" s="45"/>
    </row>
    <row r="1849" spans="2:10" x14ac:dyDescent="0.35">
      <c r="B1849" s="45"/>
      <c r="C1849" s="45"/>
      <c r="D1849" s="45"/>
      <c r="E1849" s="45"/>
      <c r="F1849" s="45"/>
      <c r="G1849" s="45"/>
      <c r="H1849" s="45"/>
      <c r="I1849" s="45"/>
      <c r="J1849" s="45"/>
    </row>
    <row r="1850" spans="2:10" x14ac:dyDescent="0.35">
      <c r="B1850" s="45"/>
      <c r="C1850" s="45"/>
      <c r="D1850" s="45"/>
      <c r="E1850" s="45"/>
      <c r="F1850" s="45"/>
      <c r="G1850" s="45"/>
      <c r="H1850" s="45"/>
      <c r="I1850" s="45"/>
      <c r="J1850" s="45"/>
    </row>
    <row r="1851" spans="2:10" x14ac:dyDescent="0.35">
      <c r="B1851" s="45"/>
      <c r="C1851" s="45"/>
      <c r="D1851" s="45"/>
      <c r="E1851" s="45"/>
      <c r="F1851" s="45"/>
      <c r="G1851" s="45"/>
      <c r="H1851" s="45"/>
      <c r="I1851" s="45"/>
      <c r="J1851" s="45"/>
    </row>
    <row r="1852" spans="2:10" x14ac:dyDescent="0.35">
      <c r="B1852" s="45"/>
      <c r="C1852" s="45"/>
      <c r="D1852" s="45"/>
      <c r="E1852" s="45"/>
      <c r="F1852" s="45"/>
      <c r="G1852" s="45"/>
      <c r="H1852" s="45"/>
      <c r="I1852" s="45"/>
      <c r="J1852" s="45"/>
    </row>
    <row r="1853" spans="2:10" x14ac:dyDescent="0.35">
      <c r="B1853" s="45"/>
      <c r="C1853" s="45"/>
      <c r="D1853" s="45"/>
      <c r="E1853" s="45"/>
      <c r="F1853" s="45"/>
      <c r="G1853" s="45"/>
      <c r="H1853" s="45"/>
      <c r="I1853" s="45"/>
      <c r="J1853" s="45"/>
    </row>
    <row r="1854" spans="2:10" x14ac:dyDescent="0.35">
      <c r="B1854" s="45"/>
      <c r="C1854" s="45"/>
      <c r="D1854" s="45"/>
      <c r="E1854" s="45"/>
      <c r="F1854" s="45"/>
      <c r="G1854" s="45"/>
      <c r="H1854" s="45"/>
      <c r="I1854" s="45"/>
      <c r="J1854" s="45"/>
    </row>
    <row r="1855" spans="2:10" x14ac:dyDescent="0.35">
      <c r="B1855" s="45"/>
      <c r="C1855" s="45"/>
      <c r="D1855" s="45"/>
      <c r="E1855" s="45"/>
      <c r="F1855" s="45"/>
      <c r="G1855" s="45"/>
      <c r="H1855" s="45"/>
      <c r="I1855" s="45"/>
      <c r="J1855" s="45"/>
    </row>
    <row r="1856" spans="2:10" x14ac:dyDescent="0.35">
      <c r="B1856" s="45"/>
      <c r="C1856" s="45"/>
      <c r="D1856" s="45"/>
      <c r="E1856" s="45"/>
      <c r="F1856" s="45"/>
      <c r="G1856" s="45"/>
      <c r="H1856" s="45"/>
      <c r="I1856" s="45"/>
      <c r="J1856" s="45"/>
    </row>
    <row r="1857" spans="2:10" x14ac:dyDescent="0.35">
      <c r="B1857" s="45"/>
      <c r="C1857" s="45"/>
      <c r="D1857" s="45"/>
      <c r="E1857" s="45"/>
      <c r="F1857" s="45"/>
      <c r="G1857" s="45"/>
      <c r="H1857" s="45"/>
      <c r="I1857" s="45"/>
      <c r="J1857" s="45"/>
    </row>
    <row r="1858" spans="2:10" x14ac:dyDescent="0.35">
      <c r="B1858" s="45"/>
      <c r="C1858" s="45"/>
      <c r="D1858" s="45"/>
      <c r="E1858" s="45"/>
      <c r="F1858" s="45"/>
      <c r="G1858" s="45"/>
      <c r="H1858" s="45"/>
      <c r="I1858" s="45"/>
      <c r="J1858" s="45"/>
    </row>
    <row r="1859" spans="2:10" x14ac:dyDescent="0.35">
      <c r="B1859" s="45"/>
      <c r="C1859" s="45"/>
      <c r="D1859" s="45"/>
      <c r="E1859" s="45"/>
      <c r="F1859" s="45"/>
      <c r="G1859" s="45"/>
      <c r="H1859" s="45"/>
      <c r="I1859" s="45"/>
      <c r="J1859" s="45"/>
    </row>
    <row r="1860" spans="2:10" x14ac:dyDescent="0.35">
      <c r="B1860" s="45"/>
      <c r="C1860" s="45"/>
      <c r="D1860" s="45"/>
      <c r="E1860" s="45"/>
      <c r="F1860" s="45"/>
      <c r="G1860" s="45"/>
      <c r="H1860" s="45"/>
      <c r="I1860" s="45"/>
      <c r="J1860" s="45"/>
    </row>
    <row r="1861" spans="2:10" x14ac:dyDescent="0.35">
      <c r="B1861" s="45"/>
      <c r="C1861" s="45"/>
      <c r="D1861" s="45"/>
      <c r="E1861" s="45"/>
      <c r="F1861" s="45"/>
      <c r="G1861" s="45"/>
      <c r="H1861" s="45"/>
      <c r="I1861" s="45"/>
      <c r="J1861" s="45"/>
    </row>
    <row r="1862" spans="2:10" x14ac:dyDescent="0.35">
      <c r="B1862" s="45"/>
      <c r="C1862" s="45"/>
      <c r="D1862" s="45"/>
      <c r="E1862" s="45"/>
      <c r="F1862" s="45"/>
      <c r="G1862" s="45"/>
      <c r="H1862" s="45"/>
      <c r="I1862" s="45"/>
      <c r="J1862" s="45"/>
    </row>
    <row r="1863" spans="2:10" x14ac:dyDescent="0.35">
      <c r="B1863" s="45"/>
      <c r="C1863" s="45"/>
      <c r="D1863" s="45"/>
      <c r="E1863" s="45"/>
      <c r="F1863" s="45"/>
      <c r="G1863" s="45"/>
      <c r="H1863" s="45"/>
      <c r="I1863" s="45"/>
      <c r="J1863" s="45"/>
    </row>
    <row r="1864" spans="2:10" x14ac:dyDescent="0.35">
      <c r="B1864" s="45"/>
      <c r="C1864" s="45"/>
      <c r="D1864" s="45"/>
      <c r="E1864" s="45"/>
      <c r="F1864" s="45"/>
      <c r="G1864" s="45"/>
      <c r="H1864" s="45"/>
      <c r="I1864" s="45"/>
      <c r="J1864" s="45"/>
    </row>
    <row r="1865" spans="2:10" x14ac:dyDescent="0.35">
      <c r="B1865" s="45"/>
      <c r="C1865" s="45"/>
      <c r="D1865" s="45"/>
      <c r="E1865" s="45"/>
      <c r="F1865" s="45"/>
      <c r="G1865" s="45"/>
      <c r="H1865" s="45"/>
      <c r="I1865" s="45"/>
      <c r="J1865" s="45"/>
    </row>
    <row r="1866" spans="2:10" x14ac:dyDescent="0.35">
      <c r="B1866" s="45"/>
      <c r="C1866" s="45"/>
      <c r="D1866" s="45"/>
      <c r="E1866" s="45"/>
      <c r="F1866" s="45"/>
      <c r="G1866" s="45"/>
      <c r="H1866" s="45"/>
      <c r="I1866" s="45"/>
      <c r="J1866" s="45"/>
    </row>
    <row r="1867" spans="2:10" x14ac:dyDescent="0.35">
      <c r="B1867" s="45"/>
      <c r="C1867" s="45"/>
      <c r="D1867" s="45"/>
      <c r="E1867" s="45"/>
      <c r="F1867" s="45"/>
      <c r="G1867" s="45"/>
      <c r="H1867" s="45"/>
      <c r="I1867" s="45"/>
      <c r="J1867" s="45"/>
    </row>
    <row r="1868" spans="2:10" x14ac:dyDescent="0.35">
      <c r="B1868" s="45"/>
      <c r="C1868" s="45"/>
      <c r="D1868" s="45"/>
      <c r="E1868" s="45"/>
      <c r="F1868" s="45"/>
      <c r="G1868" s="45"/>
      <c r="H1868" s="45"/>
      <c r="I1868" s="45"/>
      <c r="J1868" s="45"/>
    </row>
    <row r="1869" spans="2:10" x14ac:dyDescent="0.35">
      <c r="B1869" s="45"/>
      <c r="C1869" s="45"/>
      <c r="D1869" s="45"/>
      <c r="E1869" s="45"/>
      <c r="F1869" s="45"/>
      <c r="G1869" s="45"/>
      <c r="H1869" s="45"/>
      <c r="I1869" s="45"/>
      <c r="J1869" s="45"/>
    </row>
    <row r="1870" spans="2:10" x14ac:dyDescent="0.35">
      <c r="B1870" s="45"/>
      <c r="C1870" s="45"/>
      <c r="D1870" s="45"/>
      <c r="E1870" s="45"/>
      <c r="F1870" s="45"/>
      <c r="G1870" s="45"/>
      <c r="H1870" s="45"/>
      <c r="I1870" s="45"/>
      <c r="J1870" s="45"/>
    </row>
    <row r="1871" spans="2:10" x14ac:dyDescent="0.35">
      <c r="B1871" s="45"/>
      <c r="C1871" s="45"/>
      <c r="D1871" s="45"/>
      <c r="E1871" s="45"/>
      <c r="F1871" s="45"/>
      <c r="G1871" s="45"/>
      <c r="H1871" s="45"/>
      <c r="I1871" s="45"/>
      <c r="J1871" s="45"/>
    </row>
    <row r="1872" spans="2:10" x14ac:dyDescent="0.35">
      <c r="B1872" s="45"/>
      <c r="C1872" s="45"/>
      <c r="D1872" s="45"/>
      <c r="E1872" s="45"/>
      <c r="F1872" s="45"/>
      <c r="G1872" s="45"/>
      <c r="H1872" s="45"/>
      <c r="I1872" s="45"/>
      <c r="J1872" s="45"/>
    </row>
    <row r="1873" spans="2:10" x14ac:dyDescent="0.35">
      <c r="B1873" s="45"/>
      <c r="C1873" s="45"/>
      <c r="D1873" s="45"/>
      <c r="E1873" s="45"/>
      <c r="F1873" s="45"/>
      <c r="G1873" s="45"/>
      <c r="H1873" s="45"/>
      <c r="I1873" s="45"/>
      <c r="J1873" s="45"/>
    </row>
    <row r="1874" spans="2:10" x14ac:dyDescent="0.35">
      <c r="B1874" s="45"/>
      <c r="C1874" s="45"/>
      <c r="D1874" s="45"/>
      <c r="E1874" s="45"/>
      <c r="F1874" s="45"/>
      <c r="G1874" s="45"/>
      <c r="H1874" s="45"/>
      <c r="I1874" s="45"/>
      <c r="J1874" s="45"/>
    </row>
    <row r="1875" spans="2:10" x14ac:dyDescent="0.35">
      <c r="B1875" s="45"/>
      <c r="C1875" s="45"/>
      <c r="D1875" s="45"/>
      <c r="E1875" s="45"/>
      <c r="F1875" s="45"/>
      <c r="G1875" s="45"/>
      <c r="H1875" s="45"/>
      <c r="I1875" s="45"/>
      <c r="J1875" s="45"/>
    </row>
    <row r="1876" spans="2:10" x14ac:dyDescent="0.35">
      <c r="B1876" s="45"/>
      <c r="C1876" s="45"/>
      <c r="D1876" s="45"/>
      <c r="E1876" s="45"/>
      <c r="F1876" s="45"/>
      <c r="G1876" s="45"/>
      <c r="H1876" s="45"/>
      <c r="I1876" s="45"/>
      <c r="J1876" s="45"/>
    </row>
    <row r="1877" spans="2:10" x14ac:dyDescent="0.35">
      <c r="B1877" s="45"/>
      <c r="C1877" s="45"/>
      <c r="D1877" s="45"/>
      <c r="E1877" s="45"/>
      <c r="F1877" s="45"/>
      <c r="G1877" s="45"/>
      <c r="H1877" s="45"/>
      <c r="I1877" s="45"/>
      <c r="J1877" s="45"/>
    </row>
    <row r="1878" spans="2:10" x14ac:dyDescent="0.35">
      <c r="B1878" s="45"/>
      <c r="C1878" s="45"/>
      <c r="D1878" s="45"/>
      <c r="E1878" s="45"/>
      <c r="F1878" s="45"/>
      <c r="G1878" s="45"/>
      <c r="H1878" s="45"/>
      <c r="I1878" s="45"/>
      <c r="J1878" s="45"/>
    </row>
    <row r="1879" spans="2:10" x14ac:dyDescent="0.35">
      <c r="B1879" s="45"/>
      <c r="C1879" s="45"/>
      <c r="D1879" s="45"/>
      <c r="E1879" s="45"/>
      <c r="F1879" s="45"/>
      <c r="G1879" s="45"/>
      <c r="H1879" s="45"/>
      <c r="I1879" s="45"/>
      <c r="J1879" s="45"/>
    </row>
    <row r="1880" spans="2:10" x14ac:dyDescent="0.35">
      <c r="B1880" s="45"/>
      <c r="C1880" s="45"/>
      <c r="D1880" s="45"/>
      <c r="E1880" s="45"/>
      <c r="F1880" s="45"/>
      <c r="G1880" s="45"/>
      <c r="H1880" s="45"/>
      <c r="I1880" s="45"/>
      <c r="J1880" s="45"/>
    </row>
    <row r="1881" spans="2:10" x14ac:dyDescent="0.35">
      <c r="B1881" s="45"/>
      <c r="C1881" s="45"/>
      <c r="D1881" s="45"/>
      <c r="E1881" s="45"/>
      <c r="F1881" s="45"/>
      <c r="G1881" s="45"/>
      <c r="H1881" s="45"/>
      <c r="I1881" s="45"/>
      <c r="J1881" s="45"/>
    </row>
    <row r="1882" spans="2:10" x14ac:dyDescent="0.35">
      <c r="B1882" s="45"/>
      <c r="C1882" s="45"/>
      <c r="D1882" s="45"/>
      <c r="E1882" s="45"/>
      <c r="F1882" s="45"/>
      <c r="G1882" s="45"/>
      <c r="H1882" s="45"/>
      <c r="I1882" s="45"/>
      <c r="J1882" s="45"/>
    </row>
    <row r="1883" spans="2:10" x14ac:dyDescent="0.35">
      <c r="B1883" s="45"/>
      <c r="C1883" s="45"/>
      <c r="D1883" s="45"/>
      <c r="E1883" s="45"/>
      <c r="F1883" s="45"/>
      <c r="G1883" s="45"/>
      <c r="H1883" s="45"/>
      <c r="I1883" s="45"/>
      <c r="J1883" s="45"/>
    </row>
    <row r="1884" spans="2:10" x14ac:dyDescent="0.35">
      <c r="B1884" s="45"/>
      <c r="C1884" s="45"/>
      <c r="D1884" s="45"/>
      <c r="E1884" s="45"/>
      <c r="F1884" s="45"/>
      <c r="G1884" s="45"/>
      <c r="H1884" s="45"/>
      <c r="I1884" s="45"/>
      <c r="J1884" s="45"/>
    </row>
    <row r="1885" spans="2:10" x14ac:dyDescent="0.35">
      <c r="B1885" s="45"/>
      <c r="C1885" s="45"/>
      <c r="D1885" s="45"/>
      <c r="E1885" s="45"/>
      <c r="F1885" s="45"/>
      <c r="G1885" s="45"/>
      <c r="H1885" s="45"/>
      <c r="I1885" s="45"/>
      <c r="J1885" s="45"/>
    </row>
    <row r="1886" spans="2:10" x14ac:dyDescent="0.35">
      <c r="B1886" s="45"/>
      <c r="C1886" s="45"/>
      <c r="D1886" s="45"/>
      <c r="E1886" s="45"/>
      <c r="F1886" s="45"/>
      <c r="G1886" s="45"/>
      <c r="H1886" s="45"/>
      <c r="I1886" s="45"/>
      <c r="J1886" s="45"/>
    </row>
    <row r="1887" spans="2:10" x14ac:dyDescent="0.35">
      <c r="B1887" s="45"/>
      <c r="C1887" s="45"/>
      <c r="D1887" s="45"/>
      <c r="E1887" s="45"/>
      <c r="F1887" s="45"/>
      <c r="G1887" s="45"/>
      <c r="H1887" s="45"/>
      <c r="I1887" s="45"/>
      <c r="J1887" s="45"/>
    </row>
    <row r="1888" spans="2:10" x14ac:dyDescent="0.35">
      <c r="B1888" s="45"/>
      <c r="C1888" s="45"/>
      <c r="D1888" s="45"/>
      <c r="E1888" s="45"/>
      <c r="F1888" s="45"/>
      <c r="G1888" s="45"/>
      <c r="H1888" s="45"/>
      <c r="I1888" s="45"/>
      <c r="J1888" s="45"/>
    </row>
    <row r="1889" spans="2:10" x14ac:dyDescent="0.35">
      <c r="B1889" s="45"/>
      <c r="C1889" s="45"/>
      <c r="D1889" s="45"/>
      <c r="E1889" s="45"/>
      <c r="F1889" s="45"/>
      <c r="G1889" s="45"/>
      <c r="H1889" s="45"/>
      <c r="I1889" s="45"/>
      <c r="J1889" s="45"/>
    </row>
    <row r="1890" spans="2:10" x14ac:dyDescent="0.35">
      <c r="B1890" s="45"/>
      <c r="C1890" s="45"/>
      <c r="D1890" s="45"/>
      <c r="E1890" s="45"/>
      <c r="F1890" s="45"/>
      <c r="G1890" s="45"/>
      <c r="H1890" s="45"/>
      <c r="I1890" s="45"/>
      <c r="J1890" s="45"/>
    </row>
    <row r="1891" spans="2:10" x14ac:dyDescent="0.35">
      <c r="B1891" s="45"/>
      <c r="C1891" s="45"/>
      <c r="D1891" s="45"/>
      <c r="E1891" s="45"/>
      <c r="F1891" s="45"/>
      <c r="G1891" s="45"/>
      <c r="H1891" s="45"/>
      <c r="I1891" s="45"/>
      <c r="J1891" s="45"/>
    </row>
    <row r="1892" spans="2:10" x14ac:dyDescent="0.35">
      <c r="B1892" s="45"/>
      <c r="C1892" s="45"/>
      <c r="D1892" s="45"/>
      <c r="E1892" s="45"/>
      <c r="F1892" s="45"/>
      <c r="G1892" s="45"/>
      <c r="H1892" s="45"/>
      <c r="I1892" s="45"/>
      <c r="J1892" s="45"/>
    </row>
    <row r="1893" spans="2:10" x14ac:dyDescent="0.35">
      <c r="B1893" s="45"/>
      <c r="C1893" s="45"/>
      <c r="D1893" s="45"/>
      <c r="E1893" s="45"/>
      <c r="F1893" s="45"/>
      <c r="G1893" s="45"/>
      <c r="H1893" s="45"/>
      <c r="I1893" s="45"/>
      <c r="J1893" s="45"/>
    </row>
    <row r="1894" spans="2:10" x14ac:dyDescent="0.35">
      <c r="B1894" s="45"/>
      <c r="C1894" s="45"/>
      <c r="D1894" s="45"/>
      <c r="E1894" s="45"/>
      <c r="F1894" s="45"/>
      <c r="G1894" s="45"/>
      <c r="H1894" s="45"/>
      <c r="I1894" s="45"/>
      <c r="J1894" s="45"/>
    </row>
    <row r="1895" spans="2:10" x14ac:dyDescent="0.35">
      <c r="B1895" s="45"/>
      <c r="C1895" s="45"/>
      <c r="D1895" s="45"/>
      <c r="E1895" s="45"/>
      <c r="F1895" s="45"/>
      <c r="G1895" s="45"/>
      <c r="H1895" s="45"/>
      <c r="I1895" s="45"/>
      <c r="J1895" s="45"/>
    </row>
    <row r="1896" spans="2:10" x14ac:dyDescent="0.35">
      <c r="B1896" s="45"/>
      <c r="C1896" s="45"/>
      <c r="D1896" s="45"/>
      <c r="E1896" s="45"/>
      <c r="F1896" s="45"/>
      <c r="G1896" s="45"/>
      <c r="H1896" s="45"/>
      <c r="I1896" s="45"/>
      <c r="J1896" s="45"/>
    </row>
    <row r="1897" spans="2:10" x14ac:dyDescent="0.35">
      <c r="B1897" s="45"/>
      <c r="C1897" s="45"/>
      <c r="D1897" s="45"/>
      <c r="E1897" s="45"/>
      <c r="F1897" s="45"/>
      <c r="G1897" s="45"/>
      <c r="H1897" s="45"/>
      <c r="I1897" s="45"/>
      <c r="J1897" s="45"/>
    </row>
    <row r="1898" spans="2:10" x14ac:dyDescent="0.35">
      <c r="B1898" s="45"/>
      <c r="C1898" s="45"/>
      <c r="D1898" s="45"/>
      <c r="E1898" s="45"/>
      <c r="F1898" s="45"/>
      <c r="G1898" s="45"/>
      <c r="H1898" s="45"/>
      <c r="I1898" s="45"/>
      <c r="J1898" s="45"/>
    </row>
    <row r="1899" spans="2:10" x14ac:dyDescent="0.35">
      <c r="B1899" s="45"/>
      <c r="C1899" s="45"/>
      <c r="D1899" s="45"/>
      <c r="E1899" s="45"/>
      <c r="F1899" s="45"/>
      <c r="G1899" s="45"/>
      <c r="H1899" s="45"/>
      <c r="I1899" s="45"/>
      <c r="J1899" s="45"/>
    </row>
    <row r="1900" spans="2:10" x14ac:dyDescent="0.35">
      <c r="B1900" s="45"/>
      <c r="C1900" s="45"/>
      <c r="D1900" s="45"/>
      <c r="E1900" s="45"/>
      <c r="F1900" s="45"/>
      <c r="G1900" s="45"/>
      <c r="H1900" s="45"/>
      <c r="I1900" s="45"/>
      <c r="J1900" s="45"/>
    </row>
    <row r="1901" spans="2:10" x14ac:dyDescent="0.35">
      <c r="B1901" s="45"/>
      <c r="C1901" s="45"/>
      <c r="D1901" s="45"/>
      <c r="E1901" s="45"/>
      <c r="F1901" s="45"/>
      <c r="G1901" s="45"/>
      <c r="H1901" s="45"/>
      <c r="I1901" s="45"/>
      <c r="J1901" s="45"/>
    </row>
    <row r="1902" spans="2:10" x14ac:dyDescent="0.35">
      <c r="B1902" s="45"/>
      <c r="C1902" s="45"/>
      <c r="D1902" s="45"/>
      <c r="E1902" s="45"/>
      <c r="F1902" s="45"/>
      <c r="G1902" s="45"/>
      <c r="H1902" s="45"/>
      <c r="I1902" s="45"/>
      <c r="J1902" s="45"/>
    </row>
    <row r="1903" spans="2:10" x14ac:dyDescent="0.35">
      <c r="B1903" s="45"/>
      <c r="C1903" s="45"/>
      <c r="D1903" s="45"/>
      <c r="E1903" s="45"/>
      <c r="F1903" s="45"/>
      <c r="G1903" s="45"/>
      <c r="H1903" s="45"/>
      <c r="I1903" s="45"/>
      <c r="J1903" s="45"/>
    </row>
    <row r="1904" spans="2:10" x14ac:dyDescent="0.35">
      <c r="B1904" s="45"/>
      <c r="C1904" s="45"/>
      <c r="D1904" s="45"/>
      <c r="E1904" s="45"/>
      <c r="F1904" s="45"/>
      <c r="G1904" s="45"/>
      <c r="H1904" s="45"/>
      <c r="I1904" s="45"/>
      <c r="J1904" s="45"/>
    </row>
    <row r="1905" spans="2:10" x14ac:dyDescent="0.35">
      <c r="B1905" s="45"/>
      <c r="C1905" s="45"/>
      <c r="D1905" s="45"/>
      <c r="E1905" s="45"/>
      <c r="F1905" s="45"/>
      <c r="G1905" s="45"/>
      <c r="H1905" s="45"/>
      <c r="I1905" s="45"/>
      <c r="J1905" s="45"/>
    </row>
    <row r="1906" spans="2:10" x14ac:dyDescent="0.35">
      <c r="B1906" s="45"/>
      <c r="C1906" s="45"/>
      <c r="D1906" s="45"/>
      <c r="E1906" s="45"/>
      <c r="F1906" s="45"/>
      <c r="G1906" s="45"/>
      <c r="H1906" s="45"/>
      <c r="I1906" s="45"/>
      <c r="J1906" s="45"/>
    </row>
    <row r="1907" spans="2:10" x14ac:dyDescent="0.35">
      <c r="B1907" s="45"/>
      <c r="C1907" s="45"/>
      <c r="D1907" s="45"/>
      <c r="E1907" s="45"/>
      <c r="F1907" s="45"/>
      <c r="G1907" s="45"/>
      <c r="H1907" s="45"/>
      <c r="I1907" s="45"/>
      <c r="J1907" s="45"/>
    </row>
    <row r="1908" spans="2:10" x14ac:dyDescent="0.35">
      <c r="B1908" s="45"/>
      <c r="C1908" s="45"/>
      <c r="D1908" s="45"/>
      <c r="E1908" s="45"/>
      <c r="F1908" s="45"/>
      <c r="G1908" s="45"/>
      <c r="H1908" s="45"/>
      <c r="I1908" s="45"/>
      <c r="J1908" s="45"/>
    </row>
    <row r="1909" spans="2:10" x14ac:dyDescent="0.35">
      <c r="B1909" s="45"/>
      <c r="C1909" s="45"/>
      <c r="D1909" s="45"/>
      <c r="E1909" s="45"/>
      <c r="F1909" s="45"/>
      <c r="G1909" s="45"/>
      <c r="H1909" s="45"/>
      <c r="I1909" s="45"/>
      <c r="J1909" s="45"/>
    </row>
    <row r="1910" spans="2:10" x14ac:dyDescent="0.35">
      <c r="B1910" s="45"/>
      <c r="C1910" s="45"/>
      <c r="D1910" s="45"/>
      <c r="E1910" s="45"/>
      <c r="F1910" s="45"/>
      <c r="G1910" s="45"/>
      <c r="H1910" s="45"/>
      <c r="I1910" s="45"/>
      <c r="J1910" s="45"/>
    </row>
    <row r="1911" spans="2:10" x14ac:dyDescent="0.35">
      <c r="B1911" s="45"/>
      <c r="C1911" s="45"/>
      <c r="D1911" s="45"/>
      <c r="E1911" s="45"/>
      <c r="F1911" s="45"/>
      <c r="G1911" s="45"/>
      <c r="H1911" s="45"/>
      <c r="I1911" s="45"/>
      <c r="J1911" s="45"/>
    </row>
    <row r="1912" spans="2:10" x14ac:dyDescent="0.35">
      <c r="B1912" s="45"/>
      <c r="C1912" s="45"/>
      <c r="D1912" s="45"/>
      <c r="E1912" s="45"/>
      <c r="F1912" s="45"/>
      <c r="G1912" s="45"/>
      <c r="H1912" s="45"/>
      <c r="I1912" s="45"/>
      <c r="J1912" s="45"/>
    </row>
    <row r="1913" spans="2:10" x14ac:dyDescent="0.35">
      <c r="B1913" s="45"/>
      <c r="C1913" s="45"/>
      <c r="D1913" s="45"/>
      <c r="E1913" s="45"/>
      <c r="F1913" s="45"/>
      <c r="G1913" s="45"/>
      <c r="H1913" s="45"/>
      <c r="I1913" s="45"/>
      <c r="J1913" s="45"/>
    </row>
    <row r="1914" spans="2:10" x14ac:dyDescent="0.35">
      <c r="B1914" s="45"/>
      <c r="C1914" s="45"/>
      <c r="D1914" s="45"/>
      <c r="E1914" s="45"/>
      <c r="F1914" s="45"/>
      <c r="G1914" s="45"/>
      <c r="H1914" s="45"/>
      <c r="I1914" s="45"/>
      <c r="J1914" s="45"/>
    </row>
    <row r="1915" spans="2:10" x14ac:dyDescent="0.35">
      <c r="B1915" s="45"/>
      <c r="C1915" s="45"/>
      <c r="D1915" s="45"/>
      <c r="E1915" s="45"/>
      <c r="F1915" s="45"/>
      <c r="G1915" s="45"/>
      <c r="H1915" s="45"/>
      <c r="I1915" s="45"/>
      <c r="J1915" s="45"/>
    </row>
    <row r="1916" spans="2:10" x14ac:dyDescent="0.35">
      <c r="B1916" s="45"/>
      <c r="C1916" s="45"/>
      <c r="D1916" s="45"/>
      <c r="E1916" s="45"/>
      <c r="F1916" s="45"/>
      <c r="G1916" s="45"/>
      <c r="H1916" s="45"/>
      <c r="I1916" s="45"/>
      <c r="J1916" s="45"/>
    </row>
    <row r="1917" spans="2:10" x14ac:dyDescent="0.35">
      <c r="B1917" s="45"/>
      <c r="C1917" s="45"/>
      <c r="D1917" s="45"/>
      <c r="E1917" s="45"/>
      <c r="F1917" s="45"/>
      <c r="G1917" s="45"/>
      <c r="H1917" s="45"/>
      <c r="I1917" s="45"/>
      <c r="J1917" s="45"/>
    </row>
    <row r="1918" spans="2:10" x14ac:dyDescent="0.35">
      <c r="B1918" s="45"/>
      <c r="C1918" s="45"/>
      <c r="D1918" s="45"/>
      <c r="E1918" s="45"/>
      <c r="F1918" s="45"/>
      <c r="G1918" s="45"/>
      <c r="H1918" s="45"/>
      <c r="I1918" s="45"/>
      <c r="J1918" s="45"/>
    </row>
    <row r="1919" spans="2:10" x14ac:dyDescent="0.35">
      <c r="B1919" s="45"/>
      <c r="C1919" s="45"/>
      <c r="D1919" s="45"/>
      <c r="E1919" s="45"/>
      <c r="F1919" s="45"/>
      <c r="G1919" s="45"/>
      <c r="H1919" s="45"/>
      <c r="I1919" s="45"/>
      <c r="J1919" s="45"/>
    </row>
    <row r="1920" spans="2:10" x14ac:dyDescent="0.35">
      <c r="B1920" s="45"/>
      <c r="C1920" s="45"/>
      <c r="D1920" s="45"/>
      <c r="E1920" s="45"/>
      <c r="F1920" s="45"/>
      <c r="G1920" s="45"/>
      <c r="H1920" s="45"/>
      <c r="I1920" s="45"/>
      <c r="J1920" s="45"/>
    </row>
    <row r="1921" spans="2:10" x14ac:dyDescent="0.35">
      <c r="B1921" s="45"/>
      <c r="C1921" s="45"/>
      <c r="D1921" s="45"/>
      <c r="E1921" s="45"/>
      <c r="F1921" s="45"/>
      <c r="G1921" s="45"/>
      <c r="H1921" s="45"/>
      <c r="I1921" s="45"/>
      <c r="J1921" s="45"/>
    </row>
    <row r="1922" spans="2:10" x14ac:dyDescent="0.35">
      <c r="B1922" s="45"/>
      <c r="C1922" s="45"/>
      <c r="D1922" s="45"/>
      <c r="E1922" s="45"/>
      <c r="F1922" s="45"/>
      <c r="G1922" s="45"/>
      <c r="H1922" s="45"/>
      <c r="I1922" s="45"/>
      <c r="J1922" s="45"/>
    </row>
    <row r="1923" spans="2:10" x14ac:dyDescent="0.35">
      <c r="B1923" s="45"/>
      <c r="C1923" s="45"/>
      <c r="D1923" s="45"/>
      <c r="E1923" s="45"/>
      <c r="F1923" s="45"/>
      <c r="G1923" s="45"/>
      <c r="H1923" s="45"/>
      <c r="I1923" s="45"/>
      <c r="J1923" s="45"/>
    </row>
    <row r="1924" spans="2:10" x14ac:dyDescent="0.35">
      <c r="B1924" s="45"/>
      <c r="C1924" s="45"/>
      <c r="D1924" s="45"/>
      <c r="E1924" s="45"/>
      <c r="F1924" s="45"/>
      <c r="G1924" s="45"/>
      <c r="H1924" s="45"/>
      <c r="I1924" s="45"/>
      <c r="J1924" s="45"/>
    </row>
    <row r="1925" spans="2:10" x14ac:dyDescent="0.35">
      <c r="B1925" s="45"/>
      <c r="C1925" s="45"/>
      <c r="D1925" s="45"/>
      <c r="E1925" s="45"/>
      <c r="F1925" s="45"/>
      <c r="G1925" s="45"/>
      <c r="H1925" s="45"/>
      <c r="I1925" s="45"/>
      <c r="J1925" s="45"/>
    </row>
    <row r="1926" spans="2:10" x14ac:dyDescent="0.35">
      <c r="B1926" s="45"/>
      <c r="C1926" s="45"/>
      <c r="D1926" s="45"/>
      <c r="E1926" s="45"/>
      <c r="F1926" s="45"/>
      <c r="G1926" s="45"/>
      <c r="H1926" s="45"/>
      <c r="I1926" s="45"/>
      <c r="J1926" s="45"/>
    </row>
    <row r="1927" spans="2:10" x14ac:dyDescent="0.35">
      <c r="B1927" s="45"/>
      <c r="C1927" s="45"/>
      <c r="D1927" s="45"/>
      <c r="E1927" s="45"/>
      <c r="F1927" s="45"/>
      <c r="G1927" s="45"/>
      <c r="H1927" s="45"/>
      <c r="I1927" s="45"/>
      <c r="J1927" s="45"/>
    </row>
    <row r="1928" spans="2:10" x14ac:dyDescent="0.35">
      <c r="B1928" s="45"/>
      <c r="C1928" s="45"/>
      <c r="D1928" s="45"/>
      <c r="E1928" s="45"/>
      <c r="F1928" s="45"/>
      <c r="G1928" s="45"/>
      <c r="H1928" s="45"/>
      <c r="I1928" s="45"/>
      <c r="J1928" s="45"/>
    </row>
    <row r="1929" spans="2:10" x14ac:dyDescent="0.35">
      <c r="B1929" s="45"/>
      <c r="C1929" s="45"/>
      <c r="D1929" s="45"/>
      <c r="E1929" s="45"/>
      <c r="F1929" s="45"/>
      <c r="G1929" s="45"/>
      <c r="H1929" s="45"/>
      <c r="I1929" s="45"/>
      <c r="J1929" s="45"/>
    </row>
    <row r="1930" spans="2:10" x14ac:dyDescent="0.35">
      <c r="B1930" s="45"/>
      <c r="C1930" s="45"/>
      <c r="D1930" s="45"/>
      <c r="E1930" s="45"/>
      <c r="F1930" s="45"/>
      <c r="G1930" s="45"/>
      <c r="H1930" s="45"/>
      <c r="I1930" s="45"/>
      <c r="J1930" s="45"/>
    </row>
    <row r="1931" spans="2:10" x14ac:dyDescent="0.35">
      <c r="B1931" s="45"/>
      <c r="C1931" s="45"/>
      <c r="D1931" s="45"/>
      <c r="E1931" s="45"/>
      <c r="F1931" s="45"/>
      <c r="G1931" s="45"/>
      <c r="H1931" s="45"/>
      <c r="I1931" s="45"/>
      <c r="J1931" s="45"/>
    </row>
    <row r="1932" spans="2:10" x14ac:dyDescent="0.35">
      <c r="B1932" s="45"/>
      <c r="C1932" s="45"/>
      <c r="D1932" s="45"/>
      <c r="E1932" s="45"/>
      <c r="F1932" s="45"/>
      <c r="G1932" s="45"/>
      <c r="H1932" s="45"/>
      <c r="I1932" s="45"/>
      <c r="J1932" s="45"/>
    </row>
    <row r="1933" spans="2:10" x14ac:dyDescent="0.35">
      <c r="B1933" s="45"/>
      <c r="C1933" s="45"/>
      <c r="D1933" s="45"/>
      <c r="E1933" s="45"/>
      <c r="F1933" s="45"/>
      <c r="G1933" s="45"/>
      <c r="H1933" s="45"/>
      <c r="I1933" s="45"/>
      <c r="J1933" s="45"/>
    </row>
    <row r="1934" spans="2:10" x14ac:dyDescent="0.35">
      <c r="B1934" s="45"/>
      <c r="C1934" s="45"/>
      <c r="D1934" s="45"/>
      <c r="E1934" s="45"/>
      <c r="F1934" s="45"/>
      <c r="G1934" s="45"/>
      <c r="H1934" s="45"/>
      <c r="I1934" s="45"/>
      <c r="J1934" s="45"/>
    </row>
    <row r="1935" spans="2:10" x14ac:dyDescent="0.35">
      <c r="B1935" s="45"/>
      <c r="C1935" s="45"/>
      <c r="D1935" s="45"/>
      <c r="E1935" s="45"/>
      <c r="F1935" s="45"/>
      <c r="G1935" s="45"/>
      <c r="H1935" s="45"/>
      <c r="I1935" s="45"/>
      <c r="J1935" s="45"/>
    </row>
    <row r="1936" spans="2:10" x14ac:dyDescent="0.35">
      <c r="B1936" s="45"/>
      <c r="C1936" s="45"/>
      <c r="D1936" s="45"/>
      <c r="E1936" s="45"/>
      <c r="F1936" s="45"/>
      <c r="G1936" s="45"/>
      <c r="H1936" s="45"/>
      <c r="I1936" s="45"/>
      <c r="J1936" s="45"/>
    </row>
    <row r="1937" spans="2:10" x14ac:dyDescent="0.35">
      <c r="B1937" s="45"/>
      <c r="C1937" s="45"/>
      <c r="D1937" s="45"/>
      <c r="E1937" s="45"/>
      <c r="F1937" s="45"/>
      <c r="G1937" s="45"/>
      <c r="H1937" s="45"/>
      <c r="I1937" s="45"/>
      <c r="J1937" s="45"/>
    </row>
    <row r="1938" spans="2:10" x14ac:dyDescent="0.35">
      <c r="B1938" s="45"/>
      <c r="C1938" s="45"/>
      <c r="D1938" s="45"/>
      <c r="E1938" s="45"/>
      <c r="F1938" s="45"/>
      <c r="G1938" s="45"/>
      <c r="H1938" s="45"/>
      <c r="I1938" s="45"/>
      <c r="J1938" s="45"/>
    </row>
    <row r="1939" spans="2:10" x14ac:dyDescent="0.35">
      <c r="B1939" s="45"/>
      <c r="C1939" s="45"/>
      <c r="D1939" s="45"/>
      <c r="E1939" s="45"/>
      <c r="F1939" s="45"/>
      <c r="G1939" s="45"/>
      <c r="H1939" s="45"/>
      <c r="I1939" s="45"/>
      <c r="J1939" s="45"/>
    </row>
    <row r="1940" spans="2:10" x14ac:dyDescent="0.35">
      <c r="B1940" s="45"/>
      <c r="C1940" s="45"/>
      <c r="D1940" s="45"/>
      <c r="E1940" s="45"/>
      <c r="F1940" s="45"/>
      <c r="G1940" s="45"/>
      <c r="H1940" s="45"/>
      <c r="I1940" s="45"/>
      <c r="J1940" s="45"/>
    </row>
    <row r="1941" spans="2:10" x14ac:dyDescent="0.35">
      <c r="B1941" s="45"/>
      <c r="C1941" s="45"/>
      <c r="D1941" s="45"/>
      <c r="E1941" s="45"/>
      <c r="F1941" s="45"/>
      <c r="G1941" s="45"/>
      <c r="H1941" s="45"/>
      <c r="I1941" s="45"/>
      <c r="J1941" s="45"/>
    </row>
    <row r="1942" spans="2:10" x14ac:dyDescent="0.35">
      <c r="B1942" s="45"/>
      <c r="C1942" s="45"/>
      <c r="D1942" s="45"/>
      <c r="E1942" s="45"/>
      <c r="F1942" s="45"/>
      <c r="G1942" s="45"/>
      <c r="H1942" s="45"/>
      <c r="I1942" s="45"/>
      <c r="J1942" s="45"/>
    </row>
    <row r="1943" spans="2:10" x14ac:dyDescent="0.35">
      <c r="B1943" s="45"/>
      <c r="C1943" s="45"/>
      <c r="D1943" s="45"/>
      <c r="E1943" s="45"/>
      <c r="F1943" s="45"/>
      <c r="G1943" s="45"/>
      <c r="H1943" s="45"/>
      <c r="I1943" s="45"/>
      <c r="J1943" s="45"/>
    </row>
    <row r="1944" spans="2:10" x14ac:dyDescent="0.35">
      <c r="B1944" s="45"/>
      <c r="C1944" s="45"/>
      <c r="D1944" s="45"/>
      <c r="E1944" s="45"/>
      <c r="F1944" s="45"/>
      <c r="G1944" s="45"/>
      <c r="H1944" s="45"/>
      <c r="I1944" s="45"/>
      <c r="J1944" s="45"/>
    </row>
    <row r="1945" spans="2:10" x14ac:dyDescent="0.35">
      <c r="B1945" s="45"/>
      <c r="C1945" s="45"/>
      <c r="D1945" s="45"/>
      <c r="E1945" s="45"/>
      <c r="F1945" s="45"/>
      <c r="G1945" s="45"/>
      <c r="H1945" s="45"/>
      <c r="I1945" s="45"/>
      <c r="J1945" s="45"/>
    </row>
    <row r="1946" spans="2:10" x14ac:dyDescent="0.35">
      <c r="B1946" s="45"/>
      <c r="C1946" s="45"/>
      <c r="D1946" s="45"/>
      <c r="E1946" s="45"/>
      <c r="F1946" s="45"/>
      <c r="G1946" s="45"/>
      <c r="H1946" s="45"/>
      <c r="I1946" s="45"/>
      <c r="J1946" s="45"/>
    </row>
    <row r="1947" spans="2:10" x14ac:dyDescent="0.35">
      <c r="B1947" s="45"/>
      <c r="C1947" s="45"/>
      <c r="D1947" s="45"/>
      <c r="E1947" s="45"/>
      <c r="F1947" s="45"/>
      <c r="G1947" s="45"/>
      <c r="H1947" s="45"/>
      <c r="I1947" s="45"/>
      <c r="J1947" s="45"/>
    </row>
    <row r="1948" spans="2:10" x14ac:dyDescent="0.35">
      <c r="B1948" s="45"/>
      <c r="C1948" s="45"/>
      <c r="D1948" s="45"/>
      <c r="E1948" s="45"/>
      <c r="F1948" s="45"/>
      <c r="G1948" s="45"/>
      <c r="H1948" s="45"/>
      <c r="I1948" s="45"/>
      <c r="J1948" s="45"/>
    </row>
    <row r="1949" spans="2:10" x14ac:dyDescent="0.35">
      <c r="B1949" s="45"/>
      <c r="C1949" s="45"/>
      <c r="D1949" s="45"/>
      <c r="E1949" s="45"/>
      <c r="F1949" s="45"/>
      <c r="G1949" s="45"/>
      <c r="H1949" s="45"/>
      <c r="I1949" s="45"/>
      <c r="J1949" s="45"/>
    </row>
    <row r="1950" spans="2:10" x14ac:dyDescent="0.35">
      <c r="B1950" s="45"/>
      <c r="C1950" s="45"/>
      <c r="D1950" s="45"/>
      <c r="E1950" s="45"/>
      <c r="F1950" s="45"/>
      <c r="G1950" s="45"/>
      <c r="H1950" s="45"/>
      <c r="I1950" s="45"/>
      <c r="J1950" s="45"/>
    </row>
    <row r="1951" spans="2:10" x14ac:dyDescent="0.35">
      <c r="B1951" s="45"/>
      <c r="C1951" s="45"/>
      <c r="D1951" s="45"/>
      <c r="E1951" s="45"/>
      <c r="F1951" s="45"/>
      <c r="G1951" s="45"/>
      <c r="H1951" s="45"/>
      <c r="I1951" s="45"/>
      <c r="J1951" s="45"/>
    </row>
    <row r="1952" spans="2:10" x14ac:dyDescent="0.35">
      <c r="B1952" s="45"/>
      <c r="C1952" s="45"/>
      <c r="D1952" s="45"/>
      <c r="E1952" s="45"/>
      <c r="F1952" s="45"/>
      <c r="G1952" s="45"/>
      <c r="H1952" s="45"/>
      <c r="I1952" s="45"/>
      <c r="J1952" s="45"/>
    </row>
    <row r="1953" spans="2:10" x14ac:dyDescent="0.35">
      <c r="B1953" s="45"/>
      <c r="C1953" s="45"/>
      <c r="D1953" s="45"/>
      <c r="E1953" s="45"/>
      <c r="F1953" s="45"/>
      <c r="G1953" s="45"/>
      <c r="H1953" s="45"/>
      <c r="I1953" s="45"/>
      <c r="J1953" s="45"/>
    </row>
    <row r="1954" spans="2:10" x14ac:dyDescent="0.35">
      <c r="B1954" s="45"/>
      <c r="C1954" s="45"/>
      <c r="D1954" s="45"/>
      <c r="E1954" s="45"/>
      <c r="F1954" s="45"/>
      <c r="G1954" s="45"/>
      <c r="H1954" s="45"/>
      <c r="I1954" s="45"/>
      <c r="J1954" s="45"/>
    </row>
    <row r="1955" spans="2:10" x14ac:dyDescent="0.35">
      <c r="B1955" s="45"/>
      <c r="C1955" s="45"/>
      <c r="D1955" s="45"/>
      <c r="E1955" s="45"/>
      <c r="F1955" s="45"/>
      <c r="G1955" s="45"/>
      <c r="H1955" s="45"/>
      <c r="I1955" s="45"/>
      <c r="J1955" s="45"/>
    </row>
    <row r="1956" spans="2:10" x14ac:dyDescent="0.35">
      <c r="B1956" s="45"/>
      <c r="C1956" s="45"/>
      <c r="D1956" s="45"/>
      <c r="E1956" s="45"/>
      <c r="F1956" s="45"/>
      <c r="G1956" s="45"/>
      <c r="H1956" s="45"/>
      <c r="I1956" s="45"/>
      <c r="J1956" s="45"/>
    </row>
    <row r="1957" spans="2:10" x14ac:dyDescent="0.35">
      <c r="B1957" s="45"/>
      <c r="C1957" s="45"/>
      <c r="D1957" s="45"/>
      <c r="E1957" s="45"/>
      <c r="F1957" s="45"/>
      <c r="G1957" s="45"/>
      <c r="H1957" s="45"/>
      <c r="I1957" s="45"/>
      <c r="J1957" s="45"/>
    </row>
    <row r="1958" spans="2:10" x14ac:dyDescent="0.35">
      <c r="B1958" s="45"/>
      <c r="C1958" s="45"/>
      <c r="D1958" s="45"/>
      <c r="E1958" s="45"/>
      <c r="F1958" s="45"/>
      <c r="G1958" s="45"/>
      <c r="H1958" s="45"/>
      <c r="I1958" s="45"/>
      <c r="J1958" s="45"/>
    </row>
    <row r="1959" spans="2:10" x14ac:dyDescent="0.35">
      <c r="B1959" s="45"/>
      <c r="C1959" s="45"/>
      <c r="D1959" s="45"/>
      <c r="E1959" s="45"/>
      <c r="F1959" s="45"/>
      <c r="G1959" s="45"/>
      <c r="H1959" s="45"/>
      <c r="I1959" s="45"/>
      <c r="J1959" s="45"/>
    </row>
    <row r="1960" spans="2:10" x14ac:dyDescent="0.35">
      <c r="B1960" s="45"/>
      <c r="C1960" s="45"/>
      <c r="D1960" s="45"/>
      <c r="E1960" s="45"/>
      <c r="F1960" s="45"/>
      <c r="G1960" s="45"/>
      <c r="H1960" s="45"/>
      <c r="I1960" s="45"/>
      <c r="J1960" s="45"/>
    </row>
    <row r="1961" spans="2:10" x14ac:dyDescent="0.35">
      <c r="B1961" s="45"/>
      <c r="C1961" s="45"/>
      <c r="D1961" s="45"/>
      <c r="E1961" s="45"/>
      <c r="F1961" s="45"/>
      <c r="G1961" s="45"/>
      <c r="H1961" s="45"/>
      <c r="I1961" s="45"/>
      <c r="J1961" s="45"/>
    </row>
    <row r="1962" spans="2:10" x14ac:dyDescent="0.35">
      <c r="B1962" s="45"/>
      <c r="C1962" s="45"/>
      <c r="D1962" s="45"/>
      <c r="E1962" s="45"/>
      <c r="F1962" s="45"/>
      <c r="G1962" s="45"/>
      <c r="H1962" s="45"/>
      <c r="I1962" s="45"/>
      <c r="J1962" s="45"/>
    </row>
    <row r="1963" spans="2:10" x14ac:dyDescent="0.35">
      <c r="B1963" s="45"/>
      <c r="C1963" s="45"/>
      <c r="D1963" s="45"/>
      <c r="E1963" s="45"/>
      <c r="F1963" s="45"/>
      <c r="G1963" s="45"/>
      <c r="H1963" s="45"/>
      <c r="I1963" s="45"/>
      <c r="J1963" s="45"/>
    </row>
    <row r="1964" spans="2:10" x14ac:dyDescent="0.35">
      <c r="B1964" s="45"/>
      <c r="C1964" s="45"/>
      <c r="D1964" s="45"/>
      <c r="E1964" s="45"/>
      <c r="F1964" s="45"/>
      <c r="G1964" s="45"/>
      <c r="H1964" s="45"/>
      <c r="I1964" s="45"/>
      <c r="J1964" s="45"/>
    </row>
    <row r="1965" spans="2:10" x14ac:dyDescent="0.35">
      <c r="B1965" s="45"/>
      <c r="C1965" s="45"/>
      <c r="D1965" s="45"/>
      <c r="E1965" s="45"/>
      <c r="F1965" s="45"/>
      <c r="G1965" s="45"/>
      <c r="H1965" s="45"/>
      <c r="I1965" s="45"/>
      <c r="J1965" s="45"/>
    </row>
    <row r="1966" spans="2:10" x14ac:dyDescent="0.35">
      <c r="B1966" s="45"/>
      <c r="C1966" s="45"/>
      <c r="D1966" s="45"/>
      <c r="E1966" s="45"/>
      <c r="F1966" s="45"/>
      <c r="G1966" s="45"/>
      <c r="H1966" s="45"/>
      <c r="I1966" s="45"/>
      <c r="J1966" s="45"/>
    </row>
    <row r="1967" spans="2:10" x14ac:dyDescent="0.35">
      <c r="B1967" s="45"/>
      <c r="C1967" s="45"/>
      <c r="D1967" s="45"/>
      <c r="E1967" s="45"/>
      <c r="F1967" s="45"/>
      <c r="G1967" s="45"/>
      <c r="H1967" s="45"/>
      <c r="I1967" s="45"/>
      <c r="J1967" s="45"/>
    </row>
    <row r="1968" spans="2:10" x14ac:dyDescent="0.35">
      <c r="B1968" s="45"/>
      <c r="C1968" s="45"/>
      <c r="D1968" s="45"/>
      <c r="E1968" s="45"/>
      <c r="F1968" s="45"/>
      <c r="G1968" s="45"/>
      <c r="H1968" s="45"/>
      <c r="I1968" s="45"/>
      <c r="J1968" s="45"/>
    </row>
    <row r="1969" spans="2:10" x14ac:dyDescent="0.35">
      <c r="B1969" s="45"/>
      <c r="C1969" s="45"/>
      <c r="D1969" s="45"/>
      <c r="E1969" s="45"/>
      <c r="F1969" s="45"/>
      <c r="G1969" s="45"/>
      <c r="H1969" s="45"/>
      <c r="I1969" s="45"/>
      <c r="J1969" s="45"/>
    </row>
    <row r="1970" spans="2:10" x14ac:dyDescent="0.35">
      <c r="B1970" s="45"/>
      <c r="C1970" s="45"/>
      <c r="D1970" s="45"/>
      <c r="E1970" s="45"/>
      <c r="F1970" s="45"/>
      <c r="G1970" s="45"/>
      <c r="H1970" s="45"/>
      <c r="I1970" s="45"/>
      <c r="J1970" s="45"/>
    </row>
    <row r="1971" spans="2:10" x14ac:dyDescent="0.35">
      <c r="B1971" s="45"/>
      <c r="C1971" s="45"/>
      <c r="D1971" s="45"/>
      <c r="E1971" s="45"/>
      <c r="F1971" s="45"/>
      <c r="G1971" s="45"/>
      <c r="H1971" s="45"/>
      <c r="I1971" s="45"/>
      <c r="J1971" s="45"/>
    </row>
    <row r="1972" spans="2:10" x14ac:dyDescent="0.35">
      <c r="B1972" s="45"/>
      <c r="C1972" s="45"/>
      <c r="D1972" s="45"/>
      <c r="E1972" s="45"/>
      <c r="F1972" s="45"/>
      <c r="G1972" s="45"/>
      <c r="H1972" s="45"/>
      <c r="I1972" s="45"/>
      <c r="J1972" s="45"/>
    </row>
    <row r="1973" spans="2:10" x14ac:dyDescent="0.35">
      <c r="B1973" s="45"/>
      <c r="C1973" s="45"/>
      <c r="D1973" s="45"/>
      <c r="E1973" s="45"/>
      <c r="F1973" s="45"/>
      <c r="G1973" s="45"/>
      <c r="H1973" s="45"/>
      <c r="I1973" s="45"/>
      <c r="J1973" s="45"/>
    </row>
    <row r="1974" spans="2:10" x14ac:dyDescent="0.35">
      <c r="B1974" s="45"/>
      <c r="C1974" s="45"/>
      <c r="D1974" s="45"/>
      <c r="E1974" s="45"/>
      <c r="F1974" s="45"/>
      <c r="G1974" s="45"/>
      <c r="H1974" s="45"/>
      <c r="I1974" s="45"/>
      <c r="J1974" s="45"/>
    </row>
    <row r="1975" spans="2:10" x14ac:dyDescent="0.35">
      <c r="B1975" s="45"/>
      <c r="C1975" s="45"/>
      <c r="D1975" s="45"/>
      <c r="E1975" s="45"/>
      <c r="F1975" s="45"/>
      <c r="G1975" s="45"/>
      <c r="H1975" s="45"/>
      <c r="I1975" s="45"/>
      <c r="J1975" s="45"/>
    </row>
    <row r="1976" spans="2:10" x14ac:dyDescent="0.35">
      <c r="B1976" s="45"/>
      <c r="C1976" s="45"/>
      <c r="D1976" s="45"/>
      <c r="E1976" s="45"/>
      <c r="F1976" s="45"/>
      <c r="G1976" s="45"/>
      <c r="H1976" s="45"/>
      <c r="I1976" s="45"/>
      <c r="J1976" s="45"/>
    </row>
    <row r="1977" spans="2:10" x14ac:dyDescent="0.35">
      <c r="B1977" s="45"/>
      <c r="C1977" s="45"/>
      <c r="D1977" s="45"/>
      <c r="E1977" s="45"/>
      <c r="F1977" s="45"/>
      <c r="G1977" s="45"/>
      <c r="H1977" s="45"/>
      <c r="I1977" s="45"/>
      <c r="J1977" s="45"/>
    </row>
    <row r="1978" spans="2:10" x14ac:dyDescent="0.35">
      <c r="B1978" s="45"/>
      <c r="C1978" s="45"/>
      <c r="D1978" s="45"/>
      <c r="E1978" s="45"/>
      <c r="F1978" s="45"/>
      <c r="G1978" s="45"/>
      <c r="H1978" s="45"/>
      <c r="I1978" s="45"/>
      <c r="J1978" s="45"/>
    </row>
    <row r="1979" spans="2:10" x14ac:dyDescent="0.35">
      <c r="B1979" s="45"/>
      <c r="C1979" s="45"/>
      <c r="D1979" s="45"/>
      <c r="E1979" s="45"/>
      <c r="F1979" s="45"/>
      <c r="G1979" s="45"/>
      <c r="H1979" s="45"/>
      <c r="I1979" s="45"/>
      <c r="J1979" s="45"/>
    </row>
    <row r="1980" spans="2:10" x14ac:dyDescent="0.35">
      <c r="B1980" s="45"/>
      <c r="C1980" s="45"/>
      <c r="D1980" s="45"/>
      <c r="E1980" s="45"/>
      <c r="F1980" s="45"/>
      <c r="G1980" s="45"/>
      <c r="H1980" s="45"/>
      <c r="I1980" s="45"/>
      <c r="J1980" s="45"/>
    </row>
    <row r="1981" spans="2:10" x14ac:dyDescent="0.35">
      <c r="B1981" s="45"/>
      <c r="C1981" s="45"/>
      <c r="D1981" s="45"/>
      <c r="E1981" s="45"/>
      <c r="F1981" s="45"/>
      <c r="G1981" s="45"/>
      <c r="H1981" s="45"/>
      <c r="I1981" s="45"/>
      <c r="J1981" s="45"/>
    </row>
    <row r="1982" spans="2:10" x14ac:dyDescent="0.35">
      <c r="B1982" s="45"/>
      <c r="C1982" s="45"/>
      <c r="D1982" s="45"/>
      <c r="E1982" s="45"/>
      <c r="F1982" s="45"/>
      <c r="G1982" s="45"/>
      <c r="H1982" s="45"/>
      <c r="I1982" s="45"/>
      <c r="J1982" s="45"/>
    </row>
    <row r="1983" spans="2:10" x14ac:dyDescent="0.35">
      <c r="B1983" s="45"/>
      <c r="C1983" s="45"/>
      <c r="D1983" s="45"/>
      <c r="E1983" s="45"/>
      <c r="F1983" s="45"/>
      <c r="G1983" s="45"/>
      <c r="H1983" s="45"/>
      <c r="I1983" s="45"/>
      <c r="J1983" s="45"/>
    </row>
    <row r="1984" spans="2:10" x14ac:dyDescent="0.35">
      <c r="B1984" s="45"/>
      <c r="C1984" s="45"/>
      <c r="D1984" s="45"/>
      <c r="E1984" s="45"/>
      <c r="F1984" s="45"/>
      <c r="G1984" s="45"/>
      <c r="H1984" s="45"/>
      <c r="I1984" s="45"/>
      <c r="J1984" s="45"/>
    </row>
    <row r="1985" spans="2:10" x14ac:dyDescent="0.35">
      <c r="B1985" s="45"/>
      <c r="C1985" s="45"/>
      <c r="D1985" s="45"/>
      <c r="E1985" s="45"/>
      <c r="F1985" s="45"/>
      <c r="G1985" s="45"/>
      <c r="H1985" s="45"/>
      <c r="I1985" s="45"/>
      <c r="J1985" s="45"/>
    </row>
    <row r="1986" spans="2:10" x14ac:dyDescent="0.35">
      <c r="B1986" s="45"/>
      <c r="C1986" s="45"/>
      <c r="D1986" s="45"/>
      <c r="E1986" s="45"/>
      <c r="F1986" s="45"/>
      <c r="G1986" s="45"/>
      <c r="H1986" s="45"/>
      <c r="I1986" s="45"/>
      <c r="J1986" s="45"/>
    </row>
    <row r="1987" spans="2:10" x14ac:dyDescent="0.35">
      <c r="B1987" s="45"/>
      <c r="C1987" s="45"/>
      <c r="D1987" s="45"/>
      <c r="E1987" s="45"/>
      <c r="F1987" s="45"/>
      <c r="G1987" s="45"/>
      <c r="H1987" s="45"/>
      <c r="I1987" s="45"/>
      <c r="J1987" s="45"/>
    </row>
    <row r="1988" spans="2:10" x14ac:dyDescent="0.35">
      <c r="B1988" s="45"/>
      <c r="C1988" s="45"/>
      <c r="D1988" s="45"/>
      <c r="E1988" s="45"/>
      <c r="F1988" s="45"/>
      <c r="G1988" s="45"/>
      <c r="H1988" s="45"/>
      <c r="I1988" s="45"/>
      <c r="J1988" s="45"/>
    </row>
    <row r="1989" spans="2:10" x14ac:dyDescent="0.35">
      <c r="B1989" s="45"/>
      <c r="C1989" s="45"/>
      <c r="D1989" s="45"/>
      <c r="E1989" s="45"/>
      <c r="F1989" s="45"/>
      <c r="G1989" s="45"/>
      <c r="H1989" s="45"/>
      <c r="I1989" s="45"/>
      <c r="J1989" s="45"/>
    </row>
    <row r="1990" spans="2:10" x14ac:dyDescent="0.35">
      <c r="B1990" s="45"/>
      <c r="C1990" s="45"/>
      <c r="D1990" s="45"/>
      <c r="E1990" s="45"/>
      <c r="F1990" s="45"/>
      <c r="G1990" s="45"/>
      <c r="H1990" s="45"/>
      <c r="I1990" s="45"/>
      <c r="J1990" s="45"/>
    </row>
    <row r="1991" spans="2:10" x14ac:dyDescent="0.35">
      <c r="B1991" s="45"/>
      <c r="C1991" s="45"/>
      <c r="D1991" s="45"/>
      <c r="E1991" s="45"/>
      <c r="F1991" s="45"/>
      <c r="G1991" s="45"/>
      <c r="H1991" s="45"/>
      <c r="I1991" s="45"/>
      <c r="J1991" s="45"/>
    </row>
    <row r="1992" spans="2:10" x14ac:dyDescent="0.35">
      <c r="B1992" s="45"/>
      <c r="C1992" s="45"/>
      <c r="D1992" s="45"/>
      <c r="E1992" s="45"/>
      <c r="F1992" s="45"/>
      <c r="G1992" s="45"/>
      <c r="H1992" s="45"/>
      <c r="I1992" s="45"/>
      <c r="J1992" s="45"/>
    </row>
    <row r="1993" spans="2:10" x14ac:dyDescent="0.35">
      <c r="B1993" s="45"/>
      <c r="C1993" s="45"/>
      <c r="D1993" s="45"/>
      <c r="E1993" s="45"/>
      <c r="F1993" s="45"/>
      <c r="G1993" s="45"/>
      <c r="H1993" s="45"/>
      <c r="I1993" s="45"/>
      <c r="J1993" s="45"/>
    </row>
    <row r="1994" spans="2:10" x14ac:dyDescent="0.35">
      <c r="B1994" s="45"/>
      <c r="C1994" s="45"/>
      <c r="D1994" s="45"/>
      <c r="E1994" s="45"/>
      <c r="F1994" s="45"/>
      <c r="G1994" s="45"/>
      <c r="H1994" s="45"/>
      <c r="I1994" s="45"/>
      <c r="J1994" s="45"/>
    </row>
    <row r="1995" spans="2:10" x14ac:dyDescent="0.35">
      <c r="B1995" s="45"/>
      <c r="C1995" s="45"/>
      <c r="D1995" s="45"/>
      <c r="E1995" s="45"/>
      <c r="F1995" s="45"/>
      <c r="G1995" s="45"/>
      <c r="H1995" s="45"/>
      <c r="I1995" s="45"/>
      <c r="J1995" s="45"/>
    </row>
    <row r="1996" spans="2:10" x14ac:dyDescent="0.35">
      <c r="B1996" s="45"/>
      <c r="C1996" s="45"/>
      <c r="D1996" s="45"/>
      <c r="E1996" s="45"/>
      <c r="F1996" s="45"/>
      <c r="G1996" s="45"/>
      <c r="H1996" s="45"/>
      <c r="I1996" s="45"/>
      <c r="J1996" s="45"/>
    </row>
    <row r="1997" spans="2:10" x14ac:dyDescent="0.35">
      <c r="B1997" s="45"/>
      <c r="C1997" s="45"/>
      <c r="D1997" s="45"/>
      <c r="E1997" s="45"/>
      <c r="F1997" s="45"/>
      <c r="G1997" s="45"/>
      <c r="H1997" s="45"/>
      <c r="I1997" s="45"/>
      <c r="J1997" s="45"/>
    </row>
    <row r="1998" spans="2:10" x14ac:dyDescent="0.35">
      <c r="B1998" s="45"/>
      <c r="C1998" s="45"/>
      <c r="D1998" s="45"/>
      <c r="E1998" s="45"/>
      <c r="F1998" s="45"/>
      <c r="G1998" s="45"/>
      <c r="H1998" s="45"/>
      <c r="I1998" s="45"/>
      <c r="J1998" s="45"/>
    </row>
    <row r="1999" spans="2:10" x14ac:dyDescent="0.35">
      <c r="B1999" s="45"/>
      <c r="C1999" s="45"/>
      <c r="D1999" s="45"/>
      <c r="E1999" s="45"/>
      <c r="F1999" s="45"/>
      <c r="G1999" s="45"/>
      <c r="H1999" s="45"/>
      <c r="I1999" s="45"/>
      <c r="J1999" s="45"/>
    </row>
    <row r="2000" spans="2:10" x14ac:dyDescent="0.35">
      <c r="B2000" s="45"/>
      <c r="C2000" s="45"/>
      <c r="D2000" s="45"/>
      <c r="E2000" s="45"/>
      <c r="F2000" s="45"/>
      <c r="G2000" s="45"/>
      <c r="H2000" s="45"/>
      <c r="I2000" s="45"/>
      <c r="J2000" s="45"/>
    </row>
    <row r="2001" spans="2:10" x14ac:dyDescent="0.35">
      <c r="B2001" s="45"/>
      <c r="C2001" s="45"/>
      <c r="D2001" s="45"/>
      <c r="E2001" s="45"/>
      <c r="F2001" s="45"/>
      <c r="G2001" s="45"/>
      <c r="H2001" s="45"/>
      <c r="I2001" s="45"/>
      <c r="J2001" s="45"/>
    </row>
    <row r="2002" spans="2:10" x14ac:dyDescent="0.35">
      <c r="B2002" s="45"/>
      <c r="C2002" s="45"/>
      <c r="D2002" s="45"/>
      <c r="E2002" s="45"/>
      <c r="F2002" s="45"/>
      <c r="G2002" s="45"/>
      <c r="H2002" s="45"/>
      <c r="I2002" s="45"/>
      <c r="J2002" s="45"/>
    </row>
    <row r="2003" spans="2:10" x14ac:dyDescent="0.35">
      <c r="B2003" s="45"/>
      <c r="C2003" s="45"/>
      <c r="D2003" s="45"/>
      <c r="E2003" s="45"/>
      <c r="F2003" s="45"/>
      <c r="G2003" s="45"/>
      <c r="H2003" s="45"/>
      <c r="I2003" s="45"/>
      <c r="J2003" s="45"/>
    </row>
    <row r="2004" spans="2:10" x14ac:dyDescent="0.35">
      <c r="B2004" s="45"/>
      <c r="C2004" s="45"/>
      <c r="D2004" s="45"/>
      <c r="E2004" s="45"/>
      <c r="F2004" s="45"/>
      <c r="G2004" s="45"/>
      <c r="H2004" s="45"/>
      <c r="I2004" s="45"/>
      <c r="J2004" s="45"/>
    </row>
    <row r="2005" spans="2:10" x14ac:dyDescent="0.35">
      <c r="B2005" s="45"/>
      <c r="C2005" s="45"/>
      <c r="D2005" s="45"/>
      <c r="E2005" s="45"/>
      <c r="F2005" s="45"/>
      <c r="G2005" s="45"/>
      <c r="H2005" s="45"/>
      <c r="I2005" s="45"/>
      <c r="J2005" s="45"/>
    </row>
    <row r="2006" spans="2:10" x14ac:dyDescent="0.35">
      <c r="B2006" s="45"/>
      <c r="C2006" s="45"/>
      <c r="D2006" s="45"/>
      <c r="E2006" s="45"/>
      <c r="F2006" s="45"/>
      <c r="G2006" s="45"/>
      <c r="H2006" s="45"/>
      <c r="I2006" s="45"/>
      <c r="J2006" s="45"/>
    </row>
    <row r="2007" spans="2:10" x14ac:dyDescent="0.35">
      <c r="B2007" s="45"/>
      <c r="C2007" s="45"/>
      <c r="D2007" s="45"/>
      <c r="E2007" s="45"/>
      <c r="F2007" s="45"/>
      <c r="G2007" s="45"/>
      <c r="H2007" s="45"/>
      <c r="I2007" s="45"/>
      <c r="J2007" s="45"/>
    </row>
    <row r="2008" spans="2:10" x14ac:dyDescent="0.35">
      <c r="B2008" s="45"/>
      <c r="C2008" s="45"/>
      <c r="D2008" s="45"/>
      <c r="E2008" s="45"/>
      <c r="F2008" s="45"/>
      <c r="G2008" s="45"/>
      <c r="H2008" s="45"/>
      <c r="I2008" s="45"/>
      <c r="J2008" s="45"/>
    </row>
    <row r="2009" spans="2:10" x14ac:dyDescent="0.35">
      <c r="B2009" s="45"/>
      <c r="C2009" s="45"/>
      <c r="D2009" s="45"/>
      <c r="E2009" s="45"/>
      <c r="F2009" s="45"/>
      <c r="G2009" s="45"/>
      <c r="H2009" s="45"/>
      <c r="I2009" s="45"/>
      <c r="J2009" s="45"/>
    </row>
    <row r="2010" spans="2:10" x14ac:dyDescent="0.35">
      <c r="B2010" s="45"/>
      <c r="C2010" s="45"/>
      <c r="D2010" s="45"/>
      <c r="E2010" s="45"/>
      <c r="F2010" s="45"/>
      <c r="G2010" s="45"/>
      <c r="H2010" s="45"/>
      <c r="I2010" s="45"/>
      <c r="J2010" s="45"/>
    </row>
    <row r="2011" spans="2:10" x14ac:dyDescent="0.35">
      <c r="B2011" s="45"/>
      <c r="C2011" s="45"/>
      <c r="D2011" s="45"/>
      <c r="E2011" s="45"/>
      <c r="F2011" s="45"/>
      <c r="G2011" s="45"/>
      <c r="H2011" s="45"/>
      <c r="I2011" s="45"/>
      <c r="J2011" s="45"/>
    </row>
    <row r="2012" spans="2:10" x14ac:dyDescent="0.35">
      <c r="B2012" s="45"/>
      <c r="C2012" s="45"/>
      <c r="D2012" s="45"/>
      <c r="E2012" s="45"/>
      <c r="F2012" s="45"/>
      <c r="G2012" s="45"/>
      <c r="H2012" s="45"/>
      <c r="I2012" s="45"/>
      <c r="J2012" s="45"/>
    </row>
    <row r="2013" spans="2:10" x14ac:dyDescent="0.35">
      <c r="B2013" s="45"/>
      <c r="C2013" s="45"/>
      <c r="D2013" s="45"/>
      <c r="E2013" s="45"/>
      <c r="F2013" s="45"/>
      <c r="G2013" s="45"/>
      <c r="H2013" s="45"/>
      <c r="I2013" s="45"/>
      <c r="J2013" s="45"/>
    </row>
    <row r="2014" spans="2:10" x14ac:dyDescent="0.35">
      <c r="B2014" s="45"/>
      <c r="C2014" s="45"/>
      <c r="D2014" s="45"/>
      <c r="E2014" s="45"/>
      <c r="F2014" s="45"/>
      <c r="G2014" s="45"/>
      <c r="H2014" s="45"/>
      <c r="I2014" s="45"/>
      <c r="J2014" s="45"/>
    </row>
    <row r="2015" spans="2:10" x14ac:dyDescent="0.35">
      <c r="B2015" s="45"/>
      <c r="C2015" s="45"/>
      <c r="D2015" s="45"/>
      <c r="E2015" s="45"/>
      <c r="F2015" s="45"/>
      <c r="G2015" s="45"/>
      <c r="H2015" s="45"/>
      <c r="I2015" s="45"/>
      <c r="J2015" s="45"/>
    </row>
    <row r="2016" spans="2:10" x14ac:dyDescent="0.35">
      <c r="B2016" s="45"/>
      <c r="C2016" s="45"/>
      <c r="D2016" s="45"/>
      <c r="E2016" s="45"/>
      <c r="F2016" s="45"/>
      <c r="G2016" s="45"/>
      <c r="H2016" s="45"/>
      <c r="I2016" s="45"/>
      <c r="J2016" s="45"/>
    </row>
    <row r="2017" spans="2:10" x14ac:dyDescent="0.35">
      <c r="B2017" s="45"/>
      <c r="C2017" s="45"/>
      <c r="D2017" s="45"/>
      <c r="E2017" s="45"/>
      <c r="F2017" s="45"/>
      <c r="G2017" s="45"/>
      <c r="H2017" s="45"/>
      <c r="I2017" s="45"/>
      <c r="J2017" s="45"/>
    </row>
    <row r="2018" spans="2:10" x14ac:dyDescent="0.35">
      <c r="B2018" s="45"/>
      <c r="C2018" s="45"/>
      <c r="D2018" s="45"/>
      <c r="E2018" s="45"/>
      <c r="F2018" s="45"/>
      <c r="G2018" s="45"/>
      <c r="H2018" s="45"/>
      <c r="I2018" s="45"/>
      <c r="J2018" s="45"/>
    </row>
    <row r="2019" spans="2:10" x14ac:dyDescent="0.35">
      <c r="B2019" s="45"/>
      <c r="C2019" s="45"/>
      <c r="D2019" s="45"/>
      <c r="E2019" s="45"/>
      <c r="F2019" s="45"/>
      <c r="G2019" s="45"/>
      <c r="H2019" s="45"/>
      <c r="I2019" s="45"/>
      <c r="J2019" s="45"/>
    </row>
    <row r="2020" spans="2:10" x14ac:dyDescent="0.35">
      <c r="B2020" s="45"/>
      <c r="C2020" s="45"/>
      <c r="D2020" s="45"/>
      <c r="E2020" s="45"/>
      <c r="F2020" s="45"/>
      <c r="G2020" s="45"/>
      <c r="H2020" s="45"/>
      <c r="I2020" s="45"/>
      <c r="J2020" s="45"/>
    </row>
    <row r="2021" spans="2:10" x14ac:dyDescent="0.35">
      <c r="B2021" s="45"/>
      <c r="C2021" s="45"/>
      <c r="D2021" s="45"/>
      <c r="E2021" s="45"/>
      <c r="F2021" s="45"/>
      <c r="G2021" s="45"/>
      <c r="H2021" s="45"/>
      <c r="I2021" s="45"/>
      <c r="J2021" s="45"/>
    </row>
    <row r="2022" spans="2:10" x14ac:dyDescent="0.35">
      <c r="B2022" s="45"/>
      <c r="C2022" s="45"/>
      <c r="D2022" s="45"/>
      <c r="E2022" s="45"/>
      <c r="F2022" s="45"/>
      <c r="G2022" s="45"/>
      <c r="H2022" s="45"/>
      <c r="I2022" s="45"/>
      <c r="J2022" s="45"/>
    </row>
    <row r="2023" spans="2:10" x14ac:dyDescent="0.35">
      <c r="B2023" s="45"/>
      <c r="C2023" s="45"/>
      <c r="D2023" s="45"/>
      <c r="E2023" s="45"/>
      <c r="F2023" s="45"/>
      <c r="G2023" s="45"/>
      <c r="H2023" s="45"/>
      <c r="I2023" s="45"/>
      <c r="J2023" s="45"/>
    </row>
    <row r="2024" spans="2:10" x14ac:dyDescent="0.35">
      <c r="B2024" s="45"/>
      <c r="C2024" s="45"/>
      <c r="D2024" s="45"/>
      <c r="E2024" s="45"/>
      <c r="F2024" s="45"/>
      <c r="G2024" s="45"/>
      <c r="H2024" s="45"/>
      <c r="I2024" s="45"/>
      <c r="J2024" s="45"/>
    </row>
    <row r="2025" spans="2:10" x14ac:dyDescent="0.35">
      <c r="B2025" s="45"/>
      <c r="C2025" s="45"/>
      <c r="D2025" s="45"/>
      <c r="E2025" s="45"/>
      <c r="F2025" s="45"/>
      <c r="G2025" s="45"/>
      <c r="H2025" s="45"/>
      <c r="I2025" s="45"/>
      <c r="J2025" s="45"/>
    </row>
    <row r="2026" spans="2:10" x14ac:dyDescent="0.35">
      <c r="B2026" s="45"/>
      <c r="C2026" s="45"/>
      <c r="D2026" s="45"/>
      <c r="E2026" s="45"/>
      <c r="F2026" s="45"/>
      <c r="G2026" s="45"/>
      <c r="H2026" s="45"/>
      <c r="I2026" s="45"/>
      <c r="J2026" s="45"/>
    </row>
    <row r="2027" spans="2:10" x14ac:dyDescent="0.35">
      <c r="B2027" s="45"/>
      <c r="C2027" s="45"/>
      <c r="D2027" s="45"/>
      <c r="E2027" s="45"/>
      <c r="F2027" s="45"/>
      <c r="G2027" s="45"/>
      <c r="H2027" s="45"/>
      <c r="I2027" s="45"/>
      <c r="J2027" s="45"/>
    </row>
    <row r="2028" spans="2:10" x14ac:dyDescent="0.35">
      <c r="B2028" s="45"/>
      <c r="C2028" s="45"/>
      <c r="D2028" s="45"/>
      <c r="E2028" s="45"/>
      <c r="F2028" s="45"/>
      <c r="G2028" s="45"/>
      <c r="H2028" s="45"/>
      <c r="I2028" s="45"/>
      <c r="J2028" s="45"/>
    </row>
    <row r="2029" spans="2:10" x14ac:dyDescent="0.35">
      <c r="B2029" s="45"/>
      <c r="C2029" s="45"/>
      <c r="D2029" s="45"/>
      <c r="E2029" s="45"/>
      <c r="F2029" s="45"/>
      <c r="G2029" s="45"/>
      <c r="H2029" s="45"/>
      <c r="I2029" s="45"/>
      <c r="J2029" s="45"/>
    </row>
    <row r="2030" spans="2:10" x14ac:dyDescent="0.35">
      <c r="B2030" s="45"/>
      <c r="C2030" s="45"/>
      <c r="D2030" s="45"/>
      <c r="E2030" s="45"/>
      <c r="F2030" s="45"/>
      <c r="G2030" s="45"/>
      <c r="H2030" s="45"/>
      <c r="I2030" s="45"/>
      <c r="J2030" s="45"/>
    </row>
    <row r="2031" spans="2:10" x14ac:dyDescent="0.35">
      <c r="B2031" s="45"/>
      <c r="C2031" s="45"/>
      <c r="D2031" s="45"/>
      <c r="E2031" s="45"/>
      <c r="F2031" s="45"/>
      <c r="G2031" s="45"/>
      <c r="H2031" s="45"/>
      <c r="I2031" s="45"/>
      <c r="J2031" s="45"/>
    </row>
    <row r="2032" spans="2:10" x14ac:dyDescent="0.35">
      <c r="B2032" s="45"/>
      <c r="C2032" s="45"/>
      <c r="D2032" s="45"/>
      <c r="E2032" s="45"/>
      <c r="F2032" s="45"/>
      <c r="G2032" s="45"/>
      <c r="H2032" s="45"/>
      <c r="I2032" s="45"/>
      <c r="J2032" s="45"/>
    </row>
    <row r="2033" spans="2:10" x14ac:dyDescent="0.35">
      <c r="B2033" s="45"/>
      <c r="C2033" s="45"/>
      <c r="D2033" s="45"/>
      <c r="E2033" s="45"/>
      <c r="F2033" s="45"/>
      <c r="G2033" s="45"/>
      <c r="H2033" s="45"/>
      <c r="I2033" s="45"/>
      <c r="J2033" s="45"/>
    </row>
    <row r="2034" spans="2:10" x14ac:dyDescent="0.35">
      <c r="B2034" s="45"/>
      <c r="C2034" s="45"/>
      <c r="D2034" s="45"/>
      <c r="E2034" s="45"/>
      <c r="F2034" s="45"/>
      <c r="G2034" s="45"/>
      <c r="H2034" s="45"/>
      <c r="I2034" s="45"/>
      <c r="J2034" s="45"/>
    </row>
    <row r="2035" spans="2:10" x14ac:dyDescent="0.35">
      <c r="B2035" s="45"/>
      <c r="C2035" s="45"/>
      <c r="D2035" s="45"/>
      <c r="E2035" s="45"/>
      <c r="F2035" s="45"/>
      <c r="G2035" s="45"/>
      <c r="H2035" s="45"/>
      <c r="I2035" s="45"/>
      <c r="J2035" s="45"/>
    </row>
    <row r="2036" spans="2:10" x14ac:dyDescent="0.35">
      <c r="B2036" s="45"/>
      <c r="C2036" s="45"/>
      <c r="D2036" s="45"/>
      <c r="E2036" s="45"/>
      <c r="F2036" s="45"/>
      <c r="G2036" s="45"/>
      <c r="H2036" s="45"/>
      <c r="I2036" s="45"/>
      <c r="J2036" s="45"/>
    </row>
    <row r="2037" spans="2:10" x14ac:dyDescent="0.35">
      <c r="B2037" s="45"/>
      <c r="C2037" s="45"/>
      <c r="D2037" s="45"/>
      <c r="E2037" s="45"/>
      <c r="F2037" s="45"/>
      <c r="G2037" s="45"/>
      <c r="H2037" s="45"/>
      <c r="I2037" s="45"/>
      <c r="J2037" s="45"/>
    </row>
    <row r="2038" spans="2:10" x14ac:dyDescent="0.35">
      <c r="B2038" s="45"/>
      <c r="C2038" s="45"/>
      <c r="D2038" s="45"/>
      <c r="E2038" s="45"/>
      <c r="F2038" s="45"/>
      <c r="G2038" s="45"/>
      <c r="H2038" s="45"/>
      <c r="I2038" s="45"/>
      <c r="J2038" s="45"/>
    </row>
    <row r="2039" spans="2:10" x14ac:dyDescent="0.35">
      <c r="B2039" s="45"/>
      <c r="C2039" s="45"/>
      <c r="D2039" s="45"/>
      <c r="E2039" s="45"/>
      <c r="F2039" s="45"/>
      <c r="G2039" s="45"/>
      <c r="H2039" s="45"/>
      <c r="I2039" s="45"/>
      <c r="J2039" s="45"/>
    </row>
    <row r="2040" spans="2:10" x14ac:dyDescent="0.35">
      <c r="B2040" s="45"/>
      <c r="C2040" s="45"/>
      <c r="D2040" s="45"/>
      <c r="E2040" s="45"/>
      <c r="F2040" s="45"/>
      <c r="G2040" s="45"/>
      <c r="H2040" s="45"/>
      <c r="I2040" s="45"/>
      <c r="J2040" s="45"/>
    </row>
    <row r="2041" spans="2:10" x14ac:dyDescent="0.35">
      <c r="B2041" s="45"/>
      <c r="C2041" s="45"/>
      <c r="D2041" s="45"/>
      <c r="E2041" s="45"/>
      <c r="F2041" s="45"/>
      <c r="G2041" s="45"/>
      <c r="H2041" s="45"/>
      <c r="I2041" s="45"/>
      <c r="J2041" s="45"/>
    </row>
    <row r="2042" spans="2:10" x14ac:dyDescent="0.35">
      <c r="B2042" s="45"/>
      <c r="C2042" s="45"/>
      <c r="D2042" s="45"/>
      <c r="E2042" s="45"/>
      <c r="F2042" s="45"/>
      <c r="G2042" s="45"/>
      <c r="H2042" s="45"/>
      <c r="I2042" s="45"/>
      <c r="J2042" s="45"/>
    </row>
    <row r="2043" spans="2:10" x14ac:dyDescent="0.35">
      <c r="B2043" s="45"/>
      <c r="C2043" s="45"/>
      <c r="D2043" s="45"/>
      <c r="E2043" s="45"/>
      <c r="F2043" s="45"/>
      <c r="G2043" s="45"/>
      <c r="H2043" s="45"/>
      <c r="I2043" s="45"/>
      <c r="J2043" s="45"/>
    </row>
    <row r="2044" spans="2:10" x14ac:dyDescent="0.35">
      <c r="B2044" s="45"/>
      <c r="C2044" s="45"/>
      <c r="D2044" s="45"/>
      <c r="E2044" s="45"/>
      <c r="F2044" s="45"/>
      <c r="G2044" s="45"/>
      <c r="H2044" s="45"/>
      <c r="I2044" s="45"/>
      <c r="J2044" s="45"/>
    </row>
    <row r="2045" spans="2:10" x14ac:dyDescent="0.35">
      <c r="B2045" s="45"/>
      <c r="C2045" s="45"/>
      <c r="D2045" s="45"/>
      <c r="E2045" s="45"/>
      <c r="F2045" s="45"/>
      <c r="G2045" s="45"/>
      <c r="H2045" s="45"/>
      <c r="I2045" s="45"/>
      <c r="J2045" s="45"/>
    </row>
    <row r="2046" spans="2:10" x14ac:dyDescent="0.35">
      <c r="B2046" s="45"/>
      <c r="C2046" s="45"/>
      <c r="D2046" s="45"/>
      <c r="E2046" s="45"/>
      <c r="F2046" s="45"/>
      <c r="G2046" s="45"/>
      <c r="H2046" s="45"/>
      <c r="I2046" s="45"/>
      <c r="J2046" s="45"/>
    </row>
  </sheetData>
  <mergeCells count="8">
    <mergeCell ref="C16:G16"/>
    <mergeCell ref="D31:G31"/>
    <mergeCell ref="B3:J3"/>
    <mergeCell ref="B4:J4"/>
    <mergeCell ref="B5:J5"/>
    <mergeCell ref="B6:J6"/>
    <mergeCell ref="B7:J7"/>
    <mergeCell ref="H31:I3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F288B-F704-4B39-990F-BBF7FB217868}">
  <dimension ref="A1:K107"/>
  <sheetViews>
    <sheetView topLeftCell="A7" zoomScaleNormal="100" workbookViewId="0">
      <selection activeCell="E11" sqref="E11:E14"/>
    </sheetView>
  </sheetViews>
  <sheetFormatPr defaultColWidth="8.7265625" defaultRowHeight="14.5" x14ac:dyDescent="0.35"/>
  <cols>
    <col min="1" max="2" width="4.54296875" style="2" customWidth="1"/>
    <col min="3" max="3" width="5.26953125" style="2" customWidth="1"/>
    <col min="4" max="4" width="63" style="2" customWidth="1"/>
    <col min="5" max="5" width="90.453125" style="2" customWidth="1"/>
    <col min="6" max="6" width="6.1796875" style="2" customWidth="1"/>
    <col min="7" max="7" width="4.26953125" style="2" customWidth="1"/>
    <col min="8" max="16384" width="8.7265625" style="2"/>
  </cols>
  <sheetData>
    <row r="1" spans="1:11" x14ac:dyDescent="0.35">
      <c r="A1" s="1"/>
      <c r="B1" s="1"/>
      <c r="C1" s="1"/>
      <c r="D1" s="1"/>
      <c r="E1" s="1"/>
      <c r="F1" s="1"/>
      <c r="G1" s="27"/>
    </row>
    <row r="2" spans="1:11" ht="21" x14ac:dyDescent="0.5">
      <c r="A2" s="1"/>
      <c r="B2" s="181"/>
      <c r="C2" s="274" t="s">
        <v>352</v>
      </c>
      <c r="D2" s="274"/>
      <c r="E2" s="274"/>
      <c r="F2" s="274"/>
      <c r="G2" s="170"/>
      <c r="H2" s="170"/>
      <c r="I2" s="170"/>
      <c r="J2" s="170"/>
      <c r="K2" s="170"/>
    </row>
    <row r="3" spans="1:11" ht="18" x14ac:dyDescent="0.35">
      <c r="A3" s="1"/>
      <c r="B3" s="181"/>
      <c r="C3" s="224" t="s">
        <v>336</v>
      </c>
      <c r="D3" s="233"/>
      <c r="E3" s="233"/>
      <c r="F3" s="233"/>
      <c r="G3" s="27"/>
    </row>
    <row r="4" spans="1:11" x14ac:dyDescent="0.35">
      <c r="A4" s="1"/>
      <c r="B4" s="181"/>
      <c r="C4" s="225" t="s">
        <v>354</v>
      </c>
      <c r="D4" s="234"/>
      <c r="E4" s="234"/>
      <c r="F4" s="234"/>
      <c r="G4" s="27"/>
    </row>
    <row r="5" spans="1:11" x14ac:dyDescent="0.35">
      <c r="A5" s="1"/>
      <c r="B5" s="181"/>
      <c r="C5" s="226" t="s">
        <v>2</v>
      </c>
      <c r="D5" s="235"/>
      <c r="E5" s="235"/>
      <c r="F5" s="235"/>
      <c r="G5" s="27"/>
    </row>
    <row r="6" spans="1:11" x14ac:dyDescent="0.35">
      <c r="A6" s="1"/>
      <c r="B6" s="181"/>
      <c r="C6" s="226" t="s">
        <v>12</v>
      </c>
      <c r="D6" s="226"/>
      <c r="E6" s="226"/>
      <c r="F6" s="226"/>
      <c r="G6" s="27"/>
    </row>
    <row r="7" spans="1:11" x14ac:dyDescent="0.35">
      <c r="A7" s="1"/>
      <c r="B7" s="181"/>
      <c r="C7" s="9"/>
      <c r="D7" s="169"/>
      <c r="E7" s="9"/>
      <c r="F7" s="9"/>
      <c r="G7" s="27"/>
    </row>
    <row r="8" spans="1:11" ht="15.5" x14ac:dyDescent="0.35">
      <c r="A8" s="1"/>
      <c r="B8" s="24"/>
      <c r="C8" s="24"/>
      <c r="D8" s="24"/>
      <c r="E8" s="24"/>
      <c r="F8" s="24"/>
      <c r="G8" s="27"/>
    </row>
    <row r="9" spans="1:11" x14ac:dyDescent="0.35">
      <c r="A9" s="1"/>
      <c r="B9" s="181"/>
      <c r="C9" s="7"/>
      <c r="D9" s="7"/>
      <c r="E9" s="46"/>
      <c r="F9" s="9"/>
      <c r="G9" s="27"/>
    </row>
    <row r="10" spans="1:11" x14ac:dyDescent="0.35">
      <c r="A10" s="1"/>
      <c r="B10" s="181"/>
      <c r="C10" s="48" t="s">
        <v>337</v>
      </c>
      <c r="D10" s="47" t="s">
        <v>338</v>
      </c>
      <c r="E10" s="48" t="s">
        <v>239</v>
      </c>
      <c r="F10" s="9"/>
      <c r="G10" s="27"/>
    </row>
    <row r="11" spans="1:11" ht="35.15" customHeight="1" x14ac:dyDescent="0.35">
      <c r="A11" s="1"/>
      <c r="B11" s="181"/>
      <c r="C11" s="49">
        <v>1</v>
      </c>
      <c r="D11" s="50" t="s">
        <v>368</v>
      </c>
      <c r="E11" s="51" t="s">
        <v>555</v>
      </c>
      <c r="F11" s="9"/>
      <c r="G11" s="27"/>
    </row>
    <row r="12" spans="1:11" ht="35.15" customHeight="1" x14ac:dyDescent="0.35">
      <c r="A12" s="1"/>
      <c r="B12" s="181"/>
      <c r="C12" s="49">
        <v>2</v>
      </c>
      <c r="D12" s="50" t="s">
        <v>369</v>
      </c>
      <c r="E12" s="51" t="s">
        <v>556</v>
      </c>
      <c r="F12" s="9"/>
      <c r="G12" s="27"/>
    </row>
    <row r="13" spans="1:11" ht="35.15" customHeight="1" x14ac:dyDescent="0.35">
      <c r="A13" s="1"/>
      <c r="B13" s="181"/>
      <c r="C13" s="49">
        <v>3</v>
      </c>
      <c r="D13" s="50" t="s">
        <v>370</v>
      </c>
      <c r="E13" s="51" t="s">
        <v>557</v>
      </c>
      <c r="F13" s="9"/>
      <c r="G13" s="27"/>
    </row>
    <row r="14" spans="1:11" ht="35.15" customHeight="1" x14ac:dyDescent="0.35">
      <c r="A14" s="1"/>
      <c r="B14" s="181"/>
      <c r="C14" s="49">
        <v>4</v>
      </c>
      <c r="D14" s="50" t="s">
        <v>371</v>
      </c>
      <c r="E14" s="51" t="s">
        <v>558</v>
      </c>
      <c r="F14" s="9"/>
      <c r="G14" s="27"/>
    </row>
    <row r="15" spans="1:11" x14ac:dyDescent="0.35">
      <c r="B15" s="28"/>
      <c r="C15" s="180"/>
      <c r="D15" s="180"/>
      <c r="E15" s="180"/>
      <c r="F15" s="180"/>
      <c r="G15" s="27"/>
    </row>
    <row r="16" spans="1:11" x14ac:dyDescent="0.35">
      <c r="C16" s="19"/>
      <c r="D16" s="19"/>
      <c r="E16" s="19"/>
      <c r="F16" s="19"/>
      <c r="G16" s="27"/>
    </row>
    <row r="17" spans="3:7" x14ac:dyDescent="0.35">
      <c r="C17" s="19"/>
      <c r="D17" s="19"/>
      <c r="E17" s="19"/>
      <c r="F17" s="19"/>
      <c r="G17" s="27"/>
    </row>
    <row r="18" spans="3:7" x14ac:dyDescent="0.35">
      <c r="C18" s="19"/>
      <c r="D18" s="19"/>
      <c r="E18" s="19"/>
      <c r="F18" s="19"/>
      <c r="G18" s="27"/>
    </row>
    <row r="19" spans="3:7" x14ac:dyDescent="0.35">
      <c r="C19" s="19"/>
      <c r="D19" s="19"/>
      <c r="E19" s="19"/>
      <c r="F19" s="19"/>
      <c r="G19" s="19"/>
    </row>
    <row r="20" spans="3:7" x14ac:dyDescent="0.35">
      <c r="C20" s="19"/>
      <c r="D20" s="19"/>
      <c r="E20" s="19"/>
      <c r="F20" s="19"/>
      <c r="G20" s="19"/>
    </row>
    <row r="21" spans="3:7" x14ac:dyDescent="0.35">
      <c r="C21" s="19"/>
      <c r="D21" s="19"/>
      <c r="E21" s="19"/>
      <c r="F21" s="19"/>
      <c r="G21" s="19"/>
    </row>
    <row r="22" spans="3:7" x14ac:dyDescent="0.35">
      <c r="C22" s="19"/>
      <c r="D22" s="19"/>
      <c r="E22" s="19"/>
      <c r="F22" s="19"/>
      <c r="G22" s="19"/>
    </row>
    <row r="23" spans="3:7" x14ac:dyDescent="0.35">
      <c r="C23" s="19"/>
      <c r="D23" s="19"/>
      <c r="E23" s="19"/>
      <c r="F23" s="19"/>
      <c r="G23" s="19"/>
    </row>
    <row r="24" spans="3:7" x14ac:dyDescent="0.35">
      <c r="C24" s="19"/>
      <c r="D24" s="19"/>
      <c r="E24" s="19"/>
      <c r="F24" s="19"/>
      <c r="G24" s="19"/>
    </row>
    <row r="25" spans="3:7" x14ac:dyDescent="0.35">
      <c r="C25" s="19"/>
      <c r="D25" s="19"/>
      <c r="E25" s="19"/>
      <c r="F25" s="19"/>
      <c r="G25" s="19"/>
    </row>
    <row r="26" spans="3:7" x14ac:dyDescent="0.35">
      <c r="C26" s="19"/>
      <c r="D26" s="19"/>
      <c r="E26" s="19"/>
      <c r="F26" s="19"/>
      <c r="G26" s="19"/>
    </row>
    <row r="27" spans="3:7" x14ac:dyDescent="0.35">
      <c r="C27" s="19"/>
      <c r="D27" s="19"/>
      <c r="E27" s="19"/>
      <c r="F27" s="19"/>
      <c r="G27" s="19"/>
    </row>
    <row r="28" spans="3:7" x14ac:dyDescent="0.35">
      <c r="C28" s="19"/>
      <c r="D28" s="19"/>
      <c r="E28" s="19"/>
      <c r="F28" s="19"/>
      <c r="G28" s="19"/>
    </row>
    <row r="29" spans="3:7" x14ac:dyDescent="0.35">
      <c r="C29" s="19"/>
      <c r="D29" s="19"/>
      <c r="E29" s="19"/>
      <c r="F29" s="19"/>
      <c r="G29" s="19"/>
    </row>
    <row r="30" spans="3:7" x14ac:dyDescent="0.35">
      <c r="C30" s="19"/>
      <c r="D30" s="19"/>
      <c r="E30" s="19"/>
      <c r="F30" s="19"/>
      <c r="G30" s="19"/>
    </row>
    <row r="31" spans="3:7" x14ac:dyDescent="0.35">
      <c r="C31" s="19"/>
      <c r="D31" s="19"/>
      <c r="E31" s="19"/>
      <c r="F31" s="19"/>
      <c r="G31" s="19"/>
    </row>
    <row r="32" spans="3:7" x14ac:dyDescent="0.35">
      <c r="C32" s="19"/>
      <c r="D32" s="19"/>
      <c r="E32" s="19"/>
      <c r="F32" s="19"/>
      <c r="G32" s="19"/>
    </row>
    <row r="33" spans="3:7" x14ac:dyDescent="0.35">
      <c r="C33" s="19"/>
      <c r="D33" s="19"/>
      <c r="E33" s="19"/>
      <c r="F33" s="19"/>
      <c r="G33" s="19"/>
    </row>
    <row r="34" spans="3:7" x14ac:dyDescent="0.35">
      <c r="C34" s="19"/>
      <c r="D34" s="19"/>
      <c r="E34" s="19"/>
      <c r="F34" s="19"/>
      <c r="G34" s="19"/>
    </row>
    <row r="35" spans="3:7" x14ac:dyDescent="0.35">
      <c r="C35" s="19"/>
      <c r="D35" s="19"/>
      <c r="E35" s="19"/>
      <c r="F35" s="19"/>
      <c r="G35" s="19"/>
    </row>
    <row r="36" spans="3:7" x14ac:dyDescent="0.35">
      <c r="C36" s="19"/>
      <c r="D36" s="19"/>
      <c r="E36" s="19"/>
      <c r="F36" s="19"/>
      <c r="G36" s="19"/>
    </row>
    <row r="37" spans="3:7" x14ac:dyDescent="0.35">
      <c r="C37" s="19"/>
      <c r="D37" s="19"/>
      <c r="E37" s="19"/>
      <c r="F37" s="19"/>
      <c r="G37" s="19"/>
    </row>
    <row r="38" spans="3:7" x14ac:dyDescent="0.35">
      <c r="C38" s="19"/>
      <c r="D38" s="19"/>
      <c r="E38" s="19"/>
      <c r="F38" s="19"/>
      <c r="G38" s="19"/>
    </row>
    <row r="39" spans="3:7" x14ac:dyDescent="0.35">
      <c r="C39" s="19"/>
      <c r="D39" s="19"/>
      <c r="E39" s="19"/>
      <c r="F39" s="19"/>
      <c r="G39" s="19"/>
    </row>
    <row r="40" spans="3:7" x14ac:dyDescent="0.35">
      <c r="C40" s="19"/>
      <c r="D40" s="19"/>
      <c r="E40" s="19"/>
      <c r="F40" s="19"/>
      <c r="G40" s="19"/>
    </row>
    <row r="41" spans="3:7" x14ac:dyDescent="0.35">
      <c r="C41" s="19"/>
      <c r="D41" s="19"/>
      <c r="E41" s="19"/>
      <c r="F41" s="19"/>
      <c r="G41" s="19"/>
    </row>
    <row r="42" spans="3:7" x14ac:dyDescent="0.35">
      <c r="C42" s="19"/>
      <c r="D42" s="19"/>
      <c r="E42" s="19"/>
      <c r="F42" s="19"/>
      <c r="G42" s="19"/>
    </row>
    <row r="43" spans="3:7" x14ac:dyDescent="0.35">
      <c r="C43" s="19"/>
      <c r="D43" s="19"/>
      <c r="E43" s="19"/>
      <c r="F43" s="19"/>
      <c r="G43" s="19"/>
    </row>
    <row r="44" spans="3:7" x14ac:dyDescent="0.35">
      <c r="C44" s="19"/>
      <c r="D44" s="19"/>
      <c r="E44" s="19"/>
      <c r="F44" s="19"/>
      <c r="G44" s="19"/>
    </row>
    <row r="45" spans="3:7" x14ac:dyDescent="0.35">
      <c r="C45" s="19"/>
      <c r="D45" s="19"/>
      <c r="E45" s="19"/>
      <c r="F45" s="19"/>
      <c r="G45" s="19"/>
    </row>
    <row r="46" spans="3:7" x14ac:dyDescent="0.35">
      <c r="C46" s="19"/>
      <c r="D46" s="19"/>
      <c r="E46" s="19"/>
      <c r="F46" s="19"/>
      <c r="G46" s="19"/>
    </row>
    <row r="47" spans="3:7" x14ac:dyDescent="0.35">
      <c r="C47" s="19"/>
      <c r="D47" s="19"/>
      <c r="E47" s="19"/>
      <c r="F47" s="19"/>
      <c r="G47" s="19"/>
    </row>
    <row r="48" spans="3:7" x14ac:dyDescent="0.35">
      <c r="C48" s="19"/>
      <c r="D48" s="19"/>
      <c r="E48" s="19"/>
      <c r="F48" s="19"/>
      <c r="G48" s="19"/>
    </row>
    <row r="49" spans="3:7" x14ac:dyDescent="0.35">
      <c r="C49" s="19"/>
      <c r="D49" s="19"/>
      <c r="E49" s="19"/>
      <c r="F49" s="19"/>
      <c r="G49" s="19"/>
    </row>
    <row r="50" spans="3:7" x14ac:dyDescent="0.35">
      <c r="C50" s="19"/>
      <c r="D50" s="19"/>
      <c r="E50" s="19"/>
      <c r="F50" s="19"/>
      <c r="G50" s="19"/>
    </row>
    <row r="51" spans="3:7" x14ac:dyDescent="0.35">
      <c r="C51" s="19"/>
      <c r="D51" s="19"/>
      <c r="E51" s="19"/>
      <c r="F51" s="19"/>
      <c r="G51" s="19"/>
    </row>
    <row r="52" spans="3:7" x14ac:dyDescent="0.35">
      <c r="C52" s="19"/>
      <c r="D52" s="19"/>
      <c r="E52" s="19"/>
      <c r="F52" s="19"/>
      <c r="G52" s="19"/>
    </row>
    <row r="53" spans="3:7" x14ac:dyDescent="0.35">
      <c r="C53" s="19"/>
      <c r="D53" s="19"/>
      <c r="E53" s="19"/>
      <c r="F53" s="19"/>
      <c r="G53" s="19"/>
    </row>
    <row r="54" spans="3:7" x14ac:dyDescent="0.35">
      <c r="C54" s="19"/>
      <c r="D54" s="19"/>
      <c r="E54" s="19"/>
      <c r="F54" s="19"/>
      <c r="G54" s="19"/>
    </row>
    <row r="55" spans="3:7" x14ac:dyDescent="0.35">
      <c r="C55" s="19"/>
      <c r="D55" s="19"/>
      <c r="E55" s="19"/>
      <c r="F55" s="19"/>
      <c r="G55" s="19"/>
    </row>
    <row r="56" spans="3:7" x14ac:dyDescent="0.35">
      <c r="C56" s="19"/>
      <c r="D56" s="19"/>
      <c r="E56" s="19"/>
      <c r="F56" s="19"/>
      <c r="G56" s="19"/>
    </row>
    <row r="57" spans="3:7" x14ac:dyDescent="0.35">
      <c r="C57" s="19"/>
      <c r="D57" s="19"/>
      <c r="E57" s="19"/>
      <c r="F57" s="19"/>
      <c r="G57" s="19"/>
    </row>
    <row r="58" spans="3:7" x14ac:dyDescent="0.35">
      <c r="C58" s="19"/>
      <c r="D58" s="19"/>
      <c r="E58" s="19"/>
      <c r="F58" s="19"/>
      <c r="G58" s="19"/>
    </row>
    <row r="59" spans="3:7" x14ac:dyDescent="0.35">
      <c r="C59" s="19"/>
      <c r="D59" s="19"/>
      <c r="E59" s="19"/>
      <c r="F59" s="19"/>
      <c r="G59" s="19"/>
    </row>
    <row r="60" spans="3:7" x14ac:dyDescent="0.35">
      <c r="C60" s="19"/>
      <c r="D60" s="19"/>
      <c r="E60" s="19"/>
      <c r="F60" s="19"/>
      <c r="G60" s="19"/>
    </row>
    <row r="61" spans="3:7" x14ac:dyDescent="0.35">
      <c r="C61" s="19"/>
      <c r="D61" s="19"/>
      <c r="E61" s="19"/>
      <c r="F61" s="19"/>
      <c r="G61" s="19"/>
    </row>
    <row r="62" spans="3:7" x14ac:dyDescent="0.35">
      <c r="C62" s="19"/>
      <c r="D62" s="19" t="s">
        <v>27</v>
      </c>
      <c r="E62" s="19"/>
      <c r="F62" s="19"/>
      <c r="G62" s="19"/>
    </row>
    <row r="63" spans="3:7" x14ac:dyDescent="0.35">
      <c r="C63" s="19"/>
      <c r="D63" s="19" t="s">
        <v>28</v>
      </c>
      <c r="E63" s="19"/>
      <c r="F63" s="19"/>
      <c r="G63" s="19"/>
    </row>
    <row r="64" spans="3:7" x14ac:dyDescent="0.35">
      <c r="C64" s="19"/>
      <c r="D64" s="19"/>
      <c r="E64" s="19"/>
      <c r="F64" s="19"/>
      <c r="G64" s="19"/>
    </row>
    <row r="65" spans="3:7" x14ac:dyDescent="0.35">
      <c r="C65" s="19"/>
      <c r="D65" s="19"/>
      <c r="E65" s="19"/>
      <c r="F65" s="19"/>
      <c r="G65" s="19"/>
    </row>
    <row r="66" spans="3:7" x14ac:dyDescent="0.35">
      <c r="C66" s="19"/>
      <c r="D66" s="19"/>
      <c r="E66" s="19"/>
      <c r="F66" s="19"/>
      <c r="G66" s="19"/>
    </row>
    <row r="67" spans="3:7" x14ac:dyDescent="0.35">
      <c r="C67" s="19"/>
      <c r="D67" s="19"/>
      <c r="E67" s="19"/>
      <c r="F67" s="19"/>
      <c r="G67" s="19"/>
    </row>
    <row r="68" spans="3:7" x14ac:dyDescent="0.35">
      <c r="C68" s="19"/>
      <c r="D68" s="19"/>
      <c r="E68" s="19"/>
      <c r="F68" s="19"/>
      <c r="G68" s="19"/>
    </row>
    <row r="69" spans="3:7" x14ac:dyDescent="0.35">
      <c r="C69" s="19"/>
      <c r="D69" s="19"/>
      <c r="E69" s="19"/>
      <c r="F69" s="19"/>
      <c r="G69" s="19"/>
    </row>
    <row r="70" spans="3:7" x14ac:dyDescent="0.35">
      <c r="C70" s="19"/>
      <c r="D70" s="19"/>
      <c r="E70" s="19"/>
      <c r="F70" s="19"/>
      <c r="G70" s="19"/>
    </row>
    <row r="71" spans="3:7" x14ac:dyDescent="0.35">
      <c r="C71" s="19"/>
      <c r="D71" s="19"/>
      <c r="E71" s="19"/>
      <c r="F71" s="19"/>
      <c r="G71" s="19"/>
    </row>
    <row r="72" spans="3:7" x14ac:dyDescent="0.35">
      <c r="C72" s="19"/>
      <c r="D72" s="19"/>
      <c r="E72" s="19"/>
      <c r="F72" s="19"/>
      <c r="G72" s="19"/>
    </row>
    <row r="73" spans="3:7" x14ac:dyDescent="0.35">
      <c r="C73" s="19"/>
      <c r="D73" s="19"/>
      <c r="E73" s="19"/>
      <c r="F73" s="19"/>
      <c r="G73" s="19"/>
    </row>
    <row r="74" spans="3:7" x14ac:dyDescent="0.35">
      <c r="C74" s="19"/>
      <c r="D74" s="19"/>
      <c r="E74" s="19"/>
      <c r="F74" s="19"/>
      <c r="G74" s="19"/>
    </row>
    <row r="75" spans="3:7" x14ac:dyDescent="0.35">
      <c r="C75" s="19"/>
      <c r="D75" s="19"/>
      <c r="E75" s="19"/>
      <c r="F75" s="19"/>
      <c r="G75" s="19"/>
    </row>
    <row r="76" spans="3:7" x14ac:dyDescent="0.35">
      <c r="C76" s="19"/>
      <c r="D76" s="19"/>
      <c r="E76" s="19"/>
      <c r="F76" s="19"/>
      <c r="G76" s="19"/>
    </row>
    <row r="77" spans="3:7" x14ac:dyDescent="0.35">
      <c r="C77" s="19"/>
      <c r="D77" s="19"/>
      <c r="E77" s="19"/>
      <c r="F77" s="19"/>
      <c r="G77" s="19"/>
    </row>
    <row r="78" spans="3:7" x14ac:dyDescent="0.35">
      <c r="C78" s="19"/>
      <c r="D78" s="19"/>
      <c r="E78" s="19"/>
      <c r="F78" s="19"/>
      <c r="G78" s="19"/>
    </row>
    <row r="79" spans="3:7" x14ac:dyDescent="0.35">
      <c r="C79" s="19"/>
      <c r="D79" s="19"/>
      <c r="E79" s="19"/>
      <c r="F79" s="19"/>
      <c r="G79" s="19"/>
    </row>
    <row r="80" spans="3:7" x14ac:dyDescent="0.35">
      <c r="C80" s="19"/>
      <c r="D80" s="19"/>
      <c r="E80" s="19"/>
      <c r="F80" s="19"/>
      <c r="G80" s="19"/>
    </row>
    <row r="81" spans="3:7" x14ac:dyDescent="0.35">
      <c r="C81" s="19"/>
      <c r="D81" s="19"/>
      <c r="E81" s="19"/>
      <c r="F81" s="19"/>
      <c r="G81" s="19"/>
    </row>
    <row r="82" spans="3:7" x14ac:dyDescent="0.35">
      <c r="C82" s="19"/>
      <c r="D82" s="19"/>
      <c r="E82" s="19"/>
      <c r="F82" s="19"/>
      <c r="G82" s="19"/>
    </row>
    <row r="83" spans="3:7" x14ac:dyDescent="0.35">
      <c r="C83" s="19" t="s">
        <v>29</v>
      </c>
      <c r="D83" s="19"/>
      <c r="E83" s="19"/>
      <c r="F83" s="20" t="s">
        <v>30</v>
      </c>
      <c r="G83" s="19"/>
    </row>
    <row r="84" spans="3:7" x14ac:dyDescent="0.35">
      <c r="C84" s="19" t="s">
        <v>32</v>
      </c>
      <c r="D84" s="19"/>
      <c r="E84" s="19"/>
      <c r="F84" s="21">
        <v>0.1</v>
      </c>
      <c r="G84" s="19"/>
    </row>
    <row r="85" spans="3:7" x14ac:dyDescent="0.35">
      <c r="C85" s="19" t="s">
        <v>34</v>
      </c>
      <c r="D85" s="19"/>
      <c r="E85" s="19"/>
      <c r="F85" s="21">
        <v>0.2</v>
      </c>
      <c r="G85" s="19"/>
    </row>
    <row r="86" spans="3:7" x14ac:dyDescent="0.35">
      <c r="C86" s="19" t="s">
        <v>35</v>
      </c>
      <c r="D86" s="19"/>
      <c r="E86" s="19"/>
      <c r="F86" s="21">
        <v>0.3</v>
      </c>
      <c r="G86" s="19"/>
    </row>
    <row r="87" spans="3:7" x14ac:dyDescent="0.35">
      <c r="C87" s="19"/>
      <c r="D87" s="19"/>
      <c r="E87" s="19"/>
      <c r="F87" s="21">
        <v>0.4</v>
      </c>
      <c r="G87" s="19"/>
    </row>
    <row r="88" spans="3:7" x14ac:dyDescent="0.35">
      <c r="C88" s="19"/>
      <c r="D88" s="19"/>
      <c r="E88" s="19"/>
      <c r="F88" s="21">
        <v>0.5</v>
      </c>
      <c r="G88" s="19"/>
    </row>
    <row r="89" spans="3:7" x14ac:dyDescent="0.35">
      <c r="F89" s="22">
        <v>0.6</v>
      </c>
    </row>
    <row r="90" spans="3:7" x14ac:dyDescent="0.35">
      <c r="F90" s="22">
        <v>0.7</v>
      </c>
    </row>
    <row r="91" spans="3:7" x14ac:dyDescent="0.35">
      <c r="F91" s="22">
        <v>0.8</v>
      </c>
    </row>
    <row r="92" spans="3:7" x14ac:dyDescent="0.35">
      <c r="F92" s="22">
        <v>0.9</v>
      </c>
    </row>
    <row r="93" spans="3:7" x14ac:dyDescent="0.35">
      <c r="F93" s="22">
        <v>1</v>
      </c>
    </row>
    <row r="102" spans="3:3" x14ac:dyDescent="0.35">
      <c r="C102" s="23" t="s">
        <v>36</v>
      </c>
    </row>
    <row r="103" spans="3:3" x14ac:dyDescent="0.35">
      <c r="C103" s="23" t="s">
        <v>37</v>
      </c>
    </row>
    <row r="104" spans="3:3" x14ac:dyDescent="0.35">
      <c r="C104" s="23" t="s">
        <v>38</v>
      </c>
    </row>
    <row r="105" spans="3:3" x14ac:dyDescent="0.35">
      <c r="C105" s="23" t="s">
        <v>39</v>
      </c>
    </row>
    <row r="106" spans="3:3" x14ac:dyDescent="0.35">
      <c r="C106" s="23" t="s">
        <v>40</v>
      </c>
    </row>
    <row r="107" spans="3:3" x14ac:dyDescent="0.35">
      <c r="C107" s="23" t="s">
        <v>35</v>
      </c>
    </row>
  </sheetData>
  <mergeCells count="5">
    <mergeCell ref="C2:F2"/>
    <mergeCell ref="C6:F6"/>
    <mergeCell ref="C3:F3"/>
    <mergeCell ref="C4:F4"/>
    <mergeCell ref="C5:F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9BE7A55D0801942BD9CFC2656B2EF4C" ma:contentTypeVersion="3" ma:contentTypeDescription="Create a new document." ma:contentTypeScope="" ma:versionID="de49b9e0634ba2c2d3e04decc6ad9656">
  <xsd:schema xmlns:xsd="http://www.w3.org/2001/XMLSchema" xmlns:xs="http://www.w3.org/2001/XMLSchema" xmlns:p="http://schemas.microsoft.com/office/2006/metadata/properties" xmlns:ns2="6d606c60-ab4c-4ae0-8ea3-423fc6585f84" targetNamespace="http://schemas.microsoft.com/office/2006/metadata/properties" ma:root="true" ma:fieldsID="c6b92ab1e7bc86f67f4f5f9b5d3edf7e" ns2:_="">
    <xsd:import namespace="6d606c60-ab4c-4ae0-8ea3-423fc6585f8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606c60-ab4c-4ae0-8ea3-423fc6585f8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6A7EC2A-6444-4FAA-A702-46366921B92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d606c60-ab4c-4ae0-8ea3-423fc6585f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FF9F081-D223-4F70-A16A-732E6CC4E8D6}">
  <ds:schemaRefs>
    <ds:schemaRef ds:uri="http://schemas.microsoft.com/sharepoint/v3/contenttype/forms"/>
  </ds:schemaRefs>
</ds:datastoreItem>
</file>

<file path=customXml/itemProps3.xml><?xml version="1.0" encoding="utf-8"?>
<ds:datastoreItem xmlns:ds="http://schemas.openxmlformats.org/officeDocument/2006/customXml" ds:itemID="{8A0522B2-A1D0-4ABF-A832-554580BABDFE}">
  <ds:schemaRefs>
    <ds:schemaRef ds:uri="http://schemas.openxmlformats.org/package/2006/metadata/core-properties"/>
    <ds:schemaRef ds:uri="http://purl.org/dc/terms/"/>
    <ds:schemaRef ds:uri="http://purl.org/dc/elements/1.1/"/>
    <ds:schemaRef ds:uri="http://schemas.microsoft.com/office/2006/documentManagement/types"/>
    <ds:schemaRef ds:uri="http://www.w3.org/XML/1998/namespace"/>
    <ds:schemaRef ds:uri="http://purl.org/dc/dcmitype/"/>
    <ds:schemaRef ds:uri="http://schemas.microsoft.com/office/infopath/2007/PartnerControls"/>
    <ds:schemaRef ds:uri="6d606c60-ab4c-4ae0-8ea3-423fc6585f84"/>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vt:i4>
      </vt:variant>
    </vt:vector>
  </HeadingPairs>
  <TitlesOfParts>
    <vt:vector size="16" baseType="lpstr">
      <vt:lpstr>RFP Instructions</vt:lpstr>
      <vt:lpstr>1. Site Details</vt:lpstr>
      <vt:lpstr>2A. Task List Process Chemistry</vt:lpstr>
      <vt:lpstr>2B. Analytical Chemistry</vt:lpstr>
      <vt:lpstr>2C. Process Engineering</vt:lpstr>
      <vt:lpstr>2D. Process Safety</vt:lpstr>
      <vt:lpstr>2E. Crystallisation Science</vt:lpstr>
      <vt:lpstr>2F. High Potency</vt:lpstr>
      <vt:lpstr>2G. Continuous Process R&amp;D</vt:lpstr>
      <vt:lpstr>2H. Library Synthesis</vt:lpstr>
      <vt:lpstr>2I. Drug Linker</vt:lpstr>
      <vt:lpstr>3. FTE Fees</vt:lpstr>
      <vt:lpstr>4. FTE Discounts &amp; Instructions</vt:lpstr>
      <vt:lpstr>4A. CPI &amp; Instructions</vt:lpstr>
      <vt:lpstr>5. General Qs</vt:lpstr>
      <vt:lpstr>'4A. CPI &amp; Instructions'!_Hlk105598126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Thompson, Gerald</dc:creator>
  <cp:keywords/>
  <dc:description/>
  <cp:lastModifiedBy>K Vara Prasad</cp:lastModifiedBy>
  <cp:revision/>
  <dcterms:created xsi:type="dcterms:W3CDTF">2021-12-08T10:56:05Z</dcterms:created>
  <dcterms:modified xsi:type="dcterms:W3CDTF">2025-07-31T16:42:31Z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0x01010059BE7A55D0801942BD9CFC2656B2EF4C</vt:lpwstr>
  </property>
  <property fmtid="{D5CDD505-2E9C-101B-9397-08002B2CF9AE}" pid="3" name="MSIP_Label_4791b42f-c435-42ca-9531-75a3f42aae3d_Enabled">
    <vt:lpwstr>true</vt:lpwstr>
  </property>
  <property fmtid="{D5CDD505-2E9C-101B-9397-08002B2CF9AE}" pid="4" name="MSIP_Label_4791b42f-c435-42ca-9531-75a3f42aae3d_SetDate">
    <vt:lpwstr>2023-08-16T08:31:59Z</vt:lpwstr>
  </property>
  <property fmtid="{D5CDD505-2E9C-101B-9397-08002B2CF9AE}" pid="5" name="MSIP_Label_4791b42f-c435-42ca-9531-75a3f42aae3d_Method">
    <vt:lpwstr>Privileged</vt:lpwstr>
  </property>
  <property fmtid="{D5CDD505-2E9C-101B-9397-08002B2CF9AE}" pid="6" name="MSIP_Label_4791b42f-c435-42ca-9531-75a3f42aae3d_Name">
    <vt:lpwstr>4791b42f-c435-42ca-9531-75a3f42aae3d</vt:lpwstr>
  </property>
  <property fmtid="{D5CDD505-2E9C-101B-9397-08002B2CF9AE}" pid="7" name="MSIP_Label_4791b42f-c435-42ca-9531-75a3f42aae3d_SiteId">
    <vt:lpwstr>7a916015-20ae-4ad1-9170-eefd915e9272</vt:lpwstr>
  </property>
  <property fmtid="{D5CDD505-2E9C-101B-9397-08002B2CF9AE}" pid="8" name="MSIP_Label_4791b42f-c435-42ca-9531-75a3f42aae3d_ActionId">
    <vt:lpwstr>457152b1-52f7-4dce-b4c9-b61fabd1d130</vt:lpwstr>
  </property>
  <property fmtid="{D5CDD505-2E9C-101B-9397-08002B2CF9AE}" pid="9" name="MSIP_Label_4791b42f-c435-42ca-9531-75a3f42aae3d_ContentBits">
    <vt:lpwstr>0</vt:lpwstr>
  </property>
</Properties>
</file>